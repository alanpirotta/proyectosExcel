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C:\github\proyectosExcel\"/>
    </mc:Choice>
  </mc:AlternateContent>
  <xr:revisionPtr revIDLastSave="0" documentId="8_{F1C7EFAE-DD9A-4A86-BF19-74838AAAD5F7}" xr6:coauthVersionLast="47" xr6:coauthVersionMax="47" xr10:uidLastSave="{00000000-0000-0000-0000-000000000000}"/>
  <bookViews>
    <workbookView xWindow="-120" yWindow="-120" windowWidth="29040" windowHeight="15840" tabRatio="831" firstSheet="2" activeTab="2" xr2:uid="{00000000-000D-0000-FFFF-FFFF00000000}"/>
  </bookViews>
  <sheets>
    <sheet name="Datos" sheetId="26" state="hidden" r:id="rId1"/>
    <sheet name="Log" sheetId="28" state="hidden" r:id="rId2"/>
    <sheet name="Estado general" sheetId="21" r:id="rId3"/>
    <sheet name="Insumos a comprar" sheetId="4" r:id="rId4"/>
    <sheet name="Acidos bases y otros liquidos" sheetId="12" r:id="rId5"/>
    <sheet name="Botiquin" sheetId="20" r:id="rId6"/>
    <sheet name="CG" sheetId="27" r:id="rId7"/>
    <sheet name="Gases comprimidos" sheetId="15" r:id="rId8"/>
    <sheet name="Guantes e insumos generales" sheetId="16" r:id="rId9"/>
    <sheet name="Lamparas  AA " sheetId="9" r:id="rId10"/>
    <sheet name="Material de vidrio" sheetId="22" r:id="rId11"/>
    <sheet name="Reactivos HACH" sheetId="11" r:id="rId12"/>
    <sheet name="Solidos heladera" sheetId="14" r:id="rId13"/>
    <sheet name="Solidos mas usados" sheetId="1" r:id="rId14"/>
    <sheet name="Solidos menos usados" sheetId="13" r:id="rId15"/>
    <sheet name="Solventes" sheetId="10" r:id="rId16"/>
  </sheets>
  <definedNames>
    <definedName name="_xlnm._FilterDatabase" localSheetId="4" hidden="1">'Acidos bases y otros liquidos'!$A$2:$G$21</definedName>
    <definedName name="_xlnm._FilterDatabase" localSheetId="1" hidden="1">Log!$A$2:$F$8</definedName>
    <definedName name="_xlnm._FilterDatabase" localSheetId="12" hidden="1">'Solidos heladera'!$A$2:$H$10</definedName>
    <definedName name="_xlnm._FilterDatabase" localSheetId="14">'Solidos menos usados'!$A$2:$I$75</definedName>
    <definedName name="_xlnm._FilterDatabase" localSheetId="15" hidden="1">Solventes!$A$2:$H$70</definedName>
    <definedName name="listado_sustancias" localSheetId="6">INDEX(Insumos_a_comprar[Insumo],_xlfn.AGGREGATE(15,6,(Insumos_a_comprar[Planilla]='Solidos mas usados'!XFA1048570)/(Insumos_a_comprar[Planilla]='Solidos mas usados'!XFA1048570)*ROW(Insumos_a_comprar[Planilla])-ROW(Insumos_a_comprar[[#Headers],[Planilla]]),ROWS('Insumos a comprar'!$B$5:XES1048569)))</definedName>
    <definedName name="listado_sustancias">INDEX(Insumos_a_comprar[Insumo],_xlfn.AGGREGATE(15,6,(Insumos_a_comprar[Planilla]='Solidos mas usados'!XFA1048570)/(Insumos_a_comprar[Planilla]='Solidos mas usados'!XFA1048570)*ROW(Insumos_a_comprar[Planilla])-ROW(Insumos_a_comprar[[#Headers],[Planilla]]),ROWS('Insumos a comprar'!$B$5:XES1048569)))</definedName>
    <definedName name="_xlnm.Print_Area" localSheetId="4">'Acidos bases y otros liquidos'!$A$1:$H$18</definedName>
    <definedName name="_xlnm.Print_Area" localSheetId="6">'CG'!$A$1:$H$4</definedName>
    <definedName name="_xlnm.Print_Area" localSheetId="2">'Estado general'!$B$1:$G$12</definedName>
    <definedName name="_xlnm.Print_Area" localSheetId="9">'Lamparas  AA '!$A$2:$F$38</definedName>
    <definedName name="_xlnm.Print_Area" localSheetId="12">'Solidos heladera'!$B$1:$H$7</definedName>
    <definedName name="_xlnm.Print_Area" localSheetId="14">'Solidos menos usados'!$B$1:$H$70</definedName>
    <definedName name="_xlnm.Print_Area" localSheetId="15">Solventes!$A$2:$H$58</definedName>
    <definedName name="Slicer_Acción">#N/A</definedName>
    <definedName name="Slicer_Planilla">#N/A</definedName>
    <definedName name="Slicer_Sedronar">#N/A</definedName>
  </definedNames>
  <calcPr calcId="18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1" i="27" l="1"/>
  <c r="J42" i="27"/>
  <c r="J43" i="27"/>
  <c r="J30" i="27"/>
  <c r="J54" i="27"/>
  <c r="J55" i="27"/>
  <c r="E43" i="11"/>
  <c r="C187" i="4"/>
  <c r="H187" i="4"/>
  <c r="I187" i="4" l="1"/>
  <c r="L187" i="4" s="1"/>
  <c r="E8" i="11"/>
  <c r="E22" i="11"/>
  <c r="C63" i="4" l="1"/>
  <c r="H63" i="4"/>
  <c r="I63" i="4" l="1"/>
  <c r="L63" i="4" s="1"/>
  <c r="C117" i="4" l="1"/>
  <c r="E41" i="16"/>
  <c r="K47" i="16"/>
  <c r="E47" i="16"/>
  <c r="K41" i="16"/>
  <c r="K39" i="16"/>
  <c r="E39" i="16"/>
  <c r="C410" i="4" l="1"/>
  <c r="C52" i="4"/>
  <c r="E25" i="11"/>
  <c r="E10" i="11"/>
  <c r="E19" i="11"/>
  <c r="E14" i="11"/>
  <c r="E42" i="11"/>
  <c r="H410" i="4"/>
  <c r="H52" i="4"/>
  <c r="I410" i="4" l="1"/>
  <c r="L410" i="4" s="1"/>
  <c r="I52" i="4"/>
  <c r="L52" i="4" s="1"/>
  <c r="E5" i="16"/>
  <c r="K5" i="16"/>
  <c r="C452" i="4"/>
  <c r="H452" i="4"/>
  <c r="I452" i="4" l="1"/>
  <c r="L452" i="4" s="1"/>
  <c r="E51" i="16"/>
  <c r="K51" i="16"/>
  <c r="K45" i="16" l="1"/>
  <c r="C218" i="4"/>
  <c r="E42" i="16"/>
  <c r="K42" i="16"/>
  <c r="E46" i="16"/>
  <c r="K46" i="16"/>
  <c r="E43" i="16"/>
  <c r="K43" i="16"/>
  <c r="E45" i="16"/>
  <c r="E40" i="16"/>
  <c r="K40" i="16"/>
  <c r="E38" i="16"/>
  <c r="K38" i="16"/>
  <c r="E31" i="11"/>
  <c r="E26" i="11"/>
  <c r="C262" i="4"/>
  <c r="H262" i="4"/>
  <c r="I262" i="4" l="1"/>
  <c r="L262" i="4" s="1"/>
  <c r="E53" i="16"/>
  <c r="E55" i="16"/>
  <c r="E54" i="16"/>
  <c r="K54" i="16"/>
  <c r="E56" i="16"/>
  <c r="K56" i="16"/>
  <c r="E30" i="11" l="1"/>
  <c r="E17" i="11"/>
  <c r="E39" i="11"/>
  <c r="E16" i="16" l="1"/>
  <c r="K16" i="16"/>
  <c r="E15" i="16" l="1"/>
  <c r="K15" i="16"/>
  <c r="E37" i="16" l="1"/>
  <c r="K37" i="16"/>
  <c r="E36" i="16"/>
  <c r="K36" i="16"/>
  <c r="E33" i="16"/>
  <c r="E34" i="16"/>
  <c r="E35" i="16"/>
  <c r="K33" i="16"/>
  <c r="K34" i="16"/>
  <c r="K35" i="16"/>
  <c r="E9" i="16" l="1"/>
  <c r="K9" i="16"/>
  <c r="E8" i="16"/>
  <c r="K8" i="16"/>
  <c r="E35" i="11" l="1"/>
  <c r="E6" i="11"/>
  <c r="E11" i="11"/>
  <c r="E3" i="11"/>
  <c r="E4" i="11"/>
  <c r="E5" i="11"/>
  <c r="E7" i="11"/>
  <c r="E9" i="11"/>
  <c r="E13" i="11"/>
  <c r="E12" i="11"/>
  <c r="E16" i="11"/>
  <c r="E20" i="11"/>
  <c r="E15" i="11"/>
  <c r="E24" i="11"/>
  <c r="E21" i="11"/>
  <c r="E18" i="11"/>
  <c r="E27" i="11"/>
  <c r="E28" i="11"/>
  <c r="E29" i="11"/>
  <c r="E23" i="11"/>
  <c r="E32" i="11"/>
  <c r="E33" i="11"/>
  <c r="E36" i="11"/>
  <c r="E37" i="11"/>
  <c r="E40" i="11"/>
  <c r="E41" i="11"/>
  <c r="E38" i="11"/>
  <c r="E34" i="11"/>
  <c r="J2" i="26" l="1"/>
  <c r="C11" i="4"/>
  <c r="C32" i="4"/>
  <c r="C101" i="4"/>
  <c r="C115" i="4"/>
  <c r="C116" i="4"/>
  <c r="C125" i="4"/>
  <c r="C126" i="4"/>
  <c r="C127" i="4"/>
  <c r="C128" i="4"/>
  <c r="C129" i="4"/>
  <c r="C148" i="4"/>
  <c r="C147" i="4"/>
  <c r="C149" i="4"/>
  <c r="C150" i="4"/>
  <c r="C151" i="4"/>
  <c r="C194" i="4"/>
  <c r="C196" i="4"/>
  <c r="C195" i="4"/>
  <c r="C197" i="4"/>
  <c r="C199" i="4"/>
  <c r="C198" i="4"/>
  <c r="C200" i="4"/>
  <c r="C459" i="4"/>
  <c r="C245" i="4"/>
  <c r="C243" i="4"/>
  <c r="C244" i="4"/>
  <c r="C246" i="4"/>
  <c r="C247" i="4"/>
  <c r="C248" i="4"/>
  <c r="C252" i="4"/>
  <c r="C256" i="4"/>
  <c r="C258" i="4"/>
  <c r="C257" i="4"/>
  <c r="C259" i="4"/>
  <c r="C260" i="4"/>
  <c r="C261" i="4"/>
  <c r="C254" i="4"/>
  <c r="C255" i="4"/>
  <c r="C265" i="4"/>
  <c r="C266" i="4"/>
  <c r="C267" i="4"/>
  <c r="C264" i="4"/>
  <c r="C306" i="4"/>
  <c r="C305" i="4"/>
  <c r="C307" i="4"/>
  <c r="C311" i="4"/>
  <c r="C325" i="4"/>
  <c r="C326" i="4"/>
  <c r="C348" i="4"/>
  <c r="C384" i="4"/>
  <c r="C385" i="4"/>
  <c r="C130" i="4"/>
  <c r="C388" i="4"/>
  <c r="C389" i="4"/>
  <c r="C391" i="4"/>
  <c r="C393" i="4"/>
  <c r="C392" i="4"/>
  <c r="C390" i="4"/>
  <c r="C427" i="4"/>
  <c r="C428" i="4"/>
  <c r="C440" i="4"/>
  <c r="C461" i="4"/>
  <c r="C460" i="4"/>
  <c r="C462" i="4"/>
  <c r="C453" i="4"/>
  <c r="C454" i="4"/>
  <c r="C455" i="4"/>
  <c r="C458" i="4"/>
  <c r="C457" i="4"/>
  <c r="C456" i="4"/>
  <c r="C466" i="4"/>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1" i="27"/>
  <c r="J32" i="27"/>
  <c r="J33" i="27"/>
  <c r="J34" i="27"/>
  <c r="J35" i="27"/>
  <c r="J36" i="27"/>
  <c r="J37" i="27"/>
  <c r="J38" i="27"/>
  <c r="J39" i="27"/>
  <c r="J40" i="27"/>
  <c r="J41" i="27"/>
  <c r="J44" i="27"/>
  <c r="J45" i="27"/>
  <c r="J46" i="27"/>
  <c r="J47" i="27"/>
  <c r="J48" i="27"/>
  <c r="J49" i="27"/>
  <c r="J50" i="27"/>
  <c r="J51" i="27"/>
  <c r="J52" i="27"/>
  <c r="J53" i="27"/>
  <c r="J56" i="27"/>
  <c r="J57" i="27"/>
  <c r="J58" i="27"/>
  <c r="J59" i="27"/>
  <c r="J60" i="27"/>
  <c r="J61" i="27"/>
  <c r="J62" i="27"/>
  <c r="J63" i="27"/>
  <c r="J64" i="27"/>
  <c r="J65" i="27"/>
  <c r="J66" i="27"/>
  <c r="J67" i="27"/>
  <c r="J68" i="27"/>
  <c r="J69" i="27"/>
  <c r="J70" i="27"/>
  <c r="J71" i="27"/>
  <c r="J72" i="27"/>
  <c r="J73" i="27"/>
  <c r="J74" i="27"/>
  <c r="J75" i="27"/>
  <c r="J76" i="27"/>
  <c r="J77" i="27"/>
  <c r="J78" i="27"/>
  <c r="K4" i="16"/>
  <c r="H244" i="4"/>
  <c r="H259" i="4"/>
  <c r="H198" i="4"/>
  <c r="H459" i="4"/>
  <c r="H390" i="4"/>
  <c r="H151" i="4"/>
  <c r="H11" i="4"/>
  <c r="H196" i="4"/>
  <c r="H260" i="4"/>
  <c r="H305" i="4"/>
  <c r="H147" i="4"/>
  <c r="H256" i="4"/>
  <c r="H454" i="4"/>
  <c r="H388" i="4"/>
  <c r="H311" i="4"/>
  <c r="H128" i="4"/>
  <c r="H197" i="4"/>
  <c r="H130" i="4"/>
  <c r="H462" i="4"/>
  <c r="H307" i="4"/>
  <c r="H456" i="4"/>
  <c r="H243" i="4"/>
  <c r="H392" i="4"/>
  <c r="H258" i="4"/>
  <c r="H266" i="4"/>
  <c r="H306" i="4"/>
  <c r="H148" i="4"/>
  <c r="H252" i="4"/>
  <c r="H254" i="4"/>
  <c r="H245" i="4"/>
  <c r="H391" i="4"/>
  <c r="H325" i="4"/>
  <c r="H428" i="4"/>
  <c r="H125" i="4"/>
  <c r="H127" i="4"/>
  <c r="H194" i="4"/>
  <c r="H199" i="4"/>
  <c r="H466" i="4"/>
  <c r="H267" i="4"/>
  <c r="H32" i="4"/>
  <c r="H116" i="4"/>
  <c r="H149" i="4"/>
  <c r="H246" i="4"/>
  <c r="H440" i="4"/>
  <c r="H326" i="4"/>
  <c r="H457" i="4"/>
  <c r="H264" i="4"/>
  <c r="H461" i="4"/>
  <c r="H455" i="4"/>
  <c r="H150" i="4"/>
  <c r="H385" i="4"/>
  <c r="H460" i="4"/>
  <c r="H257" i="4"/>
  <c r="H389" i="4"/>
  <c r="H255" i="4"/>
  <c r="H458" i="4"/>
  <c r="H261" i="4"/>
  <c r="H265" i="4"/>
  <c r="H101" i="4"/>
  <c r="H200" i="4"/>
  <c r="H247" i="4"/>
  <c r="H248" i="4"/>
  <c r="H348" i="4"/>
  <c r="H393" i="4"/>
  <c r="H115" i="4"/>
  <c r="H195" i="4"/>
  <c r="H427" i="4"/>
  <c r="H126" i="4"/>
  <c r="H453" i="4"/>
  <c r="H384" i="4"/>
  <c r="H129" i="4"/>
  <c r="I466" i="4" l="1"/>
  <c r="L466" i="4" s="1"/>
  <c r="I456" i="4"/>
  <c r="L456" i="4" s="1"/>
  <c r="I457" i="4"/>
  <c r="L457" i="4" s="1"/>
  <c r="I458" i="4"/>
  <c r="L458" i="4" s="1"/>
  <c r="I455" i="4"/>
  <c r="L455" i="4" s="1"/>
  <c r="I454" i="4"/>
  <c r="L454" i="4" s="1"/>
  <c r="I453" i="4"/>
  <c r="L453" i="4" s="1"/>
  <c r="I462" i="4"/>
  <c r="L462" i="4" s="1"/>
  <c r="I460" i="4"/>
  <c r="L460" i="4" s="1"/>
  <c r="I461" i="4"/>
  <c r="L461" i="4" s="1"/>
  <c r="I440" i="4"/>
  <c r="L440" i="4" s="1"/>
  <c r="I428" i="4"/>
  <c r="L428" i="4" s="1"/>
  <c r="I427" i="4"/>
  <c r="L427" i="4" s="1"/>
  <c r="I390" i="4"/>
  <c r="L390" i="4" s="1"/>
  <c r="I392" i="4"/>
  <c r="L392" i="4" s="1"/>
  <c r="I393" i="4"/>
  <c r="L393" i="4" s="1"/>
  <c r="I391" i="4"/>
  <c r="L391" i="4" s="1"/>
  <c r="I389" i="4"/>
  <c r="L389" i="4" s="1"/>
  <c r="I388" i="4"/>
  <c r="L388" i="4" s="1"/>
  <c r="I130" i="4"/>
  <c r="L130" i="4" s="1"/>
  <c r="I385" i="4"/>
  <c r="L385" i="4" s="1"/>
  <c r="I384" i="4"/>
  <c r="L384" i="4" s="1"/>
  <c r="I348" i="4"/>
  <c r="L348" i="4" s="1"/>
  <c r="I326" i="4"/>
  <c r="L326" i="4" s="1"/>
  <c r="I325" i="4"/>
  <c r="L325" i="4" s="1"/>
  <c r="I311" i="4"/>
  <c r="L311" i="4" s="1"/>
  <c r="I307" i="4"/>
  <c r="L307" i="4" s="1"/>
  <c r="I305" i="4"/>
  <c r="L305" i="4" s="1"/>
  <c r="I306" i="4"/>
  <c r="L306" i="4" s="1"/>
  <c r="I264" i="4"/>
  <c r="L264" i="4" s="1"/>
  <c r="I267" i="4"/>
  <c r="L267" i="4" s="1"/>
  <c r="I266" i="4"/>
  <c r="L266" i="4" s="1"/>
  <c r="I265" i="4"/>
  <c r="L265" i="4" s="1"/>
  <c r="I255" i="4"/>
  <c r="L255" i="4" s="1"/>
  <c r="I254" i="4"/>
  <c r="L254" i="4" s="1"/>
  <c r="I261" i="4"/>
  <c r="L261" i="4" s="1"/>
  <c r="I260" i="4"/>
  <c r="L260" i="4" s="1"/>
  <c r="I259" i="4"/>
  <c r="L259" i="4" s="1"/>
  <c r="I257" i="4"/>
  <c r="L257" i="4" s="1"/>
  <c r="I258" i="4"/>
  <c r="L258" i="4" s="1"/>
  <c r="I256" i="4"/>
  <c r="L256" i="4" s="1"/>
  <c r="I252" i="4"/>
  <c r="L252" i="4" s="1"/>
  <c r="I248" i="4"/>
  <c r="L248" i="4" s="1"/>
  <c r="I247" i="4"/>
  <c r="L247" i="4" s="1"/>
  <c r="I246" i="4"/>
  <c r="L246" i="4" s="1"/>
  <c r="I244" i="4"/>
  <c r="L244" i="4" s="1"/>
  <c r="I243" i="4"/>
  <c r="L243" i="4" s="1"/>
  <c r="I245" i="4"/>
  <c r="L245" i="4" s="1"/>
  <c r="I459" i="4"/>
  <c r="L459" i="4" s="1"/>
  <c r="I200" i="4"/>
  <c r="L200" i="4" s="1"/>
  <c r="I198" i="4"/>
  <c r="L198" i="4" s="1"/>
  <c r="I199" i="4"/>
  <c r="L199" i="4" s="1"/>
  <c r="I197" i="4"/>
  <c r="L197" i="4" s="1"/>
  <c r="I195" i="4"/>
  <c r="L195" i="4" s="1"/>
  <c r="I196" i="4"/>
  <c r="L196" i="4" s="1"/>
  <c r="I194" i="4"/>
  <c r="L194" i="4" s="1"/>
  <c r="I151" i="4"/>
  <c r="L151" i="4" s="1"/>
  <c r="I150" i="4"/>
  <c r="L150" i="4" s="1"/>
  <c r="I149" i="4"/>
  <c r="L149" i="4" s="1"/>
  <c r="I147" i="4"/>
  <c r="L147" i="4" s="1"/>
  <c r="I148" i="4"/>
  <c r="L148" i="4" s="1"/>
  <c r="I129" i="4"/>
  <c r="L129" i="4" s="1"/>
  <c r="I128" i="4"/>
  <c r="L128" i="4" s="1"/>
  <c r="I127" i="4"/>
  <c r="L127" i="4" s="1"/>
  <c r="I126" i="4"/>
  <c r="L126" i="4" s="1"/>
  <c r="I125" i="4"/>
  <c r="L125" i="4" s="1"/>
  <c r="I116" i="4"/>
  <c r="L116" i="4" s="1"/>
  <c r="I115" i="4"/>
  <c r="L115" i="4" s="1"/>
  <c r="I101" i="4"/>
  <c r="L101" i="4" s="1"/>
  <c r="I32" i="4"/>
  <c r="L32" i="4" s="1"/>
  <c r="I11" i="4"/>
  <c r="L11" i="4" s="1"/>
  <c r="E4" i="16"/>
  <c r="E22" i="16" l="1"/>
  <c r="E17" i="16"/>
  <c r="E58" i="16"/>
  <c r="E57" i="16"/>
  <c r="E52" i="16"/>
  <c r="E50" i="16"/>
  <c r="E49" i="16"/>
  <c r="E48" i="16"/>
  <c r="E27" i="16"/>
  <c r="E20" i="16"/>
  <c r="E21" i="16"/>
  <c r="E24" i="16"/>
  <c r="E23" i="16"/>
  <c r="E28" i="16"/>
  <c r="E29" i="16"/>
  <c r="E26" i="16"/>
  <c r="E32" i="16"/>
  <c r="E44" i="16"/>
  <c r="E30" i="16"/>
  <c r="E19" i="16"/>
  <c r="E31" i="16"/>
  <c r="E25" i="16"/>
  <c r="E18" i="16"/>
  <c r="E13" i="16"/>
  <c r="E12" i="16"/>
  <c r="E14" i="16"/>
  <c r="E11" i="16"/>
  <c r="E10" i="16"/>
  <c r="E6" i="16"/>
  <c r="E7" i="16"/>
  <c r="K22" i="16"/>
  <c r="C295" i="4" l="1"/>
  <c r="C362" i="4"/>
  <c r="H295" i="4"/>
  <c r="H362" i="4"/>
  <c r="I295" i="4" l="1"/>
  <c r="L295" i="4" s="1"/>
  <c r="I362" i="4"/>
  <c r="L362" i="4" s="1"/>
  <c r="B3" i="21"/>
  <c r="C3" i="21"/>
  <c r="D3" i="21" l="1"/>
  <c r="C4" i="21"/>
  <c r="C5" i="21"/>
  <c r="C6" i="21"/>
  <c r="D6" i="21" s="1"/>
  <c r="C7" i="21"/>
  <c r="C8" i="21"/>
  <c r="C9" i="21"/>
  <c r="D9" i="21" s="1"/>
  <c r="C10" i="21"/>
  <c r="D10" i="21" s="1"/>
  <c r="C11" i="21"/>
  <c r="C12" i="21"/>
  <c r="C13" i="21"/>
  <c r="C14" i="21"/>
  <c r="C15" i="21"/>
  <c r="C10" i="4"/>
  <c r="C19" i="4"/>
  <c r="C30" i="4"/>
  <c r="C40" i="4"/>
  <c r="C49" i="4"/>
  <c r="C50" i="4"/>
  <c r="C55" i="4"/>
  <c r="C72" i="4"/>
  <c r="C97" i="4"/>
  <c r="C102" i="4"/>
  <c r="C111" i="4"/>
  <c r="C109" i="4"/>
  <c r="C124" i="4"/>
  <c r="C158" i="4"/>
  <c r="C185" i="4"/>
  <c r="C192" i="4"/>
  <c r="C233" i="4"/>
  <c r="C263" i="4"/>
  <c r="C269" i="4"/>
  <c r="C288" i="4"/>
  <c r="C294" i="4"/>
  <c r="C296" i="4"/>
  <c r="C297" i="4"/>
  <c r="C298" i="4"/>
  <c r="C351" i="4"/>
  <c r="C352" i="4"/>
  <c r="C355" i="4"/>
  <c r="C358" i="4"/>
  <c r="C359" i="4"/>
  <c r="C361" i="4"/>
  <c r="C363" i="4"/>
  <c r="C364" i="4"/>
  <c r="C367" i="4"/>
  <c r="C368" i="4"/>
  <c r="C370" i="4"/>
  <c r="C403" i="4"/>
  <c r="C406" i="4"/>
  <c r="C412" i="4"/>
  <c r="C418" i="4"/>
  <c r="C422" i="4"/>
  <c r="C425" i="4"/>
  <c r="C405" i="4"/>
  <c r="C53" i="4"/>
  <c r="C51" i="4"/>
  <c r="C350" i="4"/>
  <c r="C407" i="4"/>
  <c r="C414" i="4"/>
  <c r="C402" i="4"/>
  <c r="C419" i="4"/>
  <c r="C20" i="4"/>
  <c r="C22" i="4"/>
  <c r="C23" i="4"/>
  <c r="C27" i="4"/>
  <c r="C42" i="4"/>
  <c r="C43" i="4"/>
  <c r="C48" i="4"/>
  <c r="C54" i="4"/>
  <c r="C65" i="4"/>
  <c r="C70" i="4"/>
  <c r="C71" i="4"/>
  <c r="C80" i="4"/>
  <c r="C84" i="4"/>
  <c r="C98" i="4"/>
  <c r="C99" i="4"/>
  <c r="C100" i="4"/>
  <c r="C112" i="4"/>
  <c r="C121" i="4"/>
  <c r="C123" i="4"/>
  <c r="C154" i="4"/>
  <c r="C167" i="4"/>
  <c r="C193" i="4"/>
  <c r="C209" i="4"/>
  <c r="C224" i="4"/>
  <c r="C225" i="4"/>
  <c r="C227" i="4"/>
  <c r="C232" i="4"/>
  <c r="C229" i="4"/>
  <c r="C231" i="4"/>
  <c r="C230" i="4"/>
  <c r="C236" i="4"/>
  <c r="C237" i="4"/>
  <c r="C253" i="4"/>
  <c r="C270" i="4"/>
  <c r="C272" i="4"/>
  <c r="C284" i="4"/>
  <c r="C285" i="4"/>
  <c r="C283" i="4"/>
  <c r="C286" i="4"/>
  <c r="C287" i="4"/>
  <c r="C293" i="4"/>
  <c r="C235" i="4"/>
  <c r="C356" i="4"/>
  <c r="C360" i="4"/>
  <c r="C365" i="4"/>
  <c r="C366" i="4"/>
  <c r="C369" i="4"/>
  <c r="C371" i="4"/>
  <c r="C398" i="4"/>
  <c r="C394" i="4"/>
  <c r="C401" i="4"/>
  <c r="C404" i="4"/>
  <c r="C408" i="4"/>
  <c r="C409" i="4"/>
  <c r="C413" i="4"/>
  <c r="C415" i="4"/>
  <c r="C416" i="4"/>
  <c r="C417" i="4"/>
  <c r="C420" i="4"/>
  <c r="C421" i="4"/>
  <c r="C308" i="4"/>
  <c r="C56" i="4"/>
  <c r="C57" i="4"/>
  <c r="C383" i="4"/>
  <c r="C411" i="4"/>
  <c r="C249" i="4"/>
  <c r="C5" i="4"/>
  <c r="C6" i="4"/>
  <c r="C7" i="4"/>
  <c r="C12" i="4"/>
  <c r="C9" i="4"/>
  <c r="C8" i="4"/>
  <c r="C13" i="4"/>
  <c r="C14" i="4"/>
  <c r="C16" i="4"/>
  <c r="C17" i="4"/>
  <c r="C38" i="4"/>
  <c r="C39" i="4"/>
  <c r="C81" i="4"/>
  <c r="C118" i="4"/>
  <c r="C119" i="4"/>
  <c r="C107" i="4"/>
  <c r="C108" i="4"/>
  <c r="C155" i="4"/>
  <c r="C156" i="4"/>
  <c r="C157" i="4"/>
  <c r="C188" i="4"/>
  <c r="C189" i="4"/>
  <c r="C190" i="4"/>
  <c r="C191" i="4"/>
  <c r="C205" i="4"/>
  <c r="C208" i="4"/>
  <c r="C223" i="4"/>
  <c r="C240" i="4"/>
  <c r="C241" i="4"/>
  <c r="C242" i="4"/>
  <c r="C289" i="4"/>
  <c r="C290" i="4"/>
  <c r="C291" i="4"/>
  <c r="C299" i="4"/>
  <c r="C300" i="4"/>
  <c r="C304" i="4"/>
  <c r="C310" i="4"/>
  <c r="C386" i="4"/>
  <c r="C320" i="4"/>
  <c r="C346" i="4"/>
  <c r="C429" i="4"/>
  <c r="C432" i="4"/>
  <c r="C434" i="4"/>
  <c r="C46" i="4"/>
  <c r="C45" i="4"/>
  <c r="C44" i="4"/>
  <c r="C302" i="4"/>
  <c r="C136" i="4"/>
  <c r="C87" i="4"/>
  <c r="C104" i="4"/>
  <c r="C105" i="4"/>
  <c r="C106" i="4"/>
  <c r="C323" i="4"/>
  <c r="C206" i="4"/>
  <c r="C426" i="4"/>
  <c r="C239" i="4"/>
  <c r="C430" i="4"/>
  <c r="C437" i="4"/>
  <c r="C204" i="4"/>
  <c r="C395" i="4"/>
  <c r="C396" i="4"/>
  <c r="C397" i="4"/>
  <c r="C28" i="4"/>
  <c r="C31" i="4"/>
  <c r="C21" i="4"/>
  <c r="C18" i="4"/>
  <c r="C25" i="4"/>
  <c r="C29" i="4"/>
  <c r="C24" i="4"/>
  <c r="C47" i="4"/>
  <c r="C26" i="4"/>
  <c r="C34" i="4"/>
  <c r="C73" i="4"/>
  <c r="C433" i="4"/>
  <c r="C226" i="4"/>
  <c r="C36" i="4"/>
  <c r="C303" i="4"/>
  <c r="C15" i="4"/>
  <c r="C309" i="4"/>
  <c r="C222" i="4"/>
  <c r="C59" i="4"/>
  <c r="C58" i="4"/>
  <c r="C62" i="4"/>
  <c r="C60" i="4"/>
  <c r="C61" i="4"/>
  <c r="C75" i="4"/>
  <c r="C78" i="4"/>
  <c r="C77" i="4"/>
  <c r="C76" i="4"/>
  <c r="C74" i="4"/>
  <c r="C88" i="4"/>
  <c r="C90" i="4"/>
  <c r="C89" i="4"/>
  <c r="C134" i="4"/>
  <c r="C133" i="4"/>
  <c r="C141" i="4"/>
  <c r="C142" i="4"/>
  <c r="C143" i="4"/>
  <c r="C138" i="4"/>
  <c r="C139" i="4"/>
  <c r="C137" i="4"/>
  <c r="C140" i="4"/>
  <c r="C146" i="4"/>
  <c r="C145" i="4"/>
  <c r="C173" i="4"/>
  <c r="C172" i="4"/>
  <c r="C174" i="4"/>
  <c r="C162" i="4"/>
  <c r="C163" i="4"/>
  <c r="C161" i="4"/>
  <c r="C165" i="4"/>
  <c r="C166" i="4"/>
  <c r="C164" i="4"/>
  <c r="C160" i="4"/>
  <c r="C159" i="4"/>
  <c r="C171" i="4"/>
  <c r="C178" i="4"/>
  <c r="C177" i="4"/>
  <c r="C176" i="4"/>
  <c r="C175" i="4"/>
  <c r="C182" i="4"/>
  <c r="C181" i="4"/>
  <c r="C180" i="4"/>
  <c r="C179" i="4"/>
  <c r="C251" i="4"/>
  <c r="C250" i="4"/>
  <c r="C277" i="4"/>
  <c r="C275" i="4"/>
  <c r="C281" i="4"/>
  <c r="C279" i="4"/>
  <c r="C276" i="4"/>
  <c r="C274" i="4"/>
  <c r="C280" i="4"/>
  <c r="C278" i="4"/>
  <c r="C273" i="4"/>
  <c r="C343" i="4"/>
  <c r="C341" i="4"/>
  <c r="C339" i="4"/>
  <c r="C342" i="4"/>
  <c r="C340" i="4"/>
  <c r="C338" i="4"/>
  <c r="C337" i="4"/>
  <c r="C336" i="4"/>
  <c r="C335" i="4"/>
  <c r="C334" i="4"/>
  <c r="C331" i="4"/>
  <c r="C329" i="4"/>
  <c r="C333" i="4"/>
  <c r="C332" i="4"/>
  <c r="C330" i="4"/>
  <c r="C328" i="4"/>
  <c r="C345" i="4"/>
  <c r="C344" i="4"/>
  <c r="C377" i="4"/>
  <c r="C381" i="4"/>
  <c r="C379" i="4"/>
  <c r="C376" i="4"/>
  <c r="C380" i="4"/>
  <c r="C378" i="4"/>
  <c r="C374" i="4"/>
  <c r="C372" i="4"/>
  <c r="C375" i="4"/>
  <c r="C373" i="4"/>
  <c r="C438" i="4"/>
  <c r="C435" i="4"/>
  <c r="C439" i="4"/>
  <c r="C436" i="4"/>
  <c r="C442" i="4"/>
  <c r="C443" i="4"/>
  <c r="C447" i="4"/>
  <c r="C445" i="4"/>
  <c r="C450" i="4"/>
  <c r="C448" i="4"/>
  <c r="C446" i="4"/>
  <c r="C444" i="4"/>
  <c r="C449" i="4"/>
  <c r="C464" i="4"/>
  <c r="C465" i="4"/>
  <c r="C463" i="4"/>
  <c r="C169" i="4"/>
  <c r="C170" i="4"/>
  <c r="C168" i="4"/>
  <c r="C33" i="4"/>
  <c r="C66" i="4"/>
  <c r="C67" i="4"/>
  <c r="C93" i="4"/>
  <c r="C94" i="4"/>
  <c r="C92" i="4"/>
  <c r="C131" i="4"/>
  <c r="C132" i="4"/>
  <c r="C184" i="4"/>
  <c r="C183" i="4"/>
  <c r="C322" i="4"/>
  <c r="C321" i="4"/>
  <c r="C327" i="4"/>
  <c r="C382" i="4"/>
  <c r="C41" i="4"/>
  <c r="C64" i="4"/>
  <c r="C68" i="4"/>
  <c r="C79" i="4"/>
  <c r="C95" i="4"/>
  <c r="C96" i="4"/>
  <c r="C120" i="4"/>
  <c r="C122" i="4"/>
  <c r="C135" i="4"/>
  <c r="C186" i="4"/>
  <c r="C228" i="4"/>
  <c r="C268" i="4"/>
  <c r="C271" i="4"/>
  <c r="C282" i="4"/>
  <c r="C292" i="4"/>
  <c r="C301" i="4"/>
  <c r="C349" i="4"/>
  <c r="C354" i="4"/>
  <c r="C357" i="4"/>
  <c r="C387" i="4"/>
  <c r="C399" i="4"/>
  <c r="C400" i="4"/>
  <c r="C431" i="4"/>
  <c r="C441" i="4"/>
  <c r="C467" i="4"/>
  <c r="C153" i="4"/>
  <c r="C220" i="4"/>
  <c r="C219" i="4"/>
  <c r="C217" i="4"/>
  <c r="C216" i="4"/>
  <c r="C215" i="4"/>
  <c r="C214" i="4"/>
  <c r="C213" i="4"/>
  <c r="C212" i="4"/>
  <c r="C211" i="4"/>
  <c r="C201" i="4"/>
  <c r="C202" i="4"/>
  <c r="C103" i="4"/>
  <c r="C82" i="4"/>
  <c r="C83" i="4"/>
  <c r="C85" i="4"/>
  <c r="C86" i="4"/>
  <c r="C318" i="4"/>
  <c r="C210" i="4"/>
  <c r="C312" i="4"/>
  <c r="C313" i="4"/>
  <c r="C316" i="4"/>
  <c r="C317" i="4"/>
  <c r="C152" i="4"/>
  <c r="C315" i="4"/>
  <c r="C314" i="4"/>
  <c r="C37" i="4"/>
  <c r="C347" i="4"/>
  <c r="C203" i="4"/>
  <c r="C35" i="4"/>
  <c r="C69" i="4"/>
  <c r="C113" i="4"/>
  <c r="C114" i="4"/>
  <c r="C144" i="4"/>
  <c r="C207" i="4"/>
  <c r="C234" i="4"/>
  <c r="C319" i="4"/>
  <c r="C324" i="4"/>
  <c r="C353" i="4"/>
  <c r="C423" i="4"/>
  <c r="C451" i="4"/>
  <c r="C110" i="4"/>
  <c r="C221" i="4"/>
  <c r="C91" i="4"/>
  <c r="C238" i="4"/>
  <c r="C424" i="4"/>
  <c r="I102" i="22"/>
  <c r="F41" i="22"/>
  <c r="I41" i="22"/>
  <c r="I15" i="22"/>
  <c r="I19" i="22"/>
  <c r="F19" i="22"/>
  <c r="F12" i="22"/>
  <c r="E3" i="16"/>
  <c r="K27" i="16"/>
  <c r="H238" i="4"/>
  <c r="H424" i="4"/>
  <c r="J262" i="4" l="1"/>
  <c r="J187" i="4"/>
  <c r="J11" i="4"/>
  <c r="J32" i="4"/>
  <c r="J101" i="4"/>
  <c r="J115" i="4"/>
  <c r="J116" i="4"/>
  <c r="J125" i="4"/>
  <c r="J126" i="4"/>
  <c r="J127" i="4"/>
  <c r="J128" i="4"/>
  <c r="J129" i="4"/>
  <c r="J148" i="4"/>
  <c r="J147" i="4"/>
  <c r="J149" i="4"/>
  <c r="J150" i="4"/>
  <c r="J151" i="4"/>
  <c r="J194" i="4"/>
  <c r="J196" i="4"/>
  <c r="J195" i="4"/>
  <c r="J197" i="4"/>
  <c r="J199" i="4"/>
  <c r="J198" i="4"/>
  <c r="J200" i="4"/>
  <c r="J459" i="4"/>
  <c r="J245" i="4"/>
  <c r="J243" i="4"/>
  <c r="J244" i="4"/>
  <c r="J246" i="4"/>
  <c r="J247" i="4"/>
  <c r="J248" i="4"/>
  <c r="J252" i="4"/>
  <c r="J256" i="4"/>
  <c r="J258" i="4"/>
  <c r="J257" i="4"/>
  <c r="J259" i="4"/>
  <c r="J260" i="4"/>
  <c r="J261" i="4"/>
  <c r="J254" i="4"/>
  <c r="J255" i="4"/>
  <c r="J265" i="4"/>
  <c r="J266" i="4"/>
  <c r="J267" i="4"/>
  <c r="J264" i="4"/>
  <c r="J306" i="4"/>
  <c r="J305" i="4"/>
  <c r="J307" i="4"/>
  <c r="J311" i="4"/>
  <c r="J325" i="4"/>
  <c r="J326" i="4"/>
  <c r="J348" i="4"/>
  <c r="J384" i="4"/>
  <c r="J385" i="4"/>
  <c r="J130" i="4"/>
  <c r="J388" i="4"/>
  <c r="J389" i="4"/>
  <c r="J391" i="4"/>
  <c r="J393" i="4"/>
  <c r="J392" i="4"/>
  <c r="J390" i="4"/>
  <c r="J427" i="4"/>
  <c r="J428" i="4"/>
  <c r="J440" i="4"/>
  <c r="J461" i="4"/>
  <c r="J460" i="4"/>
  <c r="J462" i="4"/>
  <c r="J453" i="4"/>
  <c r="J454" i="4"/>
  <c r="J455" i="4"/>
  <c r="J458" i="4"/>
  <c r="J457" i="4"/>
  <c r="J456" i="4"/>
  <c r="J466" i="4"/>
  <c r="I238" i="4"/>
  <c r="L238" i="4" s="1"/>
  <c r="I424" i="4"/>
  <c r="L424" i="4" s="1"/>
  <c r="K64" i="1"/>
  <c r="K67" i="1"/>
  <c r="B5" i="21"/>
  <c r="D5" i="21" s="1"/>
  <c r="H110" i="4"/>
  <c r="I110" i="4" l="1"/>
  <c r="L110" i="4" s="1"/>
  <c r="L2" i="26"/>
  <c r="L3" i="26"/>
  <c r="L4" i="26"/>
  <c r="L5" i="26"/>
  <c r="L6" i="26"/>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L83" i="26"/>
  <c r="L84" i="26"/>
  <c r="L85" i="26"/>
  <c r="L86" i="26"/>
  <c r="L87" i="26"/>
  <c r="L88" i="26"/>
  <c r="L89" i="26"/>
  <c r="L90" i="26"/>
  <c r="L91" i="26"/>
  <c r="L92" i="26"/>
  <c r="L93" i="26"/>
  <c r="L94" i="26"/>
  <c r="L95" i="26"/>
  <c r="L96" i="26"/>
  <c r="L97" i="26"/>
  <c r="L98" i="26"/>
  <c r="L99" i="26"/>
  <c r="L100" i="26"/>
  <c r="L101" i="26"/>
  <c r="L102" i="26"/>
  <c r="L103" i="26"/>
  <c r="L104" i="26"/>
  <c r="L105" i="26"/>
  <c r="L106" i="26"/>
  <c r="L107" i="26"/>
  <c r="L108" i="26"/>
  <c r="L109" i="26"/>
  <c r="L110" i="26"/>
  <c r="L111" i="26"/>
  <c r="L112" i="26"/>
  <c r="L113" i="26"/>
  <c r="L114" i="26"/>
  <c r="L115" i="26"/>
  <c r="L116" i="26"/>
  <c r="L117" i="26"/>
  <c r="L118" i="26"/>
  <c r="L119" i="26"/>
  <c r="L120" i="26"/>
  <c r="L121" i="26"/>
  <c r="L122" i="26"/>
  <c r="L123" i="26"/>
  <c r="L124" i="26"/>
  <c r="L125" i="26"/>
  <c r="L126" i="26"/>
  <c r="L127" i="26"/>
  <c r="L128" i="26"/>
  <c r="L129" i="26"/>
  <c r="L130" i="26"/>
  <c r="K2" i="26"/>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59" i="26"/>
  <c r="K60" i="26"/>
  <c r="K61" i="26"/>
  <c r="K62" i="26"/>
  <c r="K63" i="26"/>
  <c r="K64" i="26"/>
  <c r="K65" i="26"/>
  <c r="K66" i="26"/>
  <c r="K67" i="26"/>
  <c r="K68" i="26"/>
  <c r="K69" i="26"/>
  <c r="K70" i="26"/>
  <c r="K71" i="26"/>
  <c r="K72" i="26"/>
  <c r="K73" i="26"/>
  <c r="K74" i="26"/>
  <c r="K75" i="26"/>
  <c r="K76" i="26"/>
  <c r="K77" i="26"/>
  <c r="K78" i="26"/>
  <c r="K79" i="26"/>
  <c r="K80" i="26"/>
  <c r="K81" i="26"/>
  <c r="K82" i="26"/>
  <c r="K83" i="26"/>
  <c r="K84" i="26"/>
  <c r="K85" i="26"/>
  <c r="K86" i="26"/>
  <c r="K87" i="26"/>
  <c r="K88" i="26"/>
  <c r="K89" i="26"/>
  <c r="K90" i="26"/>
  <c r="K91" i="26"/>
  <c r="K92" i="26"/>
  <c r="K93" i="26"/>
  <c r="K94" i="26"/>
  <c r="K95" i="26"/>
  <c r="K96" i="26"/>
  <c r="K97" i="26"/>
  <c r="K98" i="26"/>
  <c r="K99" i="26"/>
  <c r="K100" i="26"/>
  <c r="K101" i="26"/>
  <c r="K102" i="26"/>
  <c r="K103" i="26"/>
  <c r="K104" i="26"/>
  <c r="K105" i="26"/>
  <c r="K106" i="26"/>
  <c r="K107" i="26"/>
  <c r="K108" i="26"/>
  <c r="K109" i="26"/>
  <c r="K110" i="26"/>
  <c r="K111" i="26"/>
  <c r="K112" i="26"/>
  <c r="K113" i="26"/>
  <c r="K114" i="26"/>
  <c r="K115" i="26"/>
  <c r="K116" i="26"/>
  <c r="K117" i="26"/>
  <c r="K118" i="26"/>
  <c r="K119" i="26"/>
  <c r="K120" i="26"/>
  <c r="K121" i="26"/>
  <c r="K122" i="26"/>
  <c r="K123" i="26"/>
  <c r="K124" i="26"/>
  <c r="K125" i="26"/>
  <c r="K126" i="26"/>
  <c r="K127" i="26"/>
  <c r="K128" i="26"/>
  <c r="K129" i="26"/>
  <c r="K130" i="26"/>
  <c r="J3" i="26"/>
  <c r="J4" i="26"/>
  <c r="J5" i="26"/>
  <c r="J6" i="26"/>
  <c r="J7" i="26"/>
  <c r="J8" i="26"/>
  <c r="J9" i="26"/>
  <c r="J10" i="26"/>
  <c r="J11" i="26"/>
  <c r="J12" i="26"/>
  <c r="J13" i="26"/>
  <c r="J14" i="26"/>
  <c r="J15" i="26"/>
  <c r="J16" i="26"/>
  <c r="J17" i="26"/>
  <c r="J18" i="26"/>
  <c r="J19" i="26"/>
  <c r="J20" i="26"/>
  <c r="J21" i="26"/>
  <c r="J22" i="26"/>
  <c r="J23" i="26"/>
  <c r="J24" i="26"/>
  <c r="J25" i="26"/>
  <c r="J26" i="26"/>
  <c r="J27" i="26"/>
  <c r="J28" i="26"/>
  <c r="J29" i="26"/>
  <c r="J30" i="26"/>
  <c r="J31" i="26"/>
  <c r="J32" i="26"/>
  <c r="J33" i="26"/>
  <c r="J34" i="26"/>
  <c r="J35" i="26"/>
  <c r="J36" i="26"/>
  <c r="J37" i="26"/>
  <c r="J38" i="26"/>
  <c r="J39" i="26"/>
  <c r="J40" i="26"/>
  <c r="J41" i="26"/>
  <c r="J42" i="26"/>
  <c r="J43" i="26"/>
  <c r="J44" i="26"/>
  <c r="J45" i="26"/>
  <c r="J46" i="26"/>
  <c r="J47" i="26"/>
  <c r="J48" i="26"/>
  <c r="J49" i="26"/>
  <c r="J50" i="26"/>
  <c r="J51" i="26"/>
  <c r="J52" i="26"/>
  <c r="J53" i="26"/>
  <c r="J54" i="26"/>
  <c r="J55" i="26"/>
  <c r="J56" i="26"/>
  <c r="J57" i="26"/>
  <c r="J58" i="26"/>
  <c r="J59" i="26"/>
  <c r="J60" i="26"/>
  <c r="J61" i="26"/>
  <c r="J62" i="26"/>
  <c r="J63" i="26"/>
  <c r="J64" i="26"/>
  <c r="J65" i="26"/>
  <c r="J66" i="26"/>
  <c r="J67" i="26"/>
  <c r="J68" i="26"/>
  <c r="J69" i="26"/>
  <c r="J70" i="26"/>
  <c r="J71" i="26"/>
  <c r="J72" i="26"/>
  <c r="J73" i="26"/>
  <c r="J74" i="26"/>
  <c r="J75" i="26"/>
  <c r="J76" i="26"/>
  <c r="J77" i="26"/>
  <c r="J78" i="26"/>
  <c r="J79" i="26"/>
  <c r="J80" i="26"/>
  <c r="J81" i="26"/>
  <c r="J82" i="26"/>
  <c r="J83" i="26"/>
  <c r="J84" i="26"/>
  <c r="J85" i="26"/>
  <c r="J86" i="26"/>
  <c r="J87" i="26"/>
  <c r="J88" i="26"/>
  <c r="J89" i="26"/>
  <c r="J90" i="26"/>
  <c r="J91" i="26"/>
  <c r="J92" i="26"/>
  <c r="J93" i="26"/>
  <c r="J94" i="26"/>
  <c r="J95" i="26"/>
  <c r="J96" i="26"/>
  <c r="J97" i="26"/>
  <c r="J98" i="26"/>
  <c r="J99" i="26"/>
  <c r="J100" i="26"/>
  <c r="J101" i="26"/>
  <c r="J102" i="26"/>
  <c r="J103" i="26"/>
  <c r="J104" i="26"/>
  <c r="J105" i="26"/>
  <c r="J106" i="26"/>
  <c r="J107" i="26"/>
  <c r="J108" i="26"/>
  <c r="J109" i="26"/>
  <c r="J110" i="26"/>
  <c r="J111" i="26"/>
  <c r="J112" i="26"/>
  <c r="J113" i="26"/>
  <c r="J114" i="26"/>
  <c r="J115" i="26"/>
  <c r="J116" i="26"/>
  <c r="J117" i="26"/>
  <c r="J118" i="26"/>
  <c r="J119" i="26"/>
  <c r="J120" i="26"/>
  <c r="J121" i="26"/>
  <c r="J122" i="26"/>
  <c r="J123" i="26"/>
  <c r="J124" i="26"/>
  <c r="J125" i="26"/>
  <c r="J126" i="26"/>
  <c r="J127" i="26"/>
  <c r="J128" i="26"/>
  <c r="J129" i="26"/>
  <c r="J130" i="26"/>
  <c r="I2" i="26"/>
  <c r="B8" i="21"/>
  <c r="D8" i="21" s="1"/>
  <c r="J218" i="4" s="1"/>
  <c r="B6" i="21"/>
  <c r="K17" i="16" l="1"/>
  <c r="F3" i="22"/>
  <c r="F4" i="22"/>
  <c r="F5" i="22"/>
  <c r="F6" i="22"/>
  <c r="F7" i="22"/>
  <c r="F8" i="22"/>
  <c r="F9" i="22"/>
  <c r="F10" i="22"/>
  <c r="F11" i="22"/>
  <c r="F13" i="22"/>
  <c r="F14" i="22"/>
  <c r="F15" i="22"/>
  <c r="F16" i="22"/>
  <c r="F17" i="22"/>
  <c r="F18" i="22"/>
  <c r="F20" i="22"/>
  <c r="F21" i="22"/>
  <c r="F22" i="22"/>
  <c r="F23" i="22"/>
  <c r="F24" i="22"/>
  <c r="F25" i="22"/>
  <c r="F26" i="22"/>
  <c r="F27" i="22"/>
  <c r="F28" i="22"/>
  <c r="F29" i="22"/>
  <c r="F30" i="22"/>
  <c r="F31" i="22"/>
  <c r="F32" i="22"/>
  <c r="F33" i="22"/>
  <c r="F34" i="22"/>
  <c r="F35" i="22"/>
  <c r="F36" i="22"/>
  <c r="F37" i="22"/>
  <c r="F38" i="22"/>
  <c r="F39" i="22"/>
  <c r="F40"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I3" i="26"/>
  <c r="I4" i="26"/>
  <c r="I5" i="26"/>
  <c r="I6" i="26"/>
  <c r="I7" i="26"/>
  <c r="I8" i="26"/>
  <c r="I9" i="26"/>
  <c r="I10" i="26"/>
  <c r="I11" i="26"/>
  <c r="I12" i="26"/>
  <c r="I13" i="26"/>
  <c r="I14" i="26"/>
  <c r="I15" i="26"/>
  <c r="I16" i="26"/>
  <c r="I17" i="26"/>
  <c r="I18" i="26"/>
  <c r="I19" i="26"/>
  <c r="I20" i="26"/>
  <c r="I21" i="26"/>
  <c r="I22" i="26"/>
  <c r="I23" i="26"/>
  <c r="I24" i="26"/>
  <c r="I25" i="26"/>
  <c r="I26" i="26"/>
  <c r="I27" i="26"/>
  <c r="I28" i="26"/>
  <c r="I29" i="26"/>
  <c r="I30" i="26"/>
  <c r="I31" i="26"/>
  <c r="I32" i="26"/>
  <c r="I33" i="26"/>
  <c r="I34" i="26"/>
  <c r="I35" i="26"/>
  <c r="I36" i="26"/>
  <c r="I37" i="26"/>
  <c r="I38" i="26"/>
  <c r="I39" i="26"/>
  <c r="I40" i="26"/>
  <c r="I41" i="26"/>
  <c r="I42" i="26"/>
  <c r="I43" i="26"/>
  <c r="I44" i="26"/>
  <c r="I45" i="26"/>
  <c r="I46" i="26"/>
  <c r="I47" i="26"/>
  <c r="I48" i="26"/>
  <c r="I49" i="26"/>
  <c r="I50" i="26"/>
  <c r="I51" i="26"/>
  <c r="I52" i="26"/>
  <c r="I53" i="26"/>
  <c r="I54" i="26"/>
  <c r="I55" i="26"/>
  <c r="I56" i="26"/>
  <c r="I57" i="26"/>
  <c r="I58" i="26"/>
  <c r="I59" i="26"/>
  <c r="I60" i="26"/>
  <c r="I61" i="26"/>
  <c r="I62" i="26"/>
  <c r="I63" i="26"/>
  <c r="I64" i="26"/>
  <c r="I65" i="26"/>
  <c r="I66" i="26"/>
  <c r="I67" i="26"/>
  <c r="I68" i="26"/>
  <c r="I69" i="26"/>
  <c r="I70" i="26"/>
  <c r="I71" i="26"/>
  <c r="I72" i="26"/>
  <c r="I73" i="26"/>
  <c r="I74" i="26"/>
  <c r="I75" i="26"/>
  <c r="I76" i="26"/>
  <c r="I77" i="26"/>
  <c r="I78" i="26"/>
  <c r="I79" i="26"/>
  <c r="I80" i="26"/>
  <c r="I81" i="26"/>
  <c r="I82" i="26"/>
  <c r="I83" i="26"/>
  <c r="I84" i="26"/>
  <c r="I85" i="26"/>
  <c r="I86" i="26"/>
  <c r="I87" i="26"/>
  <c r="I88" i="26"/>
  <c r="I89" i="26"/>
  <c r="I90" i="26"/>
  <c r="I91" i="26"/>
  <c r="I92" i="26"/>
  <c r="I93" i="26"/>
  <c r="I94" i="26"/>
  <c r="I95" i="26"/>
  <c r="I96" i="26"/>
  <c r="I97" i="26"/>
  <c r="I98" i="26"/>
  <c r="I99" i="26"/>
  <c r="I100" i="26"/>
  <c r="I101" i="26"/>
  <c r="I102" i="26"/>
  <c r="I103" i="26"/>
  <c r="I104" i="26"/>
  <c r="I105" i="26"/>
  <c r="I106" i="26"/>
  <c r="I107" i="26"/>
  <c r="I108" i="26"/>
  <c r="I109" i="26"/>
  <c r="I110" i="26"/>
  <c r="I111" i="26"/>
  <c r="I112" i="26"/>
  <c r="I113" i="26"/>
  <c r="I114" i="26"/>
  <c r="I115" i="26"/>
  <c r="I116" i="26"/>
  <c r="I117" i="26"/>
  <c r="I118" i="26"/>
  <c r="I119" i="26"/>
  <c r="I120" i="26"/>
  <c r="I121" i="26"/>
  <c r="I122" i="26"/>
  <c r="I123" i="26"/>
  <c r="I124" i="26"/>
  <c r="I125" i="26"/>
  <c r="I126" i="26"/>
  <c r="I127" i="26"/>
  <c r="I128" i="26"/>
  <c r="I129" i="26"/>
  <c r="I130" i="26"/>
  <c r="H2" i="26"/>
  <c r="K19" i="16"/>
  <c r="K30" i="16"/>
  <c r="K44" i="16"/>
  <c r="K32" i="16"/>
  <c r="K26" i="16"/>
  <c r="K29" i="16"/>
  <c r="K28" i="16"/>
  <c r="K23" i="16"/>
  <c r="K24" i="16"/>
  <c r="K21" i="16"/>
  <c r="K20" i="16"/>
  <c r="K13" i="16"/>
  <c r="K18" i="16"/>
  <c r="K14" i="16"/>
  <c r="K7" i="16"/>
  <c r="K6" i="16"/>
  <c r="K10" i="16"/>
  <c r="K11" i="16"/>
  <c r="K57" i="16"/>
  <c r="K31" i="16"/>
  <c r="K48" i="16"/>
  <c r="K49" i="16"/>
  <c r="K53" i="16"/>
  <c r="K55" i="16"/>
  <c r="K12" i="16"/>
  <c r="K52" i="16"/>
  <c r="K50" i="16"/>
  <c r="K3" i="16"/>
  <c r="K58" i="16"/>
  <c r="K25" i="16"/>
  <c r="I3" i="22"/>
  <c r="H211" i="4"/>
  <c r="H315" i="4"/>
  <c r="H203" i="4"/>
  <c r="H202" i="4"/>
  <c r="H83" i="4"/>
  <c r="H314" i="4"/>
  <c r="H318" i="4"/>
  <c r="H85" i="4"/>
  <c r="H221" i="4"/>
  <c r="H316" i="4"/>
  <c r="H213" i="4"/>
  <c r="H152" i="4"/>
  <c r="H317" i="4"/>
  <c r="H214" i="4"/>
  <c r="H201" i="4"/>
  <c r="H347" i="4"/>
  <c r="H37" i="4"/>
  <c r="H103" i="4"/>
  <c r="H86" i="4"/>
  <c r="H312" i="4"/>
  <c r="H210" i="4"/>
  <c r="H219" i="4"/>
  <c r="H82" i="4"/>
  <c r="H212" i="4"/>
  <c r="H217" i="4"/>
  <c r="H313" i="4"/>
  <c r="H218" i="4"/>
  <c r="H216" i="4"/>
  <c r="H215" i="4"/>
  <c r="I218" i="4" l="1"/>
  <c r="L218" i="4" s="1"/>
  <c r="I85" i="4"/>
  <c r="L85" i="4" s="1"/>
  <c r="I219" i="4"/>
  <c r="L219" i="4" s="1"/>
  <c r="I201" i="4"/>
  <c r="L201" i="4" s="1"/>
  <c r="I203" i="4"/>
  <c r="L203" i="4" s="1"/>
  <c r="I312" i="4"/>
  <c r="L312" i="4" s="1"/>
  <c r="I217" i="4"/>
  <c r="L217" i="4" s="1"/>
  <c r="I317" i="4"/>
  <c r="L317" i="4" s="1"/>
  <c r="I83" i="4"/>
  <c r="L83" i="4" s="1"/>
  <c r="I347" i="4"/>
  <c r="L347" i="4" s="1"/>
  <c r="I215" i="4"/>
  <c r="L215" i="4" s="1"/>
  <c r="I103" i="4"/>
  <c r="L103" i="4" s="1"/>
  <c r="I202" i="4"/>
  <c r="L202" i="4" s="1"/>
  <c r="I216" i="4"/>
  <c r="L216" i="4" s="1"/>
  <c r="I315" i="4"/>
  <c r="L315" i="4" s="1"/>
  <c r="I313" i="4"/>
  <c r="L313" i="4" s="1"/>
  <c r="I221" i="4"/>
  <c r="L221" i="4" s="1"/>
  <c r="I152" i="4"/>
  <c r="L152" i="4" s="1"/>
  <c r="I316" i="4"/>
  <c r="L316" i="4" s="1"/>
  <c r="I210" i="4"/>
  <c r="L210" i="4" s="1"/>
  <c r="I214" i="4"/>
  <c r="L214" i="4" s="1"/>
  <c r="I314" i="4"/>
  <c r="L314" i="4" s="1"/>
  <c r="I86" i="4"/>
  <c r="L86" i="4" s="1"/>
  <c r="I318" i="4"/>
  <c r="L318" i="4" s="1"/>
  <c r="I82" i="4"/>
  <c r="L82" i="4" s="1"/>
  <c r="I37" i="4"/>
  <c r="L37" i="4" s="1"/>
  <c r="I211" i="4"/>
  <c r="L211" i="4" s="1"/>
  <c r="I213" i="4"/>
  <c r="L213" i="4" s="1"/>
  <c r="I212" i="4"/>
  <c r="L212" i="4" s="1"/>
  <c r="B1" i="22"/>
  <c r="J91" i="4" l="1"/>
  <c r="B1" i="9"/>
  <c r="B9" i="21" s="1"/>
  <c r="B10" i="21"/>
  <c r="H349" i="4"/>
  <c r="H301" i="4"/>
  <c r="H431" i="4"/>
  <c r="H271" i="4"/>
  <c r="H220" i="4"/>
  <c r="H96" i="4"/>
  <c r="H400" i="4"/>
  <c r="H354" i="4"/>
  <c r="H122" i="4"/>
  <c r="H357" i="4"/>
  <c r="H135" i="4"/>
  <c r="H268" i="4"/>
  <c r="H64" i="4"/>
  <c r="H68" i="4"/>
  <c r="H120" i="4"/>
  <c r="H399" i="4"/>
  <c r="H153" i="4"/>
  <c r="H41" i="4"/>
  <c r="H79" i="4"/>
  <c r="H467" i="4"/>
  <c r="H292" i="4"/>
  <c r="H282" i="4"/>
  <c r="H387" i="4"/>
  <c r="H95" i="4"/>
  <c r="H441" i="4"/>
  <c r="H228" i="4"/>
  <c r="H186" i="4"/>
  <c r="I441" i="4" l="1"/>
  <c r="L441" i="4" s="1"/>
  <c r="I399" i="4"/>
  <c r="L399" i="4" s="1"/>
  <c r="I41" i="4"/>
  <c r="L41" i="4" s="1"/>
  <c r="I292" i="4"/>
  <c r="L292" i="4" s="1"/>
  <c r="I220" i="4"/>
  <c r="L220" i="4" s="1"/>
  <c r="I186" i="4"/>
  <c r="L186" i="4" s="1"/>
  <c r="I467" i="4"/>
  <c r="L467" i="4" s="1"/>
  <c r="I431" i="4"/>
  <c r="L431" i="4" s="1"/>
  <c r="I357" i="4"/>
  <c r="L357" i="4" s="1"/>
  <c r="I228" i="4"/>
  <c r="L228" i="4" s="1"/>
  <c r="I135" i="4"/>
  <c r="L135" i="4" s="1"/>
  <c r="I122" i="4"/>
  <c r="L122" i="4" s="1"/>
  <c r="I301" i="4"/>
  <c r="L301" i="4" s="1"/>
  <c r="I271" i="4"/>
  <c r="L271" i="4" s="1"/>
  <c r="I349" i="4"/>
  <c r="L349" i="4" s="1"/>
  <c r="I64" i="4"/>
  <c r="L64" i="4" s="1"/>
  <c r="I68" i="4"/>
  <c r="L68" i="4" s="1"/>
  <c r="I79" i="4"/>
  <c r="L79" i="4" s="1"/>
  <c r="I96" i="4"/>
  <c r="L96" i="4" s="1"/>
  <c r="I400" i="4"/>
  <c r="L400" i="4" s="1"/>
  <c r="I95" i="4"/>
  <c r="L95" i="4" s="1"/>
  <c r="I120" i="4"/>
  <c r="L120" i="4" s="1"/>
  <c r="I354" i="4"/>
  <c r="L354" i="4" s="1"/>
  <c r="I282" i="4"/>
  <c r="L282" i="4" s="1"/>
  <c r="I268" i="4"/>
  <c r="L268" i="4" s="1"/>
  <c r="I387" i="4"/>
  <c r="L387" i="4" s="1"/>
  <c r="I153" i="4"/>
  <c r="L153" i="4" s="1"/>
  <c r="K71" i="1"/>
  <c r="K22" i="1"/>
  <c r="K102" i="1"/>
  <c r="K88" i="1"/>
  <c r="K80" i="1"/>
  <c r="K96" i="1"/>
  <c r="K95" i="1"/>
  <c r="K91" i="1"/>
  <c r="K90" i="1"/>
  <c r="K75" i="1"/>
  <c r="K16" i="1"/>
  <c r="K83" i="1"/>
  <c r="K70" i="1"/>
  <c r="K76" i="1"/>
  <c r="K103" i="1"/>
  <c r="K99" i="1"/>
  <c r="K62" i="1"/>
  <c r="K87" i="1"/>
  <c r="K82" i="1"/>
  <c r="K65" i="1"/>
  <c r="K77" i="1"/>
  <c r="K72" i="1"/>
  <c r="K68" i="1"/>
  <c r="K66" i="1"/>
  <c r="K63" i="1"/>
  <c r="K60" i="1"/>
  <c r="K59" i="1"/>
  <c r="K56" i="1"/>
  <c r="K55" i="1"/>
  <c r="K43" i="1"/>
  <c r="K41" i="1"/>
  <c r="K53" i="1"/>
  <c r="K52" i="1"/>
  <c r="K51" i="1"/>
  <c r="K49" i="1"/>
  <c r="K48" i="1"/>
  <c r="K46" i="1"/>
  <c r="K45" i="1"/>
  <c r="K44" i="1"/>
  <c r="K28" i="1"/>
  <c r="K42" i="1"/>
  <c r="K39" i="1"/>
  <c r="K36" i="1"/>
  <c r="K34" i="1"/>
  <c r="K32" i="1"/>
  <c r="K31" i="1"/>
  <c r="K30" i="1"/>
  <c r="K26" i="1"/>
  <c r="K18" i="1"/>
  <c r="K25" i="1"/>
  <c r="K23" i="1"/>
  <c r="K21" i="1"/>
  <c r="K19" i="1"/>
  <c r="K12" i="1"/>
  <c r="K11" i="1"/>
  <c r="K10" i="1"/>
  <c r="K9" i="1"/>
  <c r="K8" i="1"/>
  <c r="K7" i="1"/>
  <c r="K6" i="1"/>
  <c r="K5" i="1"/>
  <c r="K4" i="1"/>
  <c r="K3" i="1"/>
  <c r="I118" i="22"/>
  <c r="I101" i="22"/>
  <c r="I72" i="22"/>
  <c r="I71" i="22"/>
  <c r="I70" i="22"/>
  <c r="I58" i="22"/>
  <c r="I57" i="22"/>
  <c r="I24" i="22"/>
  <c r="I23" i="22"/>
  <c r="I22" i="22"/>
  <c r="I21" i="22"/>
  <c r="I20" i="22"/>
  <c r="I10" i="22"/>
  <c r="I9" i="22"/>
  <c r="I44" i="22"/>
  <c r="I43" i="22"/>
  <c r="I42" i="22"/>
  <c r="I117" i="22"/>
  <c r="I116" i="22"/>
  <c r="I115" i="22"/>
  <c r="I114" i="22"/>
  <c r="I113" i="22"/>
  <c r="I112" i="22"/>
  <c r="I111" i="22"/>
  <c r="I110" i="22"/>
  <c r="I109" i="22"/>
  <c r="I108" i="22"/>
  <c r="I107" i="22"/>
  <c r="I106" i="22"/>
  <c r="I105" i="22"/>
  <c r="I104" i="22"/>
  <c r="I103" i="22"/>
  <c r="I100" i="22"/>
  <c r="I99" i="22"/>
  <c r="I98" i="22"/>
  <c r="I97" i="22"/>
  <c r="I96" i="22"/>
  <c r="I95" i="22"/>
  <c r="I94" i="22"/>
  <c r="I93" i="22"/>
  <c r="I92" i="22"/>
  <c r="I91" i="22"/>
  <c r="I90" i="22"/>
  <c r="I89" i="22"/>
  <c r="I88" i="22"/>
  <c r="I87" i="22"/>
  <c r="I86" i="22"/>
  <c r="I85" i="22"/>
  <c r="I84" i="22"/>
  <c r="I83" i="22"/>
  <c r="I82" i="22"/>
  <c r="I81" i="22"/>
  <c r="I80" i="22"/>
  <c r="I79" i="22"/>
  <c r="I78" i="22"/>
  <c r="I77" i="22"/>
  <c r="I76" i="22"/>
  <c r="I75" i="22"/>
  <c r="I74" i="22"/>
  <c r="I73" i="22"/>
  <c r="I69" i="22"/>
  <c r="I68" i="22"/>
  <c r="I67" i="22"/>
  <c r="I66" i="22"/>
  <c r="I65" i="22"/>
  <c r="I64" i="22"/>
  <c r="I63" i="22"/>
  <c r="I62" i="22"/>
  <c r="I61" i="22"/>
  <c r="I60" i="22"/>
  <c r="I59" i="22"/>
  <c r="I56" i="22"/>
  <c r="I55" i="22"/>
  <c r="I54" i="22"/>
  <c r="I53" i="22"/>
  <c r="I52" i="22"/>
  <c r="I51" i="22"/>
  <c r="I50" i="22"/>
  <c r="I49" i="22"/>
  <c r="I45" i="22"/>
  <c r="I40" i="22"/>
  <c r="I39" i="22"/>
  <c r="I38" i="22"/>
  <c r="I37" i="22"/>
  <c r="I36" i="22"/>
  <c r="I35" i="22"/>
  <c r="I34" i="22"/>
  <c r="I48" i="22"/>
  <c r="I47" i="22"/>
  <c r="I46" i="22"/>
  <c r="I33" i="22"/>
  <c r="I32" i="22"/>
  <c r="I31" i="22"/>
  <c r="I30" i="22"/>
  <c r="I29" i="22"/>
  <c r="I28" i="22"/>
  <c r="I27" i="22"/>
  <c r="I26" i="22"/>
  <c r="I25" i="22"/>
  <c r="I18" i="22"/>
  <c r="I17" i="22"/>
  <c r="I16" i="22"/>
  <c r="I14" i="22"/>
  <c r="I13" i="22"/>
  <c r="I12" i="22"/>
  <c r="I11" i="22"/>
  <c r="I8" i="22"/>
  <c r="I7" i="22"/>
  <c r="I6" i="22"/>
  <c r="I5" i="22"/>
  <c r="I4" i="22"/>
  <c r="B7" i="21"/>
  <c r="D7" i="21" s="1"/>
  <c r="B12" i="21"/>
  <c r="D12" i="21" s="1"/>
  <c r="B14" i="21"/>
  <c r="D14" i="21" s="1"/>
  <c r="B13" i="21"/>
  <c r="D13" i="21" s="1"/>
  <c r="J52" i="4" s="1"/>
  <c r="B4" i="21"/>
  <c r="D4" i="21" s="1"/>
  <c r="B11" i="21"/>
  <c r="D11" i="21" s="1"/>
  <c r="B15" i="21"/>
  <c r="D15" i="21" s="1"/>
  <c r="J63" i="4" s="1"/>
  <c r="H130" i="26"/>
  <c r="G130" i="26"/>
  <c r="F130" i="26"/>
  <c r="E130" i="26"/>
  <c r="D130" i="26"/>
  <c r="C130" i="26"/>
  <c r="B130" i="26"/>
  <c r="A130" i="26"/>
  <c r="H129" i="26"/>
  <c r="G129" i="26"/>
  <c r="F129" i="26"/>
  <c r="E129" i="26"/>
  <c r="D129" i="26"/>
  <c r="C129" i="26"/>
  <c r="B129" i="26"/>
  <c r="A129" i="26"/>
  <c r="H128" i="26"/>
  <c r="G128" i="26"/>
  <c r="F128" i="26"/>
  <c r="E128" i="26"/>
  <c r="D128" i="26"/>
  <c r="C128" i="26"/>
  <c r="B128" i="26"/>
  <c r="A128" i="26"/>
  <c r="H127" i="26"/>
  <c r="G127" i="26"/>
  <c r="F127" i="26"/>
  <c r="E127" i="26"/>
  <c r="D127" i="26"/>
  <c r="C127" i="26"/>
  <c r="B127" i="26"/>
  <c r="A127" i="26"/>
  <c r="H126" i="26"/>
  <c r="G126" i="26"/>
  <c r="F126" i="26"/>
  <c r="E126" i="26"/>
  <c r="D126" i="26"/>
  <c r="C126" i="26"/>
  <c r="B126" i="26"/>
  <c r="A126" i="26"/>
  <c r="H125" i="26"/>
  <c r="G125" i="26"/>
  <c r="F125" i="26"/>
  <c r="E125" i="26"/>
  <c r="D125" i="26"/>
  <c r="C125" i="26"/>
  <c r="B125" i="26"/>
  <c r="A125" i="26"/>
  <c r="H124" i="26"/>
  <c r="G124" i="26"/>
  <c r="F124" i="26"/>
  <c r="E124" i="26"/>
  <c r="D124" i="26"/>
  <c r="C124" i="26"/>
  <c r="B124" i="26"/>
  <c r="A124" i="26"/>
  <c r="H123" i="26"/>
  <c r="G123" i="26"/>
  <c r="F123" i="26"/>
  <c r="E123" i="26"/>
  <c r="D123" i="26"/>
  <c r="C123" i="26"/>
  <c r="B123" i="26"/>
  <c r="A123" i="26"/>
  <c r="H122" i="26"/>
  <c r="G122" i="26"/>
  <c r="F122" i="26"/>
  <c r="E122" i="26"/>
  <c r="D122" i="26"/>
  <c r="C122" i="26"/>
  <c r="B122" i="26"/>
  <c r="A122" i="26"/>
  <c r="H121" i="26"/>
  <c r="G121" i="26"/>
  <c r="F121" i="26"/>
  <c r="E121" i="26"/>
  <c r="D121" i="26"/>
  <c r="C121" i="26"/>
  <c r="B121" i="26"/>
  <c r="A121" i="26"/>
  <c r="H120" i="26"/>
  <c r="G120" i="26"/>
  <c r="F120" i="26"/>
  <c r="E120" i="26"/>
  <c r="D120" i="26"/>
  <c r="C120" i="26"/>
  <c r="B120" i="26"/>
  <c r="A120" i="26"/>
  <c r="H119" i="26"/>
  <c r="G119" i="26"/>
  <c r="F119" i="26"/>
  <c r="E119" i="26"/>
  <c r="D119" i="26"/>
  <c r="C119" i="26"/>
  <c r="B119" i="26"/>
  <c r="A119" i="26"/>
  <c r="H118" i="26"/>
  <c r="G118" i="26"/>
  <c r="F118" i="26"/>
  <c r="E118" i="26"/>
  <c r="D118" i="26"/>
  <c r="C118" i="26"/>
  <c r="B118" i="26"/>
  <c r="A118" i="26"/>
  <c r="H117" i="26"/>
  <c r="G117" i="26"/>
  <c r="F117" i="26"/>
  <c r="E117" i="26"/>
  <c r="D117" i="26"/>
  <c r="C117" i="26"/>
  <c r="B117" i="26"/>
  <c r="A117" i="26"/>
  <c r="H116" i="26"/>
  <c r="G116" i="26"/>
  <c r="F116" i="26"/>
  <c r="E116" i="26"/>
  <c r="D116" i="26"/>
  <c r="C116" i="26"/>
  <c r="B116" i="26"/>
  <c r="A116" i="26"/>
  <c r="H115" i="26"/>
  <c r="G115" i="26"/>
  <c r="F115" i="26"/>
  <c r="E115" i="26"/>
  <c r="D115" i="26"/>
  <c r="C115" i="26"/>
  <c r="B115" i="26"/>
  <c r="A115" i="26"/>
  <c r="H114" i="26"/>
  <c r="G114" i="26"/>
  <c r="F114" i="26"/>
  <c r="E114" i="26"/>
  <c r="D114" i="26"/>
  <c r="C114" i="26"/>
  <c r="B114" i="26"/>
  <c r="A114" i="26"/>
  <c r="H113" i="26"/>
  <c r="G113" i="26"/>
  <c r="F113" i="26"/>
  <c r="E113" i="26"/>
  <c r="D113" i="26"/>
  <c r="C113" i="26"/>
  <c r="B113" i="26"/>
  <c r="A113" i="26"/>
  <c r="H112" i="26"/>
  <c r="G112" i="26"/>
  <c r="F112" i="26"/>
  <c r="E112" i="26"/>
  <c r="D112" i="26"/>
  <c r="C112" i="26"/>
  <c r="B112" i="26"/>
  <c r="A112" i="26"/>
  <c r="H111" i="26"/>
  <c r="G111" i="26"/>
  <c r="F111" i="26"/>
  <c r="E111" i="26"/>
  <c r="D111" i="26"/>
  <c r="C111" i="26"/>
  <c r="B111" i="26"/>
  <c r="A111" i="26"/>
  <c r="H110" i="26"/>
  <c r="G110" i="26"/>
  <c r="F110" i="26"/>
  <c r="E110" i="26"/>
  <c r="D110" i="26"/>
  <c r="C110" i="26"/>
  <c r="B110" i="26"/>
  <c r="A110" i="26"/>
  <c r="H109" i="26"/>
  <c r="G109" i="26"/>
  <c r="F109" i="26"/>
  <c r="E109" i="26"/>
  <c r="D109" i="26"/>
  <c r="C109" i="26"/>
  <c r="B109" i="26"/>
  <c r="A109" i="26"/>
  <c r="H108" i="26"/>
  <c r="G108" i="26"/>
  <c r="F108" i="26"/>
  <c r="E108" i="26"/>
  <c r="D108" i="26"/>
  <c r="C108" i="26"/>
  <c r="B108" i="26"/>
  <c r="A108" i="26"/>
  <c r="H107" i="26"/>
  <c r="G107" i="26"/>
  <c r="F107" i="26"/>
  <c r="E107" i="26"/>
  <c r="D107" i="26"/>
  <c r="C107" i="26"/>
  <c r="B107" i="26"/>
  <c r="A107" i="26"/>
  <c r="H106" i="26"/>
  <c r="G106" i="26"/>
  <c r="F106" i="26"/>
  <c r="E106" i="26"/>
  <c r="D106" i="26"/>
  <c r="C106" i="26"/>
  <c r="B106" i="26"/>
  <c r="A106" i="26"/>
  <c r="H105" i="26"/>
  <c r="G105" i="26"/>
  <c r="F105" i="26"/>
  <c r="E105" i="26"/>
  <c r="D105" i="26"/>
  <c r="C105" i="26"/>
  <c r="B105" i="26"/>
  <c r="A105" i="26"/>
  <c r="H104" i="26"/>
  <c r="G104" i="26"/>
  <c r="F104" i="26"/>
  <c r="E104" i="26"/>
  <c r="D104" i="26"/>
  <c r="C104" i="26"/>
  <c r="B104" i="26"/>
  <c r="A104" i="26"/>
  <c r="H103" i="26"/>
  <c r="G103" i="26"/>
  <c r="F103" i="26"/>
  <c r="E103" i="26"/>
  <c r="D103" i="26"/>
  <c r="C103" i="26"/>
  <c r="B103" i="26"/>
  <c r="A103" i="26"/>
  <c r="H102" i="26"/>
  <c r="G102" i="26"/>
  <c r="F102" i="26"/>
  <c r="E102" i="26"/>
  <c r="D102" i="26"/>
  <c r="C102" i="26"/>
  <c r="B102" i="26"/>
  <c r="A102" i="26"/>
  <c r="H101" i="26"/>
  <c r="G101" i="26"/>
  <c r="F101" i="26"/>
  <c r="E101" i="26"/>
  <c r="D101" i="26"/>
  <c r="C101" i="26"/>
  <c r="B101" i="26"/>
  <c r="A101" i="26"/>
  <c r="H100" i="26"/>
  <c r="G100" i="26"/>
  <c r="F100" i="26"/>
  <c r="E100" i="26"/>
  <c r="D100" i="26"/>
  <c r="C100" i="26"/>
  <c r="B100" i="26"/>
  <c r="A100" i="26"/>
  <c r="H99" i="26"/>
  <c r="G99" i="26"/>
  <c r="F99" i="26"/>
  <c r="E99" i="26"/>
  <c r="D99" i="26"/>
  <c r="C99" i="26"/>
  <c r="B99" i="26"/>
  <c r="A99" i="26"/>
  <c r="H98" i="26"/>
  <c r="G98" i="26"/>
  <c r="F98" i="26"/>
  <c r="E98" i="26"/>
  <c r="D98" i="26"/>
  <c r="C98" i="26"/>
  <c r="B98" i="26"/>
  <c r="A98" i="26"/>
  <c r="H97" i="26"/>
  <c r="G97" i="26"/>
  <c r="F97" i="26"/>
  <c r="E97" i="26"/>
  <c r="D97" i="26"/>
  <c r="C97" i="26"/>
  <c r="B97" i="26"/>
  <c r="A97" i="26"/>
  <c r="H96" i="26"/>
  <c r="G96" i="26"/>
  <c r="F96" i="26"/>
  <c r="E96" i="26"/>
  <c r="D96" i="26"/>
  <c r="C96" i="26"/>
  <c r="B96" i="26"/>
  <c r="A96" i="26"/>
  <c r="H95" i="26"/>
  <c r="G95" i="26"/>
  <c r="F95" i="26"/>
  <c r="E95" i="26"/>
  <c r="D95" i="26"/>
  <c r="C95" i="26"/>
  <c r="B95" i="26"/>
  <c r="A95" i="26"/>
  <c r="H94" i="26"/>
  <c r="G94" i="26"/>
  <c r="F94" i="26"/>
  <c r="E94" i="26"/>
  <c r="D94" i="26"/>
  <c r="C94" i="26"/>
  <c r="B94" i="26"/>
  <c r="A94" i="26"/>
  <c r="H93" i="26"/>
  <c r="G93" i="26"/>
  <c r="F93" i="26"/>
  <c r="E93" i="26"/>
  <c r="D93" i="26"/>
  <c r="C93" i="26"/>
  <c r="B93" i="26"/>
  <c r="A93" i="26"/>
  <c r="H92" i="26"/>
  <c r="G92" i="26"/>
  <c r="F92" i="26"/>
  <c r="E92" i="26"/>
  <c r="D92" i="26"/>
  <c r="C92" i="26"/>
  <c r="B92" i="26"/>
  <c r="A92" i="26"/>
  <c r="H91" i="26"/>
  <c r="G91" i="26"/>
  <c r="F91" i="26"/>
  <c r="E91" i="26"/>
  <c r="D91" i="26"/>
  <c r="C91" i="26"/>
  <c r="B91" i="26"/>
  <c r="A91" i="26"/>
  <c r="H90" i="26"/>
  <c r="G90" i="26"/>
  <c r="F90" i="26"/>
  <c r="E90" i="26"/>
  <c r="D90" i="26"/>
  <c r="C90" i="26"/>
  <c r="B90" i="26"/>
  <c r="A90" i="26"/>
  <c r="H89" i="26"/>
  <c r="G89" i="26"/>
  <c r="F89" i="26"/>
  <c r="E89" i="26"/>
  <c r="D89" i="26"/>
  <c r="C89" i="26"/>
  <c r="B89" i="26"/>
  <c r="A89" i="26"/>
  <c r="H88" i="26"/>
  <c r="G88" i="26"/>
  <c r="F88" i="26"/>
  <c r="E88" i="26"/>
  <c r="D88" i="26"/>
  <c r="C88" i="26"/>
  <c r="B88" i="26"/>
  <c r="A88" i="26"/>
  <c r="H87" i="26"/>
  <c r="G87" i="26"/>
  <c r="F87" i="26"/>
  <c r="E87" i="26"/>
  <c r="D87" i="26"/>
  <c r="C87" i="26"/>
  <c r="B87" i="26"/>
  <c r="A87" i="26"/>
  <c r="H86" i="26"/>
  <c r="G86" i="26"/>
  <c r="F86" i="26"/>
  <c r="E86" i="26"/>
  <c r="D86" i="26"/>
  <c r="C86" i="26"/>
  <c r="B86" i="26"/>
  <c r="A86" i="26"/>
  <c r="H85" i="26"/>
  <c r="G85" i="26"/>
  <c r="F85" i="26"/>
  <c r="E85" i="26"/>
  <c r="D85" i="26"/>
  <c r="C85" i="26"/>
  <c r="B85" i="26"/>
  <c r="A85" i="26"/>
  <c r="H84" i="26"/>
  <c r="G84" i="26"/>
  <c r="F84" i="26"/>
  <c r="E84" i="26"/>
  <c r="D84" i="26"/>
  <c r="C84" i="26"/>
  <c r="B84" i="26"/>
  <c r="A84" i="26"/>
  <c r="H83" i="26"/>
  <c r="G83" i="26"/>
  <c r="F83" i="26"/>
  <c r="E83" i="26"/>
  <c r="D83" i="26"/>
  <c r="C83" i="26"/>
  <c r="B83" i="26"/>
  <c r="A83" i="26"/>
  <c r="H82" i="26"/>
  <c r="G82" i="26"/>
  <c r="F82" i="26"/>
  <c r="E82" i="26"/>
  <c r="D82" i="26"/>
  <c r="C82" i="26"/>
  <c r="B82" i="26"/>
  <c r="A82" i="26"/>
  <c r="H81" i="26"/>
  <c r="G81" i="26"/>
  <c r="F81" i="26"/>
  <c r="E81" i="26"/>
  <c r="D81" i="26"/>
  <c r="C81" i="26"/>
  <c r="B81" i="26"/>
  <c r="A81" i="26"/>
  <c r="H80" i="26"/>
  <c r="G80" i="26"/>
  <c r="F80" i="26"/>
  <c r="E80" i="26"/>
  <c r="D80" i="26"/>
  <c r="C80" i="26"/>
  <c r="B80" i="26"/>
  <c r="A80" i="26"/>
  <c r="H79" i="26"/>
  <c r="G79" i="26"/>
  <c r="F79" i="26"/>
  <c r="E79" i="26"/>
  <c r="D79" i="26"/>
  <c r="C79" i="26"/>
  <c r="B79" i="26"/>
  <c r="A79" i="26"/>
  <c r="H78" i="26"/>
  <c r="G78" i="26"/>
  <c r="F78" i="26"/>
  <c r="E78" i="26"/>
  <c r="D78" i="26"/>
  <c r="C78" i="26"/>
  <c r="B78" i="26"/>
  <c r="A78" i="26"/>
  <c r="H77" i="26"/>
  <c r="G77" i="26"/>
  <c r="F77" i="26"/>
  <c r="E77" i="26"/>
  <c r="D77" i="26"/>
  <c r="C77" i="26"/>
  <c r="B77" i="26"/>
  <c r="A77" i="26"/>
  <c r="H76" i="26"/>
  <c r="G76" i="26"/>
  <c r="F76" i="26"/>
  <c r="E76" i="26"/>
  <c r="D76" i="26"/>
  <c r="C76" i="26"/>
  <c r="B76" i="26"/>
  <c r="A76" i="26"/>
  <c r="H75" i="26"/>
  <c r="G75" i="26"/>
  <c r="F75" i="26"/>
  <c r="E75" i="26"/>
  <c r="D75" i="26"/>
  <c r="C75" i="26"/>
  <c r="B75" i="26"/>
  <c r="A75" i="26"/>
  <c r="H74" i="26"/>
  <c r="G74" i="26"/>
  <c r="F74" i="26"/>
  <c r="E74" i="26"/>
  <c r="D74" i="26"/>
  <c r="C74" i="26"/>
  <c r="B74" i="26"/>
  <c r="A74" i="26"/>
  <c r="H73" i="26"/>
  <c r="G73" i="26"/>
  <c r="F73" i="26"/>
  <c r="E73" i="26"/>
  <c r="D73" i="26"/>
  <c r="C73" i="26"/>
  <c r="B73" i="26"/>
  <c r="A73" i="26"/>
  <c r="H72" i="26"/>
  <c r="G72" i="26"/>
  <c r="F72" i="26"/>
  <c r="E72" i="26"/>
  <c r="D72" i="26"/>
  <c r="C72" i="26"/>
  <c r="B72" i="26"/>
  <c r="A72" i="26"/>
  <c r="H71" i="26"/>
  <c r="G71" i="26"/>
  <c r="F71" i="26"/>
  <c r="E71" i="26"/>
  <c r="D71" i="26"/>
  <c r="C71" i="26"/>
  <c r="B71" i="26"/>
  <c r="A71" i="26"/>
  <c r="H70" i="26"/>
  <c r="G70" i="26"/>
  <c r="F70" i="26"/>
  <c r="E70" i="26"/>
  <c r="D70" i="26"/>
  <c r="C70" i="26"/>
  <c r="B70" i="26"/>
  <c r="A70" i="26"/>
  <c r="H69" i="26"/>
  <c r="G69" i="26"/>
  <c r="F69" i="26"/>
  <c r="E69" i="26"/>
  <c r="D69" i="26"/>
  <c r="C69" i="26"/>
  <c r="B69" i="26"/>
  <c r="A69" i="26"/>
  <c r="H68" i="26"/>
  <c r="G68" i="26"/>
  <c r="F68" i="26"/>
  <c r="E68" i="26"/>
  <c r="D68" i="26"/>
  <c r="C68" i="26"/>
  <c r="B68" i="26"/>
  <c r="A68" i="26"/>
  <c r="H67" i="26"/>
  <c r="G67" i="26"/>
  <c r="F67" i="26"/>
  <c r="E67" i="26"/>
  <c r="D67" i="26"/>
  <c r="C67" i="26"/>
  <c r="B67" i="26"/>
  <c r="A67" i="26"/>
  <c r="H66" i="26"/>
  <c r="G66" i="26"/>
  <c r="F66" i="26"/>
  <c r="E66" i="26"/>
  <c r="D66" i="26"/>
  <c r="C66" i="26"/>
  <c r="B66" i="26"/>
  <c r="A66" i="26"/>
  <c r="H65" i="26"/>
  <c r="G65" i="26"/>
  <c r="F65" i="26"/>
  <c r="E65" i="26"/>
  <c r="D65" i="26"/>
  <c r="C65" i="26"/>
  <c r="B65" i="26"/>
  <c r="A65" i="26"/>
  <c r="H64" i="26"/>
  <c r="G64" i="26"/>
  <c r="F64" i="26"/>
  <c r="E64" i="26"/>
  <c r="D64" i="26"/>
  <c r="C64" i="26"/>
  <c r="B64" i="26"/>
  <c r="A64" i="26"/>
  <c r="H63" i="26"/>
  <c r="G63" i="26"/>
  <c r="F63" i="26"/>
  <c r="E63" i="26"/>
  <c r="D63" i="26"/>
  <c r="C63" i="26"/>
  <c r="B63" i="26"/>
  <c r="A63" i="26"/>
  <c r="H62" i="26"/>
  <c r="G62" i="26"/>
  <c r="F62" i="26"/>
  <c r="E62" i="26"/>
  <c r="D62" i="26"/>
  <c r="C62" i="26"/>
  <c r="B62" i="26"/>
  <c r="A62" i="26"/>
  <c r="H61" i="26"/>
  <c r="G61" i="26"/>
  <c r="F61" i="26"/>
  <c r="E61" i="26"/>
  <c r="D61" i="26"/>
  <c r="C61" i="26"/>
  <c r="B61" i="26"/>
  <c r="A61" i="26"/>
  <c r="H60" i="26"/>
  <c r="G60" i="26"/>
  <c r="F60" i="26"/>
  <c r="E60" i="26"/>
  <c r="D60" i="26"/>
  <c r="C60" i="26"/>
  <c r="B60" i="26"/>
  <c r="A60" i="26"/>
  <c r="H59" i="26"/>
  <c r="G59" i="26"/>
  <c r="F59" i="26"/>
  <c r="E59" i="26"/>
  <c r="D59" i="26"/>
  <c r="C59" i="26"/>
  <c r="B59" i="26"/>
  <c r="A59" i="26"/>
  <c r="H58" i="26"/>
  <c r="G58" i="26"/>
  <c r="F58" i="26"/>
  <c r="E58" i="26"/>
  <c r="D58" i="26"/>
  <c r="C58" i="26"/>
  <c r="B58" i="26"/>
  <c r="A58" i="26"/>
  <c r="H57" i="26"/>
  <c r="G57" i="26"/>
  <c r="F57" i="26"/>
  <c r="E57" i="26"/>
  <c r="D57" i="26"/>
  <c r="C57" i="26"/>
  <c r="B57" i="26"/>
  <c r="A57" i="26"/>
  <c r="H56" i="26"/>
  <c r="G56" i="26"/>
  <c r="F56" i="26"/>
  <c r="E56" i="26"/>
  <c r="D56" i="26"/>
  <c r="C56" i="26"/>
  <c r="B56" i="26"/>
  <c r="A56" i="26"/>
  <c r="H55" i="26"/>
  <c r="G55" i="26"/>
  <c r="F55" i="26"/>
  <c r="E55" i="26"/>
  <c r="D55" i="26"/>
  <c r="C55" i="26"/>
  <c r="B55" i="26"/>
  <c r="A55" i="26"/>
  <c r="H54" i="26"/>
  <c r="G54" i="26"/>
  <c r="F54" i="26"/>
  <c r="E54" i="26"/>
  <c r="D54" i="26"/>
  <c r="C54" i="26"/>
  <c r="B54" i="26"/>
  <c r="A54" i="26"/>
  <c r="H53" i="26"/>
  <c r="G53" i="26"/>
  <c r="F53" i="26"/>
  <c r="E53" i="26"/>
  <c r="D53" i="26"/>
  <c r="C53" i="26"/>
  <c r="B53" i="26"/>
  <c r="A53" i="26"/>
  <c r="H52" i="26"/>
  <c r="G52" i="26"/>
  <c r="F52" i="26"/>
  <c r="E52" i="26"/>
  <c r="D52" i="26"/>
  <c r="C52" i="26"/>
  <c r="B52" i="26"/>
  <c r="A52" i="26"/>
  <c r="H51" i="26"/>
  <c r="G51" i="26"/>
  <c r="F51" i="26"/>
  <c r="E51" i="26"/>
  <c r="D51" i="26"/>
  <c r="C51" i="26"/>
  <c r="B51" i="26"/>
  <c r="A51" i="26"/>
  <c r="H50" i="26"/>
  <c r="G50" i="26"/>
  <c r="F50" i="26"/>
  <c r="E50" i="26"/>
  <c r="D50" i="26"/>
  <c r="C50" i="26"/>
  <c r="B50" i="26"/>
  <c r="A50" i="26"/>
  <c r="H49" i="26"/>
  <c r="G49" i="26"/>
  <c r="F49" i="26"/>
  <c r="E49" i="26"/>
  <c r="D49" i="26"/>
  <c r="C49" i="26"/>
  <c r="B49" i="26"/>
  <c r="A49" i="26"/>
  <c r="H48" i="26"/>
  <c r="G48" i="26"/>
  <c r="F48" i="26"/>
  <c r="E48" i="26"/>
  <c r="D48" i="26"/>
  <c r="C48" i="26"/>
  <c r="B48" i="26"/>
  <c r="A48" i="26"/>
  <c r="H47" i="26"/>
  <c r="G47" i="26"/>
  <c r="F47" i="26"/>
  <c r="E47" i="26"/>
  <c r="D47" i="26"/>
  <c r="C47" i="26"/>
  <c r="B47" i="26"/>
  <c r="A47" i="26"/>
  <c r="H46" i="26"/>
  <c r="G46" i="26"/>
  <c r="F46" i="26"/>
  <c r="E46" i="26"/>
  <c r="D46" i="26"/>
  <c r="C46" i="26"/>
  <c r="B46" i="26"/>
  <c r="A46" i="26"/>
  <c r="H45" i="26"/>
  <c r="G45" i="26"/>
  <c r="F45" i="26"/>
  <c r="E45" i="26"/>
  <c r="D45" i="26"/>
  <c r="C45" i="26"/>
  <c r="B45" i="26"/>
  <c r="A45" i="26"/>
  <c r="H44" i="26"/>
  <c r="G44" i="26"/>
  <c r="F44" i="26"/>
  <c r="E44" i="26"/>
  <c r="D44" i="26"/>
  <c r="C44" i="26"/>
  <c r="B44" i="26"/>
  <c r="A44" i="26"/>
  <c r="H43" i="26"/>
  <c r="G43" i="26"/>
  <c r="F43" i="26"/>
  <c r="E43" i="26"/>
  <c r="D43" i="26"/>
  <c r="C43" i="26"/>
  <c r="B43" i="26"/>
  <c r="A43" i="26"/>
  <c r="H42" i="26"/>
  <c r="G42" i="26"/>
  <c r="F42" i="26"/>
  <c r="E42" i="26"/>
  <c r="D42" i="26"/>
  <c r="C42" i="26"/>
  <c r="B42" i="26"/>
  <c r="A42" i="26"/>
  <c r="H41" i="26"/>
  <c r="G41" i="26"/>
  <c r="F41" i="26"/>
  <c r="E41" i="26"/>
  <c r="D41" i="26"/>
  <c r="C41" i="26"/>
  <c r="B41" i="26"/>
  <c r="A41" i="26"/>
  <c r="H40" i="26"/>
  <c r="G40" i="26"/>
  <c r="F40" i="26"/>
  <c r="E40" i="26"/>
  <c r="D40" i="26"/>
  <c r="C40" i="26"/>
  <c r="B40" i="26"/>
  <c r="A40" i="26"/>
  <c r="H39" i="26"/>
  <c r="G39" i="26"/>
  <c r="F39" i="26"/>
  <c r="E39" i="26"/>
  <c r="D39" i="26"/>
  <c r="C39" i="26"/>
  <c r="B39" i="26"/>
  <c r="A39" i="26"/>
  <c r="H38" i="26"/>
  <c r="G38" i="26"/>
  <c r="F38" i="26"/>
  <c r="E38" i="26"/>
  <c r="D38" i="26"/>
  <c r="C38" i="26"/>
  <c r="B38" i="26"/>
  <c r="A38" i="26"/>
  <c r="H37" i="26"/>
  <c r="G37" i="26"/>
  <c r="F37" i="26"/>
  <c r="E37" i="26"/>
  <c r="D37" i="26"/>
  <c r="C37" i="26"/>
  <c r="B37" i="26"/>
  <c r="A37" i="26"/>
  <c r="H36" i="26"/>
  <c r="G36" i="26"/>
  <c r="F36" i="26"/>
  <c r="E36" i="26"/>
  <c r="D36" i="26"/>
  <c r="C36" i="26"/>
  <c r="B36" i="26"/>
  <c r="A36" i="26"/>
  <c r="H35" i="26"/>
  <c r="G35" i="26"/>
  <c r="F35" i="26"/>
  <c r="E35" i="26"/>
  <c r="D35" i="26"/>
  <c r="C35" i="26"/>
  <c r="B35" i="26"/>
  <c r="A35" i="26"/>
  <c r="H34" i="26"/>
  <c r="G34" i="26"/>
  <c r="F34" i="26"/>
  <c r="E34" i="26"/>
  <c r="D34" i="26"/>
  <c r="C34" i="26"/>
  <c r="B34" i="26"/>
  <c r="A34" i="26"/>
  <c r="H33" i="26"/>
  <c r="G33" i="26"/>
  <c r="F33" i="26"/>
  <c r="E33" i="26"/>
  <c r="D33" i="26"/>
  <c r="C33" i="26"/>
  <c r="B33" i="26"/>
  <c r="A33" i="26"/>
  <c r="H32" i="26"/>
  <c r="G32" i="26"/>
  <c r="F32" i="26"/>
  <c r="E32" i="26"/>
  <c r="D32" i="26"/>
  <c r="C32" i="26"/>
  <c r="B32" i="26"/>
  <c r="A32" i="26"/>
  <c r="H31" i="26"/>
  <c r="G31" i="26"/>
  <c r="F31" i="26"/>
  <c r="E31" i="26"/>
  <c r="D31" i="26"/>
  <c r="C31" i="26"/>
  <c r="B31" i="26"/>
  <c r="A31" i="26"/>
  <c r="H30" i="26"/>
  <c r="G30" i="26"/>
  <c r="F30" i="26"/>
  <c r="E30" i="26"/>
  <c r="D30" i="26"/>
  <c r="C30" i="26"/>
  <c r="B30" i="26"/>
  <c r="A30" i="26"/>
  <c r="H29" i="26"/>
  <c r="G29" i="26"/>
  <c r="F29" i="26"/>
  <c r="E29" i="26"/>
  <c r="D29" i="26"/>
  <c r="C29" i="26"/>
  <c r="B29" i="26"/>
  <c r="A29" i="26"/>
  <c r="H28" i="26"/>
  <c r="G28" i="26"/>
  <c r="F28" i="26"/>
  <c r="E28" i="26"/>
  <c r="D28" i="26"/>
  <c r="C28" i="26"/>
  <c r="B28" i="26"/>
  <c r="A28" i="26"/>
  <c r="H27" i="26"/>
  <c r="G27" i="26"/>
  <c r="F27" i="26"/>
  <c r="E27" i="26"/>
  <c r="D27" i="26"/>
  <c r="C27" i="26"/>
  <c r="B27" i="26"/>
  <c r="A27" i="26"/>
  <c r="H26" i="26"/>
  <c r="G26" i="26"/>
  <c r="F26" i="26"/>
  <c r="E26" i="26"/>
  <c r="D26" i="26"/>
  <c r="C26" i="26"/>
  <c r="B26" i="26"/>
  <c r="A26" i="26"/>
  <c r="H25" i="26"/>
  <c r="G25" i="26"/>
  <c r="F25" i="26"/>
  <c r="E25" i="26"/>
  <c r="D25" i="26"/>
  <c r="C25" i="26"/>
  <c r="B25" i="26"/>
  <c r="A25" i="26"/>
  <c r="H24" i="26"/>
  <c r="G24" i="26"/>
  <c r="F24" i="26"/>
  <c r="E24" i="26"/>
  <c r="D24" i="26"/>
  <c r="C24" i="26"/>
  <c r="B24" i="26"/>
  <c r="A24" i="26"/>
  <c r="H23" i="26"/>
  <c r="G23" i="26"/>
  <c r="F23" i="26"/>
  <c r="E23" i="26"/>
  <c r="D23" i="26"/>
  <c r="C23" i="26"/>
  <c r="B23" i="26"/>
  <c r="A23" i="26"/>
  <c r="H22" i="26"/>
  <c r="G22" i="26"/>
  <c r="F22" i="26"/>
  <c r="E22" i="26"/>
  <c r="D22" i="26"/>
  <c r="C22" i="26"/>
  <c r="B22" i="26"/>
  <c r="A22" i="26"/>
  <c r="H21" i="26"/>
  <c r="G21" i="26"/>
  <c r="F21" i="26"/>
  <c r="E21" i="26"/>
  <c r="D21" i="26"/>
  <c r="C21" i="26"/>
  <c r="B21" i="26"/>
  <c r="A21" i="26"/>
  <c r="H20" i="26"/>
  <c r="G20" i="26"/>
  <c r="F20" i="26"/>
  <c r="E20" i="26"/>
  <c r="D20" i="26"/>
  <c r="C20" i="26"/>
  <c r="B20" i="26"/>
  <c r="A20" i="26"/>
  <c r="H19" i="26"/>
  <c r="G19" i="26"/>
  <c r="F19" i="26"/>
  <c r="E19" i="26"/>
  <c r="D19" i="26"/>
  <c r="C19" i="26"/>
  <c r="B19" i="26"/>
  <c r="A19" i="26"/>
  <c r="H18" i="26"/>
  <c r="G18" i="26"/>
  <c r="F18" i="26"/>
  <c r="E18" i="26"/>
  <c r="D18" i="26"/>
  <c r="C18" i="26"/>
  <c r="B18" i="26"/>
  <c r="A18" i="26"/>
  <c r="H17" i="26"/>
  <c r="G17" i="26"/>
  <c r="F17" i="26"/>
  <c r="E17" i="26"/>
  <c r="D17" i="26"/>
  <c r="C17" i="26"/>
  <c r="B17" i="26"/>
  <c r="A17" i="26"/>
  <c r="H16" i="26"/>
  <c r="G16" i="26"/>
  <c r="F16" i="26"/>
  <c r="E16" i="26"/>
  <c r="D16" i="26"/>
  <c r="C16" i="26"/>
  <c r="B16" i="26"/>
  <c r="A16" i="26"/>
  <c r="H15" i="26"/>
  <c r="G15" i="26"/>
  <c r="F15" i="26"/>
  <c r="E15" i="26"/>
  <c r="D15" i="26"/>
  <c r="C15" i="26"/>
  <c r="B15" i="26"/>
  <c r="A15" i="26"/>
  <c r="H14" i="26"/>
  <c r="G14" i="26"/>
  <c r="F14" i="26"/>
  <c r="E14" i="26"/>
  <c r="D14" i="26"/>
  <c r="C14" i="26"/>
  <c r="B14" i="26"/>
  <c r="A14" i="26"/>
  <c r="H13" i="26"/>
  <c r="G13" i="26"/>
  <c r="F13" i="26"/>
  <c r="E13" i="26"/>
  <c r="D13" i="26"/>
  <c r="C13" i="26"/>
  <c r="B13" i="26"/>
  <c r="A13" i="26"/>
  <c r="H12" i="26"/>
  <c r="G12" i="26"/>
  <c r="F12" i="26"/>
  <c r="E12" i="26"/>
  <c r="D12" i="26"/>
  <c r="C12" i="26"/>
  <c r="B12" i="26"/>
  <c r="A12" i="26"/>
  <c r="H11" i="26"/>
  <c r="G11" i="26"/>
  <c r="F11" i="26"/>
  <c r="E11" i="26"/>
  <c r="D11" i="26"/>
  <c r="C11" i="26"/>
  <c r="B11" i="26"/>
  <c r="A11" i="26"/>
  <c r="H10" i="26"/>
  <c r="G10" i="26"/>
  <c r="F10" i="26"/>
  <c r="E10" i="26"/>
  <c r="D10" i="26"/>
  <c r="C10" i="26"/>
  <c r="B10" i="26"/>
  <c r="A10" i="26"/>
  <c r="H9" i="26"/>
  <c r="G9" i="26"/>
  <c r="F9" i="26"/>
  <c r="E9" i="26"/>
  <c r="D9" i="26"/>
  <c r="C9" i="26"/>
  <c r="B9" i="26"/>
  <c r="A9" i="26"/>
  <c r="H8" i="26"/>
  <c r="G8" i="26"/>
  <c r="F8" i="26"/>
  <c r="E8" i="26"/>
  <c r="D8" i="26"/>
  <c r="C8" i="26"/>
  <c r="B8" i="26"/>
  <c r="A8" i="26"/>
  <c r="H7" i="26"/>
  <c r="G7" i="26"/>
  <c r="F7" i="26"/>
  <c r="E7" i="26"/>
  <c r="D7" i="26"/>
  <c r="C7" i="26"/>
  <c r="B7" i="26"/>
  <c r="A7" i="26"/>
  <c r="H6" i="26"/>
  <c r="G6" i="26"/>
  <c r="F6" i="26"/>
  <c r="E6" i="26"/>
  <c r="D6" i="26"/>
  <c r="C6" i="26"/>
  <c r="B6" i="26"/>
  <c r="A6" i="26"/>
  <c r="H5" i="26"/>
  <c r="G5" i="26"/>
  <c r="F5" i="26"/>
  <c r="E5" i="26"/>
  <c r="D5" i="26"/>
  <c r="C5" i="26"/>
  <c r="B5" i="26"/>
  <c r="A5" i="26"/>
  <c r="H4" i="26"/>
  <c r="G4" i="26"/>
  <c r="F4" i="26"/>
  <c r="E4" i="26"/>
  <c r="D4" i="26"/>
  <c r="C4" i="26"/>
  <c r="B4" i="26"/>
  <c r="A4" i="26"/>
  <c r="H3" i="26"/>
  <c r="G3" i="26"/>
  <c r="F3" i="26"/>
  <c r="E3" i="26"/>
  <c r="D3" i="26"/>
  <c r="C3" i="26"/>
  <c r="B3" i="26"/>
  <c r="A3" i="26"/>
  <c r="G2" i="26"/>
  <c r="F2" i="26"/>
  <c r="E2" i="26"/>
  <c r="D2" i="26"/>
  <c r="C2" i="26"/>
  <c r="B2" i="26"/>
  <c r="A2" i="26"/>
  <c r="H91" i="4"/>
  <c r="J362" i="4" l="1"/>
  <c r="J410" i="4"/>
  <c r="J295" i="4"/>
  <c r="J452" i="4"/>
  <c r="I91" i="4"/>
  <c r="L91" i="4" s="1"/>
  <c r="J110" i="4"/>
  <c r="J238" i="4"/>
  <c r="J424" i="4"/>
  <c r="J83" i="4"/>
  <c r="J221" i="4"/>
  <c r="J35" i="4"/>
  <c r="J69" i="4"/>
  <c r="J353" i="4"/>
  <c r="J113" i="4"/>
  <c r="J423" i="4"/>
  <c r="J114" i="4"/>
  <c r="J451" i="4"/>
  <c r="J144" i="4"/>
  <c r="J207" i="4"/>
  <c r="J234" i="4"/>
  <c r="J319" i="4"/>
  <c r="J324" i="4"/>
  <c r="J317" i="4"/>
  <c r="J347" i="4"/>
  <c r="J152" i="4"/>
  <c r="J203" i="4"/>
  <c r="J315" i="4"/>
  <c r="J37" i="4"/>
  <c r="J314" i="4"/>
  <c r="J220" i="4"/>
  <c r="J216" i="4"/>
  <c r="J202" i="4"/>
  <c r="J312" i="4"/>
  <c r="J215" i="4"/>
  <c r="J82" i="4"/>
  <c r="J318" i="4"/>
  <c r="J219" i="4"/>
  <c r="J201" i="4"/>
  <c r="J212" i="4"/>
  <c r="J214" i="4"/>
  <c r="J211" i="4"/>
  <c r="J85" i="4"/>
  <c r="J313" i="4"/>
  <c r="J103" i="4"/>
  <c r="J217" i="4"/>
  <c r="J213" i="4"/>
  <c r="J316" i="4"/>
  <c r="J86" i="4"/>
  <c r="J210" i="4"/>
  <c r="J226" i="4"/>
  <c r="J36" i="4"/>
  <c r="J303" i="4"/>
  <c r="J15" i="4"/>
  <c r="J309" i="4"/>
  <c r="J222" i="4"/>
  <c r="J352" i="4"/>
  <c r="J8" i="4"/>
  <c r="J118" i="4"/>
  <c r="J189" i="4"/>
  <c r="J242" i="4"/>
  <c r="J386" i="4"/>
  <c r="J310" i="4"/>
  <c r="J433" i="4"/>
  <c r="J13" i="4"/>
  <c r="J119" i="4"/>
  <c r="J190" i="4"/>
  <c r="J289" i="4"/>
  <c r="J320" i="4"/>
  <c r="J241" i="4"/>
  <c r="J14" i="4"/>
  <c r="J107" i="4"/>
  <c r="J191" i="4"/>
  <c r="J290" i="4"/>
  <c r="J346" i="4"/>
  <c r="J5" i="4"/>
  <c r="J16" i="4"/>
  <c r="J108" i="4"/>
  <c r="J205" i="4"/>
  <c r="J291" i="4"/>
  <c r="J429" i="4"/>
  <c r="J81" i="4"/>
  <c r="J6" i="4"/>
  <c r="J17" i="4"/>
  <c r="J155" i="4"/>
  <c r="J208" i="4"/>
  <c r="J299" i="4"/>
  <c r="J432" i="4"/>
  <c r="J9" i="4"/>
  <c r="J7" i="4"/>
  <c r="J38" i="4"/>
  <c r="J156" i="4"/>
  <c r="J223" i="4"/>
  <c r="J300" i="4"/>
  <c r="J434" i="4"/>
  <c r="J188" i="4"/>
  <c r="J12" i="4"/>
  <c r="J39" i="4"/>
  <c r="J157" i="4"/>
  <c r="J240" i="4"/>
  <c r="J304" i="4"/>
  <c r="J54" i="4"/>
  <c r="J100" i="4"/>
  <c r="J224" i="4"/>
  <c r="J237" i="4"/>
  <c r="J287" i="4"/>
  <c r="J371" i="4"/>
  <c r="J415" i="4"/>
  <c r="J209" i="4"/>
  <c r="J20" i="4"/>
  <c r="J65" i="4"/>
  <c r="J112" i="4"/>
  <c r="J225" i="4"/>
  <c r="J253" i="4"/>
  <c r="J293" i="4"/>
  <c r="J398" i="4"/>
  <c r="J416" i="4"/>
  <c r="J99" i="4"/>
  <c r="J22" i="4"/>
  <c r="J70" i="4"/>
  <c r="J121" i="4"/>
  <c r="J227" i="4"/>
  <c r="J270" i="4"/>
  <c r="J235" i="4"/>
  <c r="J394" i="4"/>
  <c r="J417" i="4"/>
  <c r="J413" i="4"/>
  <c r="J23" i="4"/>
  <c r="J71" i="4"/>
  <c r="J123" i="4"/>
  <c r="J232" i="4"/>
  <c r="J272" i="4"/>
  <c r="J356" i="4"/>
  <c r="J401" i="4"/>
  <c r="J420" i="4"/>
  <c r="J236" i="4"/>
  <c r="J27" i="4"/>
  <c r="J80" i="4"/>
  <c r="J154" i="4"/>
  <c r="J229" i="4"/>
  <c r="J284" i="4"/>
  <c r="J360" i="4"/>
  <c r="J404" i="4"/>
  <c r="J421" i="4"/>
  <c r="J369" i="4"/>
  <c r="J42" i="4"/>
  <c r="J84" i="4"/>
  <c r="J167" i="4"/>
  <c r="J231" i="4"/>
  <c r="J285" i="4"/>
  <c r="J365" i="4"/>
  <c r="J408" i="4"/>
  <c r="J308" i="4"/>
  <c r="J286" i="4"/>
  <c r="J43" i="4"/>
  <c r="J98" i="4"/>
  <c r="J193" i="4"/>
  <c r="J230" i="4"/>
  <c r="J283" i="4"/>
  <c r="J409" i="4"/>
  <c r="J48" i="4"/>
  <c r="J25" i="4"/>
  <c r="J29" i="4"/>
  <c r="J24" i="4"/>
  <c r="J47" i="4"/>
  <c r="J18" i="4"/>
  <c r="J28" i="4"/>
  <c r="J26" i="4"/>
  <c r="J31" i="4"/>
  <c r="J34" i="4"/>
  <c r="J21" i="4"/>
  <c r="J10" i="4"/>
  <c r="J59" i="4"/>
  <c r="J62" i="4" l="1"/>
  <c r="J88" i="4"/>
  <c r="J138" i="4"/>
  <c r="J174" i="4"/>
  <c r="J159" i="4"/>
  <c r="J180" i="4"/>
  <c r="J276" i="4"/>
  <c r="J342" i="4"/>
  <c r="J329" i="4"/>
  <c r="J381" i="4"/>
  <c r="J373" i="4"/>
  <c r="J445" i="4"/>
  <c r="J463" i="4"/>
  <c r="J94" i="4"/>
  <c r="J327" i="4"/>
  <c r="J172" i="4"/>
  <c r="J377" i="4"/>
  <c r="J60" i="4"/>
  <c r="J90" i="4"/>
  <c r="J139" i="4"/>
  <c r="J162" i="4"/>
  <c r="J171" i="4"/>
  <c r="J179" i="4"/>
  <c r="J274" i="4"/>
  <c r="J340" i="4"/>
  <c r="J333" i="4"/>
  <c r="J379" i="4"/>
  <c r="J438" i="4"/>
  <c r="J450" i="4"/>
  <c r="J169" i="4"/>
  <c r="J92" i="4"/>
  <c r="J382" i="4"/>
  <c r="J181" i="4"/>
  <c r="J447" i="4"/>
  <c r="J61" i="4"/>
  <c r="J89" i="4"/>
  <c r="J137" i="4"/>
  <c r="J163" i="4"/>
  <c r="J178" i="4"/>
  <c r="J251" i="4"/>
  <c r="J280" i="4"/>
  <c r="J338" i="4"/>
  <c r="J332" i="4"/>
  <c r="J376" i="4"/>
  <c r="J435" i="4"/>
  <c r="J448" i="4"/>
  <c r="J170" i="4"/>
  <c r="J131" i="4"/>
  <c r="J143" i="4"/>
  <c r="J331" i="4"/>
  <c r="J321" i="4"/>
  <c r="J75" i="4"/>
  <c r="J134" i="4"/>
  <c r="J140" i="4"/>
  <c r="J161" i="4"/>
  <c r="J177" i="4"/>
  <c r="J250" i="4"/>
  <c r="J278" i="4"/>
  <c r="J337" i="4"/>
  <c r="J330" i="4"/>
  <c r="J380" i="4"/>
  <c r="J439" i="4"/>
  <c r="J446" i="4"/>
  <c r="J168" i="4"/>
  <c r="J132" i="4"/>
  <c r="J78" i="4"/>
  <c r="J133" i="4"/>
  <c r="J146" i="4"/>
  <c r="J165" i="4"/>
  <c r="J176" i="4"/>
  <c r="J277" i="4"/>
  <c r="J273" i="4"/>
  <c r="J336" i="4"/>
  <c r="J328" i="4"/>
  <c r="J378" i="4"/>
  <c r="J436" i="4"/>
  <c r="J444" i="4"/>
  <c r="J33" i="4"/>
  <c r="J184" i="4"/>
  <c r="J74" i="4"/>
  <c r="J339" i="4"/>
  <c r="J93" i="4"/>
  <c r="J77" i="4"/>
  <c r="J141" i="4"/>
  <c r="J145" i="4"/>
  <c r="J166" i="4"/>
  <c r="J175" i="4"/>
  <c r="J275" i="4"/>
  <c r="J343" i="4"/>
  <c r="J335" i="4"/>
  <c r="J345" i="4"/>
  <c r="J374" i="4"/>
  <c r="J442" i="4"/>
  <c r="J449" i="4"/>
  <c r="J66" i="4"/>
  <c r="J183" i="4"/>
  <c r="J58" i="4"/>
  <c r="J279" i="4"/>
  <c r="J465" i="4"/>
  <c r="J76" i="4"/>
  <c r="J142" i="4"/>
  <c r="J173" i="4"/>
  <c r="J164" i="4"/>
  <c r="J182" i="4"/>
  <c r="J281" i="4"/>
  <c r="J341" i="4"/>
  <c r="J334" i="4"/>
  <c r="J344" i="4"/>
  <c r="J372" i="4"/>
  <c r="J443" i="4"/>
  <c r="J464" i="4"/>
  <c r="J67" i="4"/>
  <c r="J322" i="4"/>
  <c r="J160" i="4"/>
  <c r="J375" i="4"/>
  <c r="J96" i="4"/>
  <c r="J292" i="4"/>
  <c r="J387" i="4"/>
  <c r="J120" i="4"/>
  <c r="J186" i="4"/>
  <c r="J301" i="4"/>
  <c r="J399" i="4"/>
  <c r="J122" i="4"/>
  <c r="J41" i="4"/>
  <c r="J228" i="4"/>
  <c r="J400" i="4"/>
  <c r="J349" i="4"/>
  <c r="J64" i="4"/>
  <c r="J282" i="4"/>
  <c r="J68" i="4"/>
  <c r="J268" i="4"/>
  <c r="J354" i="4"/>
  <c r="J431" i="4"/>
  <c r="J357" i="4"/>
  <c r="J79" i="4"/>
  <c r="J271" i="4"/>
  <c r="J441" i="4"/>
  <c r="J153" i="4"/>
  <c r="J135" i="4"/>
  <c r="J467" i="4"/>
  <c r="J95" i="4"/>
  <c r="J192" i="4"/>
  <c r="J185" i="4"/>
  <c r="J55" i="4"/>
  <c r="J50" i="4"/>
  <c r="J298" i="4"/>
  <c r="J297" i="4"/>
  <c r="J97" i="4"/>
  <c r="J364" i="4"/>
  <c r="J53" i="4"/>
  <c r="J158" i="4"/>
  <c r="J233" i="4"/>
  <c r="J49" i="4"/>
  <c r="J402" i="4"/>
  <c r="J355" i="4"/>
  <c r="J425" i="4"/>
  <c r="J72" i="4"/>
  <c r="J367" i="4"/>
  <c r="J350" i="4"/>
  <c r="J51" i="4"/>
  <c r="J73" i="4"/>
  <c r="J351" i="4"/>
  <c r="J406" i="4"/>
  <c r="J358" i="4"/>
  <c r="J366" i="4"/>
  <c r="J407" i="4"/>
  <c r="J412" i="4"/>
  <c r="J359" i="4"/>
  <c r="J288" i="4"/>
  <c r="J414" i="4"/>
  <c r="J418" i="4"/>
  <c r="J361" i="4"/>
  <c r="J294" i="4"/>
  <c r="J109" i="4"/>
  <c r="J422" i="4"/>
  <c r="J363" i="4"/>
  <c r="J296" i="4"/>
  <c r="J124" i="4"/>
  <c r="J40" i="4"/>
  <c r="J269" i="4"/>
  <c r="J403" i="4"/>
  <c r="J111" i="4"/>
  <c r="J405" i="4"/>
  <c r="J368" i="4"/>
  <c r="J263" i="4"/>
  <c r="J370" i="4"/>
  <c r="J19" i="4"/>
  <c r="J419" i="4"/>
  <c r="J102" i="4"/>
  <c r="J30" i="4"/>
  <c r="J383" i="4"/>
  <c r="J411" i="4"/>
  <c r="J249" i="4"/>
  <c r="J56" i="4"/>
  <c r="J57" i="4"/>
  <c r="J44" i="4"/>
  <c r="J204" i="4"/>
  <c r="J302" i="4"/>
  <c r="J323" i="4"/>
  <c r="J395" i="4"/>
  <c r="J136" i="4"/>
  <c r="J206" i="4"/>
  <c r="J396" i="4"/>
  <c r="J45" i="4"/>
  <c r="J87" i="4"/>
  <c r="J426" i="4"/>
  <c r="J397" i="4"/>
  <c r="J104" i="4"/>
  <c r="J239" i="4"/>
  <c r="J117" i="4"/>
  <c r="J105" i="4"/>
  <c r="J430" i="4"/>
  <c r="J46" i="4"/>
  <c r="J106" i="4"/>
  <c r="J437" i="4"/>
  <c r="H180" i="4"/>
  <c r="H310" i="4"/>
  <c r="H443" i="4"/>
  <c r="H263" i="4"/>
  <c r="H35" i="4"/>
  <c r="H158" i="4"/>
  <c r="H87" i="4"/>
  <c r="H286" i="4"/>
  <c r="H413" i="4"/>
  <c r="H411" i="4"/>
  <c r="H296" i="4"/>
  <c r="H31" i="4"/>
  <c r="H363" i="4"/>
  <c r="H414" i="4"/>
  <c r="H106" i="4"/>
  <c r="H445" i="4"/>
  <c r="H167" i="4"/>
  <c r="H72" i="4"/>
  <c r="H155" i="4"/>
  <c r="H100" i="4"/>
  <c r="H44" i="4"/>
  <c r="H23" i="4"/>
  <c r="H178" i="4"/>
  <c r="H124" i="4"/>
  <c r="H289" i="4"/>
  <c r="H269" i="4"/>
  <c r="H42" i="4"/>
  <c r="H367" i="4"/>
  <c r="H419" i="4"/>
  <c r="H412" i="4"/>
  <c r="H319" i="4"/>
  <c r="H90" i="4"/>
  <c r="H275" i="4"/>
  <c r="H36" i="4"/>
  <c r="H208" i="4"/>
  <c r="H18" i="4"/>
  <c r="H436" i="4"/>
  <c r="H360" i="4"/>
  <c r="H343" i="4"/>
  <c r="H333" i="4"/>
  <c r="H422" i="4"/>
  <c r="H61" i="4"/>
  <c r="H242" i="4"/>
  <c r="H423" i="4"/>
  <c r="H170" i="4"/>
  <c r="H328" i="4"/>
  <c r="H386" i="4"/>
  <c r="H341" i="4"/>
  <c r="H12" i="4"/>
  <c r="H355" i="4"/>
  <c r="H183" i="4"/>
  <c r="H132" i="4"/>
  <c r="H192" i="4"/>
  <c r="H381" i="4"/>
  <c r="H303" i="4"/>
  <c r="H335" i="4"/>
  <c r="H406" i="4"/>
  <c r="H300" i="4"/>
  <c r="H442" i="4"/>
  <c r="H75" i="4"/>
  <c r="H415" i="4"/>
  <c r="H336" i="4"/>
  <c r="H74" i="4"/>
  <c r="H25" i="4"/>
  <c r="H169" i="4"/>
  <c r="H39" i="4"/>
  <c r="H222" i="4"/>
  <c r="H138" i="4"/>
  <c r="H171" i="4"/>
  <c r="H397" i="4"/>
  <c r="H66" i="4"/>
  <c r="H302" i="4"/>
  <c r="H340" i="4"/>
  <c r="H107" i="4"/>
  <c r="H28" i="4"/>
  <c r="H123" i="4"/>
  <c r="H376" i="4"/>
  <c r="H154" i="4"/>
  <c r="H119" i="4"/>
  <c r="H24" i="4"/>
  <c r="H320" i="4"/>
  <c r="H193" i="4"/>
  <c r="H65" i="4"/>
  <c r="H288" i="4"/>
  <c r="H102" i="4"/>
  <c r="H232" i="4"/>
  <c r="H450" i="4"/>
  <c r="H429" i="4"/>
  <c r="H407" i="4"/>
  <c r="H93" i="4"/>
  <c r="H439" i="4"/>
  <c r="H237" i="4"/>
  <c r="H405" i="4"/>
  <c r="H365" i="4"/>
  <c r="H323" i="4"/>
  <c r="H188" i="4"/>
  <c r="H156" i="4"/>
  <c r="H418" i="4"/>
  <c r="H225" i="4"/>
  <c r="H175" i="4"/>
  <c r="H377" i="4"/>
  <c r="H19" i="4"/>
  <c r="H141" i="4"/>
  <c r="H38" i="4"/>
  <c r="H137" i="4"/>
  <c r="H62" i="4"/>
  <c r="H420" i="4"/>
  <c r="H250" i="4"/>
  <c r="H383" i="4"/>
  <c r="H401" i="4"/>
  <c r="H174" i="4"/>
  <c r="H14" i="4"/>
  <c r="H380" i="4"/>
  <c r="H416" i="4"/>
  <c r="H136" i="4"/>
  <c r="H6" i="4"/>
  <c r="H172" i="4"/>
  <c r="H223" i="4"/>
  <c r="H448" i="4"/>
  <c r="H33" i="4"/>
  <c r="H173" i="4"/>
  <c r="H370" i="4"/>
  <c r="H285" i="4"/>
  <c r="H185" i="4"/>
  <c r="H280" i="4"/>
  <c r="H78" i="4"/>
  <c r="H191" i="4"/>
  <c r="H358" i="4"/>
  <c r="H47" i="4"/>
  <c r="H22" i="4"/>
  <c r="H298" i="4"/>
  <c r="H162" i="4"/>
  <c r="H108" i="4"/>
  <c r="H131" i="4"/>
  <c r="H433" i="4"/>
  <c r="H67" i="4"/>
  <c r="H46" i="4"/>
  <c r="H290" i="4"/>
  <c r="H164" i="4"/>
  <c r="H251" i="4"/>
  <c r="H287" i="4"/>
  <c r="H408" i="4"/>
  <c r="H20" i="4"/>
  <c r="H112" i="4"/>
  <c r="H15" i="4"/>
  <c r="H140" i="4"/>
  <c r="H181" i="4"/>
  <c r="H49" i="4"/>
  <c r="H54" i="4"/>
  <c r="H426" i="4"/>
  <c r="H451" i="4"/>
  <c r="H273" i="4"/>
  <c r="H359" i="4"/>
  <c r="H99" i="4"/>
  <c r="H21" i="4"/>
  <c r="H206" i="4"/>
  <c r="H239" i="4"/>
  <c r="H334" i="4"/>
  <c r="H168" i="4"/>
  <c r="H274" i="4"/>
  <c r="H98" i="4"/>
  <c r="H144" i="4"/>
  <c r="H204" i="4"/>
  <c r="H51" i="4"/>
  <c r="H134" i="4"/>
  <c r="H304" i="4"/>
  <c r="H231" i="4"/>
  <c r="H40" i="4"/>
  <c r="H27" i="4"/>
  <c r="H166" i="4"/>
  <c r="H277" i="4"/>
  <c r="H92" i="4"/>
  <c r="H417" i="4"/>
  <c r="H48" i="4"/>
  <c r="H58" i="4"/>
  <c r="H270" i="4"/>
  <c r="H409" i="4"/>
  <c r="H324" i="4"/>
  <c r="H438" i="4"/>
  <c r="H291" i="4"/>
  <c r="H236" i="4"/>
  <c r="H34" i="4"/>
  <c r="H160" i="4"/>
  <c r="H364" i="4"/>
  <c r="H395" i="4"/>
  <c r="H60" i="4"/>
  <c r="H382" i="4"/>
  <c r="H351" i="4"/>
  <c r="H56" i="4"/>
  <c r="H283" i="4"/>
  <c r="H121" i="4"/>
  <c r="H234" i="4"/>
  <c r="H76" i="4"/>
  <c r="H332" i="4"/>
  <c r="H449" i="4"/>
  <c r="H446" i="4"/>
  <c r="H13" i="4"/>
  <c r="H179" i="4"/>
  <c r="H89" i="4"/>
  <c r="H177" i="4"/>
  <c r="H344" i="4"/>
  <c r="H111" i="4"/>
  <c r="H372" i="4"/>
  <c r="H145" i="4"/>
  <c r="H80" i="4"/>
  <c r="H235" i="4"/>
  <c r="H88" i="4"/>
  <c r="H339" i="4"/>
  <c r="H404" i="4"/>
  <c r="H184" i="4"/>
  <c r="H114" i="4"/>
  <c r="H284" i="4"/>
  <c r="H57" i="4"/>
  <c r="H205" i="4"/>
  <c r="H278" i="4"/>
  <c r="H379" i="4"/>
  <c r="H396" i="4"/>
  <c r="H350" i="4"/>
  <c r="H104" i="4"/>
  <c r="H241" i="4"/>
  <c r="H330" i="4"/>
  <c r="H308" i="4"/>
  <c r="H81" i="4"/>
  <c r="H109" i="4"/>
  <c r="H309" i="4"/>
  <c r="H327" i="4"/>
  <c r="H353" i="4"/>
  <c r="H133" i="4"/>
  <c r="H55" i="4"/>
  <c r="H253" i="4"/>
  <c r="H299" i="4"/>
  <c r="H297" i="4"/>
  <c r="H444" i="4"/>
  <c r="H118" i="4"/>
  <c r="H249" i="4"/>
  <c r="H279" i="4"/>
  <c r="H29" i="4"/>
  <c r="H117" i="4"/>
  <c r="H352" i="4"/>
  <c r="H113" i="4"/>
  <c r="H163" i="4"/>
  <c r="H293" i="4"/>
  <c r="H331" i="4"/>
  <c r="H465" i="4"/>
  <c r="H425" i="4"/>
  <c r="H207" i="4"/>
  <c r="H142" i="4"/>
  <c r="H73" i="4"/>
  <c r="H435" i="4"/>
  <c r="H94" i="4"/>
  <c r="H77" i="4"/>
  <c r="H394" i="4"/>
  <c r="H374" i="4"/>
  <c r="H371" i="4"/>
  <c r="H337" i="4"/>
  <c r="H157" i="4"/>
  <c r="H378" i="4"/>
  <c r="H447" i="4"/>
  <c r="H10" i="4"/>
  <c r="H281" i="4"/>
  <c r="H224" i="4"/>
  <c r="H338" i="4"/>
  <c r="H345" i="4"/>
  <c r="H366" i="4"/>
  <c r="H230" i="4"/>
  <c r="H26" i="4"/>
  <c r="H356" i="4"/>
  <c r="H329" i="4"/>
  <c r="H342" i="4"/>
  <c r="H368" i="4"/>
  <c r="H69" i="4"/>
  <c r="H430" i="4"/>
  <c r="H432" i="4"/>
  <c r="H9" i="4"/>
  <c r="H294" i="4"/>
  <c r="H272" i="4"/>
  <c r="H50" i="4"/>
  <c r="H8" i="4"/>
  <c r="H463" i="4"/>
  <c r="H227" i="4"/>
  <c r="H226" i="4"/>
  <c r="H176" i="4"/>
  <c r="H143" i="4"/>
  <c r="H464" i="4"/>
  <c r="H403" i="4"/>
  <c r="H189" i="4"/>
  <c r="H346" i="4"/>
  <c r="H240" i="4"/>
  <c r="H182" i="4"/>
  <c r="H5" i="4"/>
  <c r="H190" i="4"/>
  <c r="H16" i="4"/>
  <c r="H53" i="4"/>
  <c r="H233" i="4"/>
  <c r="H437" i="4"/>
  <c r="H84" i="4"/>
  <c r="H43" i="4"/>
  <c r="H321" i="4"/>
  <c r="H322" i="4"/>
  <c r="H105" i="4"/>
  <c r="H276" i="4"/>
  <c r="H421" i="4"/>
  <c r="H7" i="4"/>
  <c r="H361" i="4"/>
  <c r="H139" i="4"/>
  <c r="H165" i="4"/>
  <c r="H373" i="4"/>
  <c r="H159" i="4"/>
  <c r="H375" i="4"/>
  <c r="H30" i="4"/>
  <c r="H71" i="4"/>
  <c r="H369" i="4"/>
  <c r="H45" i="4"/>
  <c r="H229" i="4"/>
  <c r="H209" i="4"/>
  <c r="H146" i="4"/>
  <c r="H161" i="4"/>
  <c r="H398" i="4"/>
  <c r="H17" i="4"/>
  <c r="H97" i="4"/>
  <c r="H434" i="4"/>
  <c r="H402" i="4"/>
  <c r="H59" i="4"/>
  <c r="H70" i="4"/>
  <c r="I143" i="4" l="1"/>
  <c r="L143" i="4" s="1"/>
  <c r="I188" i="4"/>
  <c r="L188" i="4" s="1"/>
  <c r="I418" i="4"/>
  <c r="L418" i="4" s="1"/>
  <c r="I411" i="4"/>
  <c r="L411" i="4" s="1"/>
  <c r="I190" i="4"/>
  <c r="L190" i="4" s="1"/>
  <c r="I50" i="4"/>
  <c r="L50" i="4" s="1"/>
  <c r="I345" i="4"/>
  <c r="L345" i="4" s="1"/>
  <c r="I432" i="4"/>
  <c r="L432" i="4" s="1"/>
  <c r="I192" i="4"/>
  <c r="L192" i="4" s="1"/>
  <c r="I53" i="4"/>
  <c r="L53" i="4" s="1"/>
  <c r="I139" i="4"/>
  <c r="L139" i="4" s="1"/>
  <c r="I365" i="4"/>
  <c r="L365" i="4" s="1"/>
  <c r="I430" i="4"/>
  <c r="L430" i="4" s="1"/>
  <c r="I239" i="4"/>
  <c r="L239" i="4" s="1"/>
  <c r="I291" i="4"/>
  <c r="L291" i="4" s="1"/>
  <c r="I175" i="4"/>
  <c r="L175" i="4" s="1"/>
  <c r="I183" i="4"/>
  <c r="L183" i="4" s="1"/>
  <c r="I303" i="4"/>
  <c r="L303" i="4" s="1"/>
  <c r="I46" i="4"/>
  <c r="L46" i="4" s="1"/>
  <c r="I177" i="4"/>
  <c r="L177" i="4" s="1"/>
  <c r="I14" i="4"/>
  <c r="L14" i="4" s="1"/>
  <c r="I87" i="4"/>
  <c r="L87" i="4" s="1"/>
  <c r="I26" i="4"/>
  <c r="L26" i="4" s="1"/>
  <c r="I273" i="4"/>
  <c r="L273" i="4" s="1"/>
  <c r="I351" i="4"/>
  <c r="L351" i="4" s="1"/>
  <c r="I57" i="4"/>
  <c r="L57" i="4" s="1"/>
  <c r="I308" i="4"/>
  <c r="L308" i="4" s="1"/>
  <c r="I184" i="4"/>
  <c r="L184" i="4" s="1"/>
  <c r="I446" i="4"/>
  <c r="L446" i="4" s="1"/>
  <c r="I170" i="4"/>
  <c r="L170" i="4" s="1"/>
  <c r="I19" i="4"/>
  <c r="L19" i="4" s="1"/>
  <c r="I324" i="4"/>
  <c r="L324" i="4" s="1"/>
  <c r="I287" i="4"/>
  <c r="L287" i="4" s="1"/>
  <c r="I179" i="4"/>
  <c r="L179" i="4" s="1"/>
  <c r="I51" i="4"/>
  <c r="L51" i="4" s="1"/>
  <c r="I344" i="4"/>
  <c r="L344" i="4" s="1"/>
  <c r="I337" i="4"/>
  <c r="L337" i="4" s="1"/>
  <c r="I40" i="4"/>
  <c r="L40" i="4" s="1"/>
  <c r="I35" i="4"/>
  <c r="L35" i="4" s="1"/>
  <c r="I71" i="4"/>
  <c r="L71" i="4" s="1"/>
  <c r="I61" i="4"/>
  <c r="L61" i="4" s="1"/>
  <c r="I49" i="4"/>
  <c r="L49" i="4" s="1"/>
  <c r="I253" i="4"/>
  <c r="L253" i="4" s="1"/>
  <c r="I93" i="4"/>
  <c r="L93" i="4" s="1"/>
  <c r="I102" i="4"/>
  <c r="L102" i="4" s="1"/>
  <c r="I144" i="4"/>
  <c r="L144" i="4" s="1"/>
  <c r="I423" i="4"/>
  <c r="L423" i="4" s="1"/>
  <c r="I181" i="4"/>
  <c r="L181" i="4" s="1"/>
  <c r="I335" i="4"/>
  <c r="L335" i="4" s="1"/>
  <c r="I172" i="4"/>
  <c r="L172" i="4" s="1"/>
  <c r="I161" i="4"/>
  <c r="L161" i="4" s="1"/>
  <c r="I193" i="4"/>
  <c r="L193" i="4" s="1"/>
  <c r="I163" i="4"/>
  <c r="L163" i="4" s="1"/>
  <c r="I415" i="4"/>
  <c r="L415" i="4" s="1"/>
  <c r="I419" i="4"/>
  <c r="L419" i="4" s="1"/>
  <c r="I33" i="4"/>
  <c r="L33" i="4" s="1"/>
  <c r="I358" i="4"/>
  <c r="L358" i="4" s="1"/>
  <c r="I373" i="4"/>
  <c r="L373" i="4" s="1"/>
  <c r="I176" i="4"/>
  <c r="L176" i="4" s="1"/>
  <c r="I42" i="4"/>
  <c r="L42" i="4" s="1"/>
  <c r="I225" i="4"/>
  <c r="L225" i="4" s="1"/>
  <c r="I352" i="4"/>
  <c r="L352" i="4" s="1"/>
  <c r="I137" i="4"/>
  <c r="L137" i="4" s="1"/>
  <c r="I223" i="4"/>
  <c r="L223" i="4" s="1"/>
  <c r="I22" i="4"/>
  <c r="L22" i="4" s="1"/>
  <c r="I278" i="4"/>
  <c r="L278" i="4" s="1"/>
  <c r="I463" i="4"/>
  <c r="L463" i="4" s="1"/>
  <c r="I69" i="4"/>
  <c r="L69" i="4" s="1"/>
  <c r="I84" i="4"/>
  <c r="L84" i="4" s="1"/>
  <c r="I319" i="4"/>
  <c r="L319" i="4" s="1"/>
  <c r="I298" i="4"/>
  <c r="L298" i="4" s="1"/>
  <c r="I47" i="4"/>
  <c r="L47" i="4" s="1"/>
  <c r="I381" i="4"/>
  <c r="L381" i="4" s="1"/>
  <c r="I436" i="4"/>
  <c r="L436" i="4" s="1"/>
  <c r="I7" i="4"/>
  <c r="L7" i="4" s="1"/>
  <c r="I302" i="4"/>
  <c r="L302" i="4" s="1"/>
  <c r="I55" i="4"/>
  <c r="L55" i="4" s="1"/>
  <c r="I374" i="4"/>
  <c r="L374" i="4" s="1"/>
  <c r="I231" i="4"/>
  <c r="L231" i="4" s="1"/>
  <c r="I132" i="4"/>
  <c r="L132" i="4" s="1"/>
  <c r="I363" i="4"/>
  <c r="L363" i="4" s="1"/>
  <c r="I370" i="4"/>
  <c r="L370" i="4" s="1"/>
  <c r="I437" i="4"/>
  <c r="L437" i="4" s="1"/>
  <c r="I241" i="4"/>
  <c r="L241" i="4" s="1"/>
  <c r="I44" i="4"/>
  <c r="L44" i="4" s="1"/>
  <c r="I65" i="4"/>
  <c r="L65" i="4" s="1"/>
  <c r="I290" i="4"/>
  <c r="L290" i="4" s="1"/>
  <c r="I443" i="4"/>
  <c r="L443" i="4" s="1"/>
  <c r="I425" i="4"/>
  <c r="L425" i="4" s="1"/>
  <c r="I178" i="4"/>
  <c r="L178" i="4" s="1"/>
  <c r="I94" i="4"/>
  <c r="L94" i="4" s="1"/>
  <c r="I420" i="4"/>
  <c r="L420" i="4" s="1"/>
  <c r="I206" i="4"/>
  <c r="L206" i="4" s="1"/>
  <c r="I155" i="4"/>
  <c r="L155" i="4" s="1"/>
  <c r="I98" i="4"/>
  <c r="L98" i="4" s="1"/>
  <c r="I249" i="4"/>
  <c r="L249" i="4" s="1"/>
  <c r="I141" i="4"/>
  <c r="L141" i="4" s="1"/>
  <c r="I300" i="4"/>
  <c r="L300" i="4" s="1"/>
  <c r="I438" i="4"/>
  <c r="L438" i="4" s="1"/>
  <c r="I332" i="4"/>
  <c r="L332" i="4" s="1"/>
  <c r="I340" i="4"/>
  <c r="L340" i="4" s="1"/>
  <c r="I251" i="4"/>
  <c r="L251" i="4" s="1"/>
  <c r="I401" i="4"/>
  <c r="L401" i="4" s="1"/>
  <c r="I67" i="4"/>
  <c r="L67" i="4" s="1"/>
  <c r="I180" i="4"/>
  <c r="L180" i="4" s="1"/>
  <c r="I250" i="4"/>
  <c r="L250" i="4" s="1"/>
  <c r="I395" i="4"/>
  <c r="L395" i="4" s="1"/>
  <c r="I404" i="4"/>
  <c r="L404" i="4" s="1"/>
  <c r="I413" i="4"/>
  <c r="L413" i="4" s="1"/>
  <c r="I233" i="4"/>
  <c r="L233" i="4" s="1"/>
  <c r="I277" i="4"/>
  <c r="L277" i="4" s="1"/>
  <c r="I435" i="4"/>
  <c r="L435" i="4" s="1"/>
  <c r="I133" i="4"/>
  <c r="L133" i="4" s="1"/>
  <c r="I296" i="4"/>
  <c r="L296" i="4" s="1"/>
  <c r="I174" i="4"/>
  <c r="L174" i="4" s="1"/>
  <c r="I403" i="4"/>
  <c r="L403" i="4" s="1"/>
  <c r="I30" i="4"/>
  <c r="L30" i="4" s="1"/>
  <c r="I173" i="4"/>
  <c r="L173" i="4" s="1"/>
  <c r="I323" i="4"/>
  <c r="L323" i="4" s="1"/>
  <c r="I422" i="4"/>
  <c r="L422" i="4" s="1"/>
  <c r="I442" i="4"/>
  <c r="L442" i="4" s="1"/>
  <c r="I117" i="4"/>
  <c r="L117" i="4" s="1"/>
  <c r="I123" i="4"/>
  <c r="L123" i="4" s="1"/>
  <c r="I162" i="4"/>
  <c r="L162" i="4" s="1"/>
  <c r="I464" i="4"/>
  <c r="L464" i="4" s="1"/>
  <c r="I159" i="4"/>
  <c r="L159" i="4" s="1"/>
  <c r="I77" i="4"/>
  <c r="L77" i="4" s="1"/>
  <c r="I369" i="4"/>
  <c r="L369" i="4" s="1"/>
  <c r="I10" i="4"/>
  <c r="L10" i="4" s="1"/>
  <c r="I48" i="4"/>
  <c r="L48" i="4" s="1"/>
  <c r="I208" i="4"/>
  <c r="L208" i="4" s="1"/>
  <c r="I109" i="4"/>
  <c r="L109" i="4" s="1"/>
  <c r="I80" i="4"/>
  <c r="L80" i="4" s="1"/>
  <c r="I156" i="4"/>
  <c r="L156" i="4" s="1"/>
  <c r="I309" i="4"/>
  <c r="L309" i="4" s="1"/>
  <c r="I405" i="4"/>
  <c r="L405" i="4" s="1"/>
  <c r="I343" i="4"/>
  <c r="L343" i="4" s="1"/>
  <c r="I204" i="4"/>
  <c r="L204" i="4" s="1"/>
  <c r="I416" i="4"/>
  <c r="L416" i="4" s="1"/>
  <c r="I88" i="4"/>
  <c r="L88" i="4" s="1"/>
  <c r="I304" i="4"/>
  <c r="L304" i="4" s="1"/>
  <c r="I62" i="4"/>
  <c r="L62" i="4" s="1"/>
  <c r="I165" i="4"/>
  <c r="L165" i="4" s="1"/>
  <c r="I59" i="4"/>
  <c r="L59" i="4" s="1"/>
  <c r="I407" i="4"/>
  <c r="L407" i="4" s="1"/>
  <c r="I327" i="4"/>
  <c r="L327" i="4" s="1"/>
  <c r="I288" i="4"/>
  <c r="L288" i="4" s="1"/>
  <c r="I24" i="4"/>
  <c r="L24" i="4" s="1"/>
  <c r="I269" i="4"/>
  <c r="L269" i="4" s="1"/>
  <c r="I168" i="4"/>
  <c r="L168" i="4" s="1"/>
  <c r="I13" i="4"/>
  <c r="L13" i="4" s="1"/>
  <c r="I119" i="4"/>
  <c r="L119" i="4" s="1"/>
  <c r="I131" i="4"/>
  <c r="L131" i="4" s="1"/>
  <c r="I21" i="4"/>
  <c r="L21" i="4" s="1"/>
  <c r="I242" i="4"/>
  <c r="L242" i="4" s="1"/>
  <c r="I275" i="4"/>
  <c r="L275" i="4" s="1"/>
  <c r="I408" i="4"/>
  <c r="L408" i="4" s="1"/>
  <c r="I124" i="4"/>
  <c r="L124" i="4" s="1"/>
  <c r="I396" i="4"/>
  <c r="L396" i="4" s="1"/>
  <c r="I361" i="4"/>
  <c r="L361" i="4" s="1"/>
  <c r="I27" i="4"/>
  <c r="L27" i="4" s="1"/>
  <c r="I112" i="4"/>
  <c r="L112" i="4" s="1"/>
  <c r="I9" i="4"/>
  <c r="L9" i="4" s="1"/>
  <c r="I107" i="4"/>
  <c r="L107" i="4" s="1"/>
  <c r="I383" i="4"/>
  <c r="L383" i="4" s="1"/>
  <c r="I89" i="4"/>
  <c r="L89" i="4" s="1"/>
  <c r="I372" i="4"/>
  <c r="L372" i="4" s="1"/>
  <c r="I142" i="4"/>
  <c r="L142" i="4" s="1"/>
  <c r="I376" i="4"/>
  <c r="L376" i="4" s="1"/>
  <c r="I397" i="4"/>
  <c r="L397" i="4" s="1"/>
  <c r="I341" i="4"/>
  <c r="L341" i="4" s="1"/>
  <c r="I234" i="4"/>
  <c r="L234" i="4" s="1"/>
  <c r="I414" i="4"/>
  <c r="L414" i="4" s="1"/>
  <c r="I360" i="4"/>
  <c r="L360" i="4" s="1"/>
  <c r="I23" i="4"/>
  <c r="L23" i="4" s="1"/>
  <c r="I222" i="4"/>
  <c r="L222" i="4" s="1"/>
  <c r="I444" i="4"/>
  <c r="L444" i="4" s="1"/>
  <c r="I450" i="4"/>
  <c r="L450" i="4" s="1"/>
  <c r="I164" i="4"/>
  <c r="L164" i="4" s="1"/>
  <c r="I191" i="4"/>
  <c r="L191" i="4" s="1"/>
  <c r="I56" i="4"/>
  <c r="L56" i="4" s="1"/>
  <c r="I339" i="4"/>
  <c r="L339" i="4" s="1"/>
  <c r="I434" i="4"/>
  <c r="L434" i="4" s="1"/>
  <c r="I81" i="4"/>
  <c r="L81" i="4" s="1"/>
  <c r="I386" i="4"/>
  <c r="L386" i="4" s="1"/>
  <c r="I331" i="4"/>
  <c r="L331" i="4" s="1"/>
  <c r="I134" i="4"/>
  <c r="L134" i="4" s="1"/>
  <c r="I276" i="4"/>
  <c r="L276" i="4" s="1"/>
  <c r="I146" i="4"/>
  <c r="L146" i="4" s="1"/>
  <c r="I382" i="4"/>
  <c r="L382" i="4" s="1"/>
  <c r="I171" i="4"/>
  <c r="L171" i="4" s="1"/>
  <c r="I439" i="4"/>
  <c r="L439" i="4" s="1"/>
  <c r="I240" i="4"/>
  <c r="L240" i="4" s="1"/>
  <c r="I226" i="4"/>
  <c r="L226" i="4" s="1"/>
  <c r="I166" i="4"/>
  <c r="L166" i="4" s="1"/>
  <c r="I364" i="4"/>
  <c r="L364" i="4" s="1"/>
  <c r="I235" i="4"/>
  <c r="L235" i="4" s="1"/>
  <c r="I209" i="4"/>
  <c r="L209" i="4" s="1"/>
  <c r="I366" i="4"/>
  <c r="L366" i="4" s="1"/>
  <c r="I8" i="4"/>
  <c r="L8" i="4" s="1"/>
  <c r="I330" i="4"/>
  <c r="L330" i="4" s="1"/>
  <c r="I321" i="4"/>
  <c r="L321" i="4" s="1"/>
  <c r="I39" i="4"/>
  <c r="L39" i="4" s="1"/>
  <c r="I230" i="4"/>
  <c r="L230" i="4" s="1"/>
  <c r="I409" i="4"/>
  <c r="L409" i="4" s="1"/>
  <c r="I451" i="4"/>
  <c r="L451" i="4" s="1"/>
  <c r="I29" i="4"/>
  <c r="L29" i="4" s="1"/>
  <c r="I36" i="4"/>
  <c r="L36" i="4" s="1"/>
  <c r="I284" i="4"/>
  <c r="L284" i="4" s="1"/>
  <c r="I299" i="4"/>
  <c r="L299" i="4" s="1"/>
  <c r="I38" i="4"/>
  <c r="L38" i="4" s="1"/>
  <c r="I289" i="4"/>
  <c r="L289" i="4" s="1"/>
  <c r="I97" i="4"/>
  <c r="L97" i="4" s="1"/>
  <c r="I31" i="4"/>
  <c r="L31" i="4" s="1"/>
  <c r="I356" i="4"/>
  <c r="L356" i="4" s="1"/>
  <c r="I355" i="4"/>
  <c r="L355" i="4" s="1"/>
  <c r="I76" i="4"/>
  <c r="L76" i="4" s="1"/>
  <c r="I205" i="4"/>
  <c r="L205" i="4" s="1"/>
  <c r="I279" i="4"/>
  <c r="L279" i="4" s="1"/>
  <c r="I346" i="4"/>
  <c r="L346" i="4" s="1"/>
  <c r="I140" i="4"/>
  <c r="L140" i="4" s="1"/>
  <c r="I45" i="4"/>
  <c r="L45" i="4" s="1"/>
  <c r="I18" i="4"/>
  <c r="L18" i="4" s="1"/>
  <c r="I160" i="4"/>
  <c r="L160" i="4" s="1"/>
  <c r="I169" i="4"/>
  <c r="L169" i="4" s="1"/>
  <c r="I136" i="4"/>
  <c r="L136" i="4" s="1"/>
  <c r="I375" i="4"/>
  <c r="L375" i="4" s="1"/>
  <c r="I73" i="4"/>
  <c r="L73" i="4" s="1"/>
  <c r="I310" i="4"/>
  <c r="L310" i="4" s="1"/>
  <c r="I280" i="4"/>
  <c r="L280" i="4" s="1"/>
  <c r="I320" i="4"/>
  <c r="L320" i="4" s="1"/>
  <c r="I185" i="4"/>
  <c r="L185" i="4" s="1"/>
  <c r="I111" i="4"/>
  <c r="L111" i="4" s="1"/>
  <c r="I28" i="4"/>
  <c r="L28" i="4" s="1"/>
  <c r="I43" i="4"/>
  <c r="L43" i="4" s="1"/>
  <c r="I283" i="4"/>
  <c r="L283" i="4" s="1"/>
  <c r="I145" i="4"/>
  <c r="L145" i="4" s="1"/>
  <c r="I338" i="4"/>
  <c r="L338" i="4" s="1"/>
  <c r="I328" i="4"/>
  <c r="L328" i="4" s="1"/>
  <c r="I54" i="4"/>
  <c r="L54" i="4" s="1"/>
  <c r="I398" i="4"/>
  <c r="L398" i="4" s="1"/>
  <c r="I78" i="4"/>
  <c r="L78" i="4" s="1"/>
  <c r="I6" i="4"/>
  <c r="L6" i="4" s="1"/>
  <c r="I447" i="4"/>
  <c r="L447" i="4" s="1"/>
  <c r="I207" i="4"/>
  <c r="L207" i="4" s="1"/>
  <c r="I353" i="4"/>
  <c r="L353" i="4" s="1"/>
  <c r="I379" i="4"/>
  <c r="L379" i="4" s="1"/>
  <c r="I421" i="4"/>
  <c r="L421" i="4" s="1"/>
  <c r="I272" i="4"/>
  <c r="L272" i="4" s="1"/>
  <c r="I60" i="4"/>
  <c r="L60" i="4" s="1"/>
  <c r="I237" i="4"/>
  <c r="L237" i="4" s="1"/>
  <c r="I368" i="4"/>
  <c r="L368" i="4" s="1"/>
  <c r="I274" i="4"/>
  <c r="L274" i="4" s="1"/>
  <c r="I465" i="4"/>
  <c r="L465" i="4" s="1"/>
  <c r="I426" i="4"/>
  <c r="L426" i="4" s="1"/>
  <c r="I99" i="4"/>
  <c r="L99" i="4" s="1"/>
  <c r="I90" i="4"/>
  <c r="L90" i="4" s="1"/>
  <c r="I189" i="4"/>
  <c r="L189" i="4" s="1"/>
  <c r="I263" i="4"/>
  <c r="L263" i="4" s="1"/>
  <c r="I34" i="4"/>
  <c r="L34" i="4" s="1"/>
  <c r="I333" i="4"/>
  <c r="L333" i="4" s="1"/>
  <c r="I75" i="4"/>
  <c r="L75" i="4" s="1"/>
  <c r="I350" i="4"/>
  <c r="L350" i="4" s="1"/>
  <c r="I402" i="4"/>
  <c r="L402" i="4" s="1"/>
  <c r="I105" i="4"/>
  <c r="L105" i="4" s="1"/>
  <c r="I104" i="4"/>
  <c r="L104" i="4" s="1"/>
  <c r="I380" i="4"/>
  <c r="L380" i="4" s="1"/>
  <c r="I138" i="4"/>
  <c r="L138" i="4" s="1"/>
  <c r="I118" i="4"/>
  <c r="L118" i="4" s="1"/>
  <c r="I66" i="4"/>
  <c r="L66" i="4" s="1"/>
  <c r="I293" i="4"/>
  <c r="L293" i="4" s="1"/>
  <c r="I5" i="4"/>
  <c r="L5" i="4" s="1"/>
  <c r="I72" i="4"/>
  <c r="L72" i="4" s="1"/>
  <c r="I270" i="4"/>
  <c r="L270" i="4" s="1"/>
  <c r="I394" i="4"/>
  <c r="L394" i="4" s="1"/>
  <c r="I167" i="4"/>
  <c r="L167" i="4" s="1"/>
  <c r="I342" i="4"/>
  <c r="L342" i="4" s="1"/>
  <c r="I429" i="4"/>
  <c r="L429" i="4" s="1"/>
  <c r="I20" i="4"/>
  <c r="L20" i="4" s="1"/>
  <c r="I286" i="4"/>
  <c r="L286" i="4" s="1"/>
  <c r="I406" i="4"/>
  <c r="L406" i="4" s="1"/>
  <c r="I367" i="4"/>
  <c r="L367" i="4" s="1"/>
  <c r="I359" i="4"/>
  <c r="L359" i="4" s="1"/>
  <c r="I336" i="4"/>
  <c r="L336" i="4" s="1"/>
  <c r="I114" i="4"/>
  <c r="L114" i="4" s="1"/>
  <c r="I229" i="4"/>
  <c r="L229" i="4" s="1"/>
  <c r="I16" i="4"/>
  <c r="L16" i="4" s="1"/>
  <c r="I113" i="4"/>
  <c r="L113" i="4" s="1"/>
  <c r="I12" i="4"/>
  <c r="L12" i="4" s="1"/>
  <c r="I74" i="4"/>
  <c r="L74" i="4" s="1"/>
  <c r="I329" i="4"/>
  <c r="L329" i="4" s="1"/>
  <c r="I294" i="4"/>
  <c r="L294" i="4" s="1"/>
  <c r="I154" i="4"/>
  <c r="L154" i="4" s="1"/>
  <c r="I15" i="4"/>
  <c r="L15" i="4" s="1"/>
  <c r="I232" i="4"/>
  <c r="L232" i="4" s="1"/>
  <c r="I449" i="4"/>
  <c r="L449" i="4" s="1"/>
  <c r="I158" i="4"/>
  <c r="L158" i="4" s="1"/>
  <c r="I378" i="4"/>
  <c r="L378" i="4" s="1"/>
  <c r="I281" i="4"/>
  <c r="L281" i="4" s="1"/>
  <c r="I448" i="4"/>
  <c r="L448" i="4" s="1"/>
  <c r="I17" i="4"/>
  <c r="L17" i="4" s="1"/>
  <c r="I322" i="4"/>
  <c r="L322" i="4" s="1"/>
  <c r="I92" i="4"/>
  <c r="L92" i="4" s="1"/>
  <c r="I371" i="4"/>
  <c r="L371" i="4" s="1"/>
  <c r="I236" i="4"/>
  <c r="L236" i="4" s="1"/>
  <c r="I445" i="4"/>
  <c r="L445" i="4" s="1"/>
  <c r="I58" i="4"/>
  <c r="L58" i="4" s="1"/>
  <c r="I334" i="4"/>
  <c r="L334" i="4" s="1"/>
  <c r="I433" i="4"/>
  <c r="L433" i="4" s="1"/>
  <c r="I297" i="4"/>
  <c r="L297" i="4" s="1"/>
  <c r="I227" i="4"/>
  <c r="L227" i="4" s="1"/>
  <c r="I70" i="4"/>
  <c r="L70" i="4" s="1"/>
  <c r="I412" i="4"/>
  <c r="L412" i="4" s="1"/>
  <c r="I121" i="4"/>
  <c r="L121" i="4" s="1"/>
  <c r="I285" i="4"/>
  <c r="L285" i="4" s="1"/>
  <c r="I106" i="4"/>
  <c r="L106" i="4" s="1"/>
  <c r="I182" i="4"/>
  <c r="L182" i="4" s="1"/>
  <c r="I108" i="4"/>
  <c r="L108" i="4" s="1"/>
  <c r="I157" i="4"/>
  <c r="L157" i="4" s="1"/>
  <c r="I100" i="4"/>
  <c r="L100" i="4" s="1"/>
  <c r="I224" i="4"/>
  <c r="L224" i="4" s="1"/>
  <c r="I377" i="4"/>
  <c r="L377" i="4" s="1"/>
  <c r="I417" i="4"/>
  <c r="L417" i="4" s="1"/>
  <c r="I25" i="4"/>
  <c r="L25" i="4" s="1"/>
</calcChain>
</file>

<file path=xl/sharedStrings.xml><?xml version="1.0" encoding="utf-8"?>
<sst xmlns="http://schemas.openxmlformats.org/spreadsheetml/2006/main" count="4613" uniqueCount="1109">
  <si>
    <t>Nº</t>
  </si>
  <si>
    <t>Marca</t>
  </si>
  <si>
    <t>lote</t>
  </si>
  <si>
    <t>Vencimiento</t>
  </si>
  <si>
    <t>Acción</t>
  </si>
  <si>
    <t>Observaciones</t>
  </si>
  <si>
    <t>4-aminoantipirina  (4-AAP)</t>
  </si>
  <si>
    <t>gr</t>
  </si>
  <si>
    <t>Acido amidosulfúrico (H₂NSO₃H)</t>
  </si>
  <si>
    <t>Merck</t>
  </si>
  <si>
    <t>Acido sulfámico</t>
  </si>
  <si>
    <t>Anedra</t>
  </si>
  <si>
    <t>Almidón</t>
  </si>
  <si>
    <t>Amonio cloruro (NH4Cl)</t>
  </si>
  <si>
    <t>Amonio fosfato dibásico (NH4)2HPO4</t>
  </si>
  <si>
    <t>Biopack</t>
  </si>
  <si>
    <t>Azul de metileno</t>
  </si>
  <si>
    <t>Calcio carbonato  (CaCO3)</t>
  </si>
  <si>
    <t>Cicarelli</t>
  </si>
  <si>
    <t>Carbón activado</t>
  </si>
  <si>
    <t>Cinc Acetato (Zn(CH3CO2)2.2H2O)</t>
  </si>
  <si>
    <t>Cobre (II) sulfato (CuSO4.5H2O)</t>
  </si>
  <si>
    <t>EDTA disódico</t>
  </si>
  <si>
    <t>Estannoso cloruro (SnCl2.2H2O)</t>
  </si>
  <si>
    <t>Fenolftaleína</t>
  </si>
  <si>
    <t>Hierro(III)cloruro</t>
  </si>
  <si>
    <t>sin venc</t>
  </si>
  <si>
    <t>Litio hidróxido (LiOH.H2O)</t>
  </si>
  <si>
    <t>Carlo Erba</t>
  </si>
  <si>
    <t>Magnesio cloruro (MgCl2 .6H2O)</t>
  </si>
  <si>
    <t>Mercurio(II) tiocianato (Hg(SCN)2)</t>
  </si>
  <si>
    <t>N-(1-naftilene)diamina diclorhidrato</t>
  </si>
  <si>
    <t>N,N-dimetil-1,4-fenilenediamina (oxalato)</t>
  </si>
  <si>
    <t>Naranja de metilo</t>
  </si>
  <si>
    <t>Negro de eriocromo T (NET)</t>
  </si>
  <si>
    <t>Plata nitrato  (AgNO3)</t>
  </si>
  <si>
    <t>Plata sulfato (Ag2SO4)</t>
  </si>
  <si>
    <t>Plomo acetato (Pb(CH3COO)2.3H2O)</t>
  </si>
  <si>
    <t>Potasio cloruro (KCL)</t>
  </si>
  <si>
    <t>Potasio cromato (K2CrO4)</t>
  </si>
  <si>
    <t>Potasio ferricianuro (K3Fe(CN)6)</t>
  </si>
  <si>
    <t>Timper</t>
  </si>
  <si>
    <t>Potasio fosfato dibásico</t>
  </si>
  <si>
    <t>Potasio fosfato monobásico  (KH2PO4)</t>
  </si>
  <si>
    <t>Potasio iodato</t>
  </si>
  <si>
    <t>Potasio ioduro  (KI)</t>
  </si>
  <si>
    <t>Potasio permanganato  (KMnO4)</t>
  </si>
  <si>
    <t>Sodio borohidruro (NaBH4)</t>
  </si>
  <si>
    <t>Amonio Molibdato tetrahidrato 99%</t>
  </si>
  <si>
    <t>6"</t>
  </si>
  <si>
    <t>Amonio fosfato monobasico (NH4)H2PO4</t>
  </si>
  <si>
    <t>Plata dietil ditiocarbamato</t>
  </si>
  <si>
    <t>Sodio arsenito  (NaAsO2)</t>
  </si>
  <si>
    <t>No lo encontré</t>
  </si>
  <si>
    <t>Stock actual</t>
  </si>
  <si>
    <t>Stock</t>
  </si>
  <si>
    <t>Fecha de actualización:</t>
  </si>
  <si>
    <t>no tiene</t>
  </si>
  <si>
    <t>Ingreso</t>
  </si>
  <si>
    <t>Planilla</t>
  </si>
  <si>
    <t>Solidos mas usados</t>
  </si>
  <si>
    <t>S</t>
  </si>
  <si>
    <t>Comprar?</t>
  </si>
  <si>
    <t>CG</t>
  </si>
  <si>
    <t>Uso</t>
  </si>
  <si>
    <t>Un</t>
  </si>
  <si>
    <t>VARIAN</t>
  </si>
  <si>
    <t>Deuterio</t>
  </si>
  <si>
    <t>cobre y zinc---ok</t>
  </si>
  <si>
    <t>Zinc</t>
  </si>
  <si>
    <t>ok</t>
  </si>
  <si>
    <t>Sodio</t>
  </si>
  <si>
    <t>Silicio</t>
  </si>
  <si>
    <t>Selenio</t>
  </si>
  <si>
    <t>Potasio</t>
  </si>
  <si>
    <t>ok medicion desconfiable</t>
  </si>
  <si>
    <t>AGILENT</t>
  </si>
  <si>
    <t>ok---vieja medicion desconfiable</t>
  </si>
  <si>
    <t>Plomo</t>
  </si>
  <si>
    <t>Plata</t>
  </si>
  <si>
    <t>multi-AGILENT</t>
  </si>
  <si>
    <t>multi-VARIAN</t>
  </si>
  <si>
    <t>Niquel</t>
  </si>
  <si>
    <t>Molibdeno</t>
  </si>
  <si>
    <t>Mercurio</t>
  </si>
  <si>
    <t>Manganeso</t>
  </si>
  <si>
    <t>calcio y magnesio----ok</t>
  </si>
  <si>
    <t>Magnesio</t>
  </si>
  <si>
    <t>Hierro</t>
  </si>
  <si>
    <t>Estaño</t>
  </si>
  <si>
    <t>Cromo</t>
  </si>
  <si>
    <t>Cobre</t>
  </si>
  <si>
    <t>Cobalto</t>
  </si>
  <si>
    <t>Calcio</t>
  </si>
  <si>
    <t>Cadmio</t>
  </si>
  <si>
    <t>SMG</t>
  </si>
  <si>
    <t>Bario</t>
  </si>
  <si>
    <t>Arsenico</t>
  </si>
  <si>
    <t>Antimonio</t>
  </si>
  <si>
    <t>Aluminio</t>
  </si>
  <si>
    <t xml:space="preserve">Marca </t>
  </si>
  <si>
    <t>Grado</t>
  </si>
  <si>
    <t>1-Butanol</t>
  </si>
  <si>
    <t>PA</t>
  </si>
  <si>
    <t>1-Metoxi-2-propanol/propilenglicol metil eter</t>
  </si>
  <si>
    <t>Alfa-Aesar</t>
  </si>
  <si>
    <t>1-Octanol</t>
  </si>
  <si>
    <t>PS</t>
  </si>
  <si>
    <t>2-Propanol/isopropanol/alcohol isopropilico</t>
  </si>
  <si>
    <t>Acetato de etilo</t>
  </si>
  <si>
    <t>Acetato de isopropilo</t>
  </si>
  <si>
    <t>Acetona</t>
  </si>
  <si>
    <t>Acetonitrilo</t>
  </si>
  <si>
    <t>GP</t>
  </si>
  <si>
    <t>Alcohol etilico</t>
  </si>
  <si>
    <t>Benceno</t>
  </si>
  <si>
    <t>Clorobenceno</t>
  </si>
  <si>
    <t>Dorwil</t>
  </si>
  <si>
    <t>Cloroformo</t>
  </si>
  <si>
    <t>Ciclohexano</t>
  </si>
  <si>
    <t>Ciclohexanona</t>
  </si>
  <si>
    <t>Tedia</t>
  </si>
  <si>
    <t>Diclorometano/ cloruro de metileno</t>
  </si>
  <si>
    <t>Dimetilsulfóxido</t>
  </si>
  <si>
    <t>Disulfuro de carbono</t>
  </si>
  <si>
    <t>Eter etilico</t>
  </si>
  <si>
    <t>Eter sulfurico</t>
  </si>
  <si>
    <t>Raudo</t>
  </si>
  <si>
    <t>Etilbenceno</t>
  </si>
  <si>
    <t>Etilenglicol</t>
  </si>
  <si>
    <t>IR</t>
  </si>
  <si>
    <t>Hexadecano</t>
  </si>
  <si>
    <t>Isobutanol /2 metil 1-propanol</t>
  </si>
  <si>
    <t>Isooctano</t>
  </si>
  <si>
    <t>Isophorone</t>
  </si>
  <si>
    <t>Metanol</t>
  </si>
  <si>
    <t>Metil etil cetona/ butanona/MEC</t>
  </si>
  <si>
    <t>HPLC/IR</t>
  </si>
  <si>
    <t>Metil isobutil cetona</t>
  </si>
  <si>
    <t>N-Heptano</t>
  </si>
  <si>
    <t>N-Hexano</t>
  </si>
  <si>
    <t>O-Xileno</t>
  </si>
  <si>
    <t>P-Xileno</t>
  </si>
  <si>
    <t>Percloro etileno</t>
  </si>
  <si>
    <t>Piridina</t>
  </si>
  <si>
    <t>Tolueno</t>
  </si>
  <si>
    <t>Trietanol amina</t>
  </si>
  <si>
    <t>Lote</t>
  </si>
  <si>
    <t>21194-49</t>
  </si>
  <si>
    <t>ml</t>
  </si>
  <si>
    <t>Amoniaco (estabilizante mineral)</t>
  </si>
  <si>
    <t>a8310</t>
  </si>
  <si>
    <t>sobres</t>
  </si>
  <si>
    <t>Cromo (Chromaver)</t>
  </si>
  <si>
    <t>12710-99</t>
  </si>
  <si>
    <t>Boro (Borover)</t>
  </si>
  <si>
    <t>147170-99</t>
  </si>
  <si>
    <t>Cianuro (Cianiver 3 )</t>
  </si>
  <si>
    <t>21068-69</t>
  </si>
  <si>
    <t>21069-69</t>
  </si>
  <si>
    <t>A7262</t>
  </si>
  <si>
    <t>21070-69</t>
  </si>
  <si>
    <t>21055-69</t>
  </si>
  <si>
    <t>245199-AR</t>
  </si>
  <si>
    <t>Digestión de Fósforo</t>
  </si>
  <si>
    <t>A8121</t>
  </si>
  <si>
    <t>Fosfatos PhosVer 3</t>
  </si>
  <si>
    <t>21060-69</t>
  </si>
  <si>
    <t>A7280</t>
  </si>
  <si>
    <t>Sulfatos (Sulfaver)</t>
  </si>
  <si>
    <t>21067-69</t>
  </si>
  <si>
    <t>Ion férrico en solucion</t>
  </si>
  <si>
    <t>22122-42</t>
  </si>
  <si>
    <t>p/Cloruros en desuso</t>
  </si>
  <si>
    <t>Tiocianato de mercurio</t>
  </si>
  <si>
    <t>22121-29</t>
  </si>
  <si>
    <t>21259-15</t>
  </si>
  <si>
    <t>tubos</t>
  </si>
  <si>
    <t>K-7365</t>
  </si>
  <si>
    <t>Fluoruros (SPAND F-)</t>
  </si>
  <si>
    <t>444-49</t>
  </si>
  <si>
    <t>A9010</t>
  </si>
  <si>
    <t>Silica 1</t>
  </si>
  <si>
    <t>21062-69</t>
  </si>
  <si>
    <t>Silica 2</t>
  </si>
  <si>
    <t>21074-69</t>
  </si>
  <si>
    <t>Silica 3</t>
  </si>
  <si>
    <t>21073-69</t>
  </si>
  <si>
    <t>Acido nitrico 65%</t>
  </si>
  <si>
    <t>Acido sulfurico 98%</t>
  </si>
  <si>
    <t>Acido clorhidrico 37%</t>
  </si>
  <si>
    <t>Acido acetico glacial</t>
  </si>
  <si>
    <t>Acido Fosfórico 85%</t>
  </si>
  <si>
    <t>Acido Perclórico</t>
  </si>
  <si>
    <t>Acido fluorhídrico</t>
  </si>
  <si>
    <t>Amoniaco sol -amonio hidróxido</t>
  </si>
  <si>
    <t>Formaldehido</t>
  </si>
  <si>
    <t>Acido lactico</t>
  </si>
  <si>
    <t>Acido bórico</t>
  </si>
  <si>
    <t>Acido cromotrópico (C10H8O8S2)</t>
  </si>
  <si>
    <t>Mallinckrodt</t>
  </si>
  <si>
    <t>Acido esteárico (C18H36O2)</t>
  </si>
  <si>
    <t>Aluminio cloruro</t>
  </si>
  <si>
    <t>Aluminio sulfato  ((Al2SO4)3.18H2O)</t>
  </si>
  <si>
    <t>Amonio acetato  (CH3COONH4)</t>
  </si>
  <si>
    <t>Amonio oxalato  ((NH4)2C2O4)</t>
  </si>
  <si>
    <t>minimo</t>
  </si>
  <si>
    <t>Antimonio metalico</t>
  </si>
  <si>
    <t>Azufre en canutos</t>
  </si>
  <si>
    <t>Azufre molido</t>
  </si>
  <si>
    <t>Bario cloruro  (BaCl2.2H2O)</t>
  </si>
  <si>
    <t>Bismuto Nitrato (Bi(NO3)3)</t>
  </si>
  <si>
    <t>Calcio cloruro dihidrato</t>
  </si>
  <si>
    <t>Calcio hidróxido</t>
  </si>
  <si>
    <t>Calcio oxido- cal viva (CaO)</t>
  </si>
  <si>
    <t>Cobato cloruro   (CoCl2.6H2O)</t>
  </si>
  <si>
    <t>Tetrahedron</t>
  </si>
  <si>
    <t>Ferrico amonico citrato</t>
  </si>
  <si>
    <t>J.T. Baker</t>
  </si>
  <si>
    <t>Hidrazina sulfato</t>
  </si>
  <si>
    <t>Hierro metalico (polvo)</t>
  </si>
  <si>
    <t>Hierro (II) sulfato  (FeSO4.7H2O)</t>
  </si>
  <si>
    <t>Hierro (III) sulfato   (Fe2(SO4)3.xH2O)</t>
  </si>
  <si>
    <t>Hierro (II) sulfuro (sulfuro ferroso) (pirita) (FeS)</t>
  </si>
  <si>
    <t xml:space="preserve">Inhibidor de nitrificación </t>
  </si>
  <si>
    <t>Iodo</t>
  </si>
  <si>
    <t>Lantano (III ) oxido  (La2O3)</t>
  </si>
  <si>
    <t>Magnesio sulfato  (MgSO4.2H2O)</t>
  </si>
  <si>
    <t>Manganeso sulfato (MnSO4.H2O)</t>
  </si>
  <si>
    <t>Deley</t>
  </si>
  <si>
    <t>Mercurio Nitrato  (HgNO3)</t>
  </si>
  <si>
    <t>Murexida</t>
  </si>
  <si>
    <t>Indicador Murexida + cloruro de sodio</t>
  </si>
  <si>
    <t>Plomo nitrato(Pb(NO3)2)</t>
  </si>
  <si>
    <t>Potasio dicromato (K2Cr2O7)</t>
  </si>
  <si>
    <t>Silica gel 60</t>
  </si>
  <si>
    <t>Sílica (tierras diatomeas)</t>
  </si>
  <si>
    <t>Sodio acetato (NaC2H3O2)</t>
  </si>
  <si>
    <t>Sodio borato (Na2B4O7.10H2O)</t>
  </si>
  <si>
    <t>Sodio disulfito (Na2S2O5)</t>
  </si>
  <si>
    <t>Sodio fluoruro (Na F)</t>
  </si>
  <si>
    <t>Sodio meta arsenito  (NaAsO3)</t>
  </si>
  <si>
    <t>Sodio nitrito (NaNO2)</t>
  </si>
  <si>
    <t>Sodio sulfito  anhidro (Na2SO3)</t>
  </si>
  <si>
    <t>Sodio sulfuro  (Na2S xH2O)</t>
  </si>
  <si>
    <t>O-toluidina</t>
  </si>
  <si>
    <t xml:space="preserve">Amonio pirrolidinditiocarbamato </t>
  </si>
  <si>
    <t>ICN</t>
  </si>
  <si>
    <t xml:space="preserve">Amonio pyrrolidine-1-dithiocarboxylic acid  salt </t>
  </si>
  <si>
    <t>Zen Lab</t>
  </si>
  <si>
    <t>CONTROL DE STOCK DE GASES COMPRIMIDOS</t>
  </si>
  <si>
    <t>Hidrógeno 5,0</t>
  </si>
  <si>
    <t>psi</t>
  </si>
  <si>
    <t>Praxair</t>
  </si>
  <si>
    <t>Aire sintetico</t>
  </si>
  <si>
    <t>Nitrógeno 5,0</t>
  </si>
  <si>
    <t>Acetileno</t>
  </si>
  <si>
    <t>Oxido nitroso A.A</t>
  </si>
  <si>
    <t>Helio 5,0</t>
  </si>
  <si>
    <t>7,5m3</t>
  </si>
  <si>
    <t>Insumo</t>
  </si>
  <si>
    <t>chicos</t>
  </si>
  <si>
    <t xml:space="preserve">Alcohol </t>
  </si>
  <si>
    <t>Agarraderas de metal</t>
  </si>
  <si>
    <t>2000 ml</t>
  </si>
  <si>
    <t>1000 ml</t>
  </si>
  <si>
    <t xml:space="preserve">500 ml </t>
  </si>
  <si>
    <t>250 ml</t>
  </si>
  <si>
    <t>30 ml</t>
  </si>
  <si>
    <t>Aros de metal</t>
  </si>
  <si>
    <t xml:space="preserve">grandes </t>
  </si>
  <si>
    <t>Balones esmerilados</t>
  </si>
  <si>
    <t>125 ml</t>
  </si>
  <si>
    <t>50 ml</t>
  </si>
  <si>
    <t>Botellas DBO</t>
  </si>
  <si>
    <t>500ml</t>
  </si>
  <si>
    <t>Buretas</t>
  </si>
  <si>
    <t>25 ml</t>
  </si>
  <si>
    <t>10 ml</t>
  </si>
  <si>
    <t>Buzos</t>
  </si>
  <si>
    <t>medianos</t>
  </si>
  <si>
    <t>Crisoles</t>
  </si>
  <si>
    <t>altos</t>
  </si>
  <si>
    <t>anchos</t>
  </si>
  <si>
    <t>Cristalizadores</t>
  </si>
  <si>
    <t>100 ml</t>
  </si>
  <si>
    <t>5 ml</t>
  </si>
  <si>
    <t>Desecadores</t>
  </si>
  <si>
    <t>grande</t>
  </si>
  <si>
    <t>chico</t>
  </si>
  <si>
    <t>Embudos</t>
  </si>
  <si>
    <t>mediano</t>
  </si>
  <si>
    <t>Vidrio</t>
  </si>
  <si>
    <t>Buchner</t>
  </si>
  <si>
    <t>Equipos de arsénico</t>
  </si>
  <si>
    <t>c/esmeril</t>
  </si>
  <si>
    <t>150 ml</t>
  </si>
  <si>
    <t>Espatulas</t>
  </si>
  <si>
    <t>chicas</t>
  </si>
  <si>
    <t>500 ml</t>
  </si>
  <si>
    <t>200 ml</t>
  </si>
  <si>
    <t>Peritas</t>
  </si>
  <si>
    <t>Pinzas</t>
  </si>
  <si>
    <t>Pipetas Pasteur</t>
  </si>
  <si>
    <t>Probetas</t>
  </si>
  <si>
    <t>Propipetas</t>
  </si>
  <si>
    <t>Tubos</t>
  </si>
  <si>
    <t>Varillas</t>
  </si>
  <si>
    <t>Vasos</t>
  </si>
  <si>
    <t>Vidrios de reloj</t>
  </si>
  <si>
    <t>Equipo SOXHLET</t>
  </si>
  <si>
    <t>parte 1</t>
  </si>
  <si>
    <t>parte2</t>
  </si>
  <si>
    <t>balon</t>
  </si>
  <si>
    <t>Adaptadores de columna</t>
  </si>
  <si>
    <t>Capilares</t>
  </si>
  <si>
    <t>62391-20540</t>
  </si>
  <si>
    <t>Cinta antiestática</t>
  </si>
  <si>
    <t>HP-5 MS UI</t>
  </si>
  <si>
    <t>19091S-433UI</t>
  </si>
  <si>
    <t>VF-WAX MS</t>
  </si>
  <si>
    <t>CP9205</t>
  </si>
  <si>
    <t>Ferrules</t>
  </si>
  <si>
    <t>0,4 mm</t>
  </si>
  <si>
    <t>5181-3323</t>
  </si>
  <si>
    <t>5062-9537</t>
  </si>
  <si>
    <t>Shimadzu</t>
  </si>
  <si>
    <t>670-15003-03</t>
  </si>
  <si>
    <t>G-05</t>
  </si>
  <si>
    <t>221-32126-05</t>
  </si>
  <si>
    <t>Filamento</t>
  </si>
  <si>
    <t>Filtro FPD</t>
  </si>
  <si>
    <t>221-73354-01</t>
  </si>
  <si>
    <t>P</t>
  </si>
  <si>
    <t>221-73354-02</t>
  </si>
  <si>
    <t>Sn</t>
  </si>
  <si>
    <t>221-73354-03</t>
  </si>
  <si>
    <t>Agilent</t>
  </si>
  <si>
    <t>5181-1270</t>
  </si>
  <si>
    <t>Jeringas</t>
  </si>
  <si>
    <t>5190-1535</t>
  </si>
  <si>
    <t>221-34618</t>
  </si>
  <si>
    <t>5183-4606</t>
  </si>
  <si>
    <t>Omnilab</t>
  </si>
  <si>
    <t>110731C04196253B</t>
  </si>
  <si>
    <t>Jet</t>
  </si>
  <si>
    <t>Columna capilar</t>
  </si>
  <si>
    <t>Columna empacada</t>
  </si>
  <si>
    <t>Liners</t>
  </si>
  <si>
    <t>Cross lab</t>
  </si>
  <si>
    <t>8001-0157</t>
  </si>
  <si>
    <t>5181-3316</t>
  </si>
  <si>
    <t>O-ring</t>
  </si>
  <si>
    <t>036-11203-84</t>
  </si>
  <si>
    <t>PFTBA</t>
  </si>
  <si>
    <t>442747-U</t>
  </si>
  <si>
    <t>Pituto para septum</t>
  </si>
  <si>
    <t>Selladora de viales</t>
  </si>
  <si>
    <t>Sellos de oro</t>
  </si>
  <si>
    <t>Septum</t>
  </si>
  <si>
    <t>1 s/cód, 30 5183-4757-100 (L:2953), 47 5181-1263-50</t>
  </si>
  <si>
    <t>221-41239-92</t>
  </si>
  <si>
    <t>5182-3442</t>
  </si>
  <si>
    <t>microseptum para alta presion</t>
  </si>
  <si>
    <t>5182-0717</t>
  </si>
  <si>
    <t>221-34273-92</t>
  </si>
  <si>
    <t>5183-4477</t>
  </si>
  <si>
    <t>Viales</t>
  </si>
  <si>
    <t>1,5 ml graduados</t>
  </si>
  <si>
    <t>5182-0714</t>
  </si>
  <si>
    <t>221-34274-91</t>
  </si>
  <si>
    <t>Lab solutions</t>
  </si>
  <si>
    <t>1223 VH1018</t>
  </si>
  <si>
    <t>4 ml</t>
  </si>
  <si>
    <t>221-34269-91</t>
  </si>
  <si>
    <t>Washers</t>
  </si>
  <si>
    <t>375 OD</t>
  </si>
  <si>
    <t>Cinta amarilla</t>
  </si>
  <si>
    <t>225-01453-94</t>
  </si>
  <si>
    <t>225-01453-95</t>
  </si>
  <si>
    <t>Corta columna</t>
  </si>
  <si>
    <t>Hexagon 4,0</t>
  </si>
  <si>
    <t>Hexagon 1,5</t>
  </si>
  <si>
    <t>Minus</t>
  </si>
  <si>
    <t>Lana de vidrio</t>
  </si>
  <si>
    <t>llave para columna</t>
  </si>
  <si>
    <t>llave spaner</t>
  </si>
  <si>
    <t>Palito quita ferrules</t>
  </si>
  <si>
    <t>Pinza</t>
  </si>
  <si>
    <t>Protectores de dedos</t>
  </si>
  <si>
    <t>Tuercas</t>
  </si>
  <si>
    <t>Responsables del seguimiento</t>
  </si>
  <si>
    <t>Solidos menos usados</t>
  </si>
  <si>
    <t>Solidos heladera</t>
  </si>
  <si>
    <t>Control de Stock Reactivos Sólidos más usados</t>
  </si>
  <si>
    <t>Control de Stock Rectivos Sólidos menos usados</t>
  </si>
  <si>
    <t>Control de Stock reactivos sólidos refrigerados</t>
  </si>
  <si>
    <t>N/A</t>
  </si>
  <si>
    <t>Solventes</t>
  </si>
  <si>
    <t>Lt</t>
  </si>
  <si>
    <t>Reactivos HACH</t>
  </si>
  <si>
    <t>Cloro libre (DPD FREE CHLORINE)</t>
  </si>
  <si>
    <t>Unidad</t>
  </si>
  <si>
    <t>Control de Stock de reactivos HACH</t>
  </si>
  <si>
    <t>Azul de Toluidina</t>
  </si>
  <si>
    <t>SRAO</t>
  </si>
  <si>
    <t>Triacetina</t>
  </si>
  <si>
    <t>Asbestos</t>
  </si>
  <si>
    <t>Aldrich</t>
  </si>
  <si>
    <t>Sedronar</t>
  </si>
  <si>
    <t>Gases comprimidos</t>
  </si>
  <si>
    <t>kgf.cm-2</t>
  </si>
  <si>
    <t>Volumen</t>
  </si>
  <si>
    <t>10 m3</t>
  </si>
  <si>
    <t>Carga inicial</t>
  </si>
  <si>
    <t>CG-MS</t>
  </si>
  <si>
    <t>AA</t>
  </si>
  <si>
    <t>CG-FID/ECD</t>
  </si>
  <si>
    <t>CG-FID/FPD</t>
  </si>
  <si>
    <t>Especificación</t>
  </si>
  <si>
    <t>Kitasatos</t>
  </si>
  <si>
    <t>Cortas</t>
  </si>
  <si>
    <t>Largas</t>
  </si>
  <si>
    <t>grandes c/tapa</t>
  </si>
  <si>
    <t>chicos c/tapa</t>
  </si>
  <si>
    <t>grandes s/tapa</t>
  </si>
  <si>
    <t>chicos s/tapa</t>
  </si>
  <si>
    <t>Plástico</t>
  </si>
  <si>
    <t>Aforados</t>
  </si>
  <si>
    <t>Graduados</t>
  </si>
  <si>
    <t>Pipetas</t>
  </si>
  <si>
    <t>Matraces</t>
  </si>
  <si>
    <t xml:space="preserve">Erlenmeyer </t>
  </si>
  <si>
    <t>s/esmeril</t>
  </si>
  <si>
    <t>Proveedor</t>
  </si>
  <si>
    <t>Cuarzo</t>
  </si>
  <si>
    <t>Cabezal</t>
  </si>
  <si>
    <t>Alargadera</t>
  </si>
  <si>
    <t>Refrigerante</t>
  </si>
  <si>
    <t>Equipos de destilación</t>
  </si>
  <si>
    <t>Material de vidrio</t>
  </si>
  <si>
    <t>Material</t>
  </si>
  <si>
    <t>Ampollas extracción</t>
  </si>
  <si>
    <t>Acidos bases y otros liquidos</t>
  </si>
  <si>
    <t>General</t>
  </si>
  <si>
    <t>Stock mínimo</t>
  </si>
  <si>
    <t>Cantidad a comprar</t>
  </si>
  <si>
    <t>Column11</t>
  </si>
  <si>
    <t>Column12</t>
  </si>
  <si>
    <t>Column13</t>
  </si>
  <si>
    <t>Column14</t>
  </si>
  <si>
    <t>Column15</t>
  </si>
  <si>
    <t>Semestral</t>
  </si>
  <si>
    <t>Trimestral</t>
  </si>
  <si>
    <t>Bimestral</t>
  </si>
  <si>
    <t>Quincenal</t>
  </si>
  <si>
    <t>Mensual</t>
  </si>
  <si>
    <t>Permanente</t>
  </si>
  <si>
    <r>
      <t>kgf.cm</t>
    </r>
    <r>
      <rPr>
        <vertAlign val="superscript"/>
        <sz val="12"/>
        <rFont val="Garamond"/>
        <family val="1"/>
      </rPr>
      <t>-2</t>
    </r>
  </si>
  <si>
    <t>Fecha de actualización</t>
  </si>
  <si>
    <t>Estado general del Stock</t>
  </si>
  <si>
    <t>Días hasta vencer</t>
  </si>
  <si>
    <t>Amonio persulfato((NH4)2S2O8)</t>
  </si>
  <si>
    <t>S3</t>
  </si>
  <si>
    <t>S2</t>
  </si>
  <si>
    <t>S1</t>
  </si>
  <si>
    <t>Cubetas</t>
  </si>
  <si>
    <t>Fecha de control:</t>
  </si>
  <si>
    <t>Cuarzo micro</t>
  </si>
  <si>
    <t>Grande</t>
  </si>
  <si>
    <t>Chico</t>
  </si>
  <si>
    <t>Tamaño</t>
  </si>
  <si>
    <t>Ampollas extracción  2000 ml</t>
  </si>
  <si>
    <t>Ampollas extracción  1000 ml</t>
  </si>
  <si>
    <t xml:space="preserve">Ampollas extracción  500 ml </t>
  </si>
  <si>
    <t>Ampollas extracción  250 ml</t>
  </si>
  <si>
    <t>Ampollas extracción  30 ml</t>
  </si>
  <si>
    <t>Balones esmerilados  1000 ml</t>
  </si>
  <si>
    <t xml:space="preserve">Balones esmerilados  500 ml </t>
  </si>
  <si>
    <t>Balones esmerilados  250 ml</t>
  </si>
  <si>
    <t>Balones esmerilados  125 ml</t>
  </si>
  <si>
    <t>Botellas DBO  500ml</t>
  </si>
  <si>
    <t>Buretas  25 ml</t>
  </si>
  <si>
    <t>Buretas  10 ml</t>
  </si>
  <si>
    <t>Cristalizadores  250 ml</t>
  </si>
  <si>
    <t>Cristalizadores  100 ml</t>
  </si>
  <si>
    <t>Cubetas Vidrio 10 ml</t>
  </si>
  <si>
    <t>Cubetas Vidrio 25 ml</t>
  </si>
  <si>
    <t>Cubetas Vidrio 5 ml</t>
  </si>
  <si>
    <t>Cubetas Cuarzo 25 ml</t>
  </si>
  <si>
    <t>Cubetas Cuarzo 5 ml</t>
  </si>
  <si>
    <t>Cubetas Cuarzo 1 ml</t>
  </si>
  <si>
    <t xml:space="preserve">Cubetas Cuarzo micro </t>
  </si>
  <si>
    <t>Desecadores Vidrio Grande</t>
  </si>
  <si>
    <t>Desecadores Plástico Chico</t>
  </si>
  <si>
    <t xml:space="preserve">Equipos de destilación Cabezal </t>
  </si>
  <si>
    <t xml:space="preserve">Equipos de destilación Alargadera </t>
  </si>
  <si>
    <t xml:space="preserve">Equipos de destilación Refrigerante </t>
  </si>
  <si>
    <t>Embudos Plástico grande</t>
  </si>
  <si>
    <t>Embudos Plástico mediano</t>
  </si>
  <si>
    <t>Embudos Plástico chico</t>
  </si>
  <si>
    <t>Embudos Vidrio grande</t>
  </si>
  <si>
    <t>Embudos Vidrio mediano</t>
  </si>
  <si>
    <t>Embudos Vidrio chico</t>
  </si>
  <si>
    <t>Embudos Buchner grande</t>
  </si>
  <si>
    <t>Embudos Buchner chico</t>
  </si>
  <si>
    <t xml:space="preserve">Equipos de arsénico  </t>
  </si>
  <si>
    <t xml:space="preserve">Erlenmeyer  c/esmeril 500 ml </t>
  </si>
  <si>
    <t>Erlenmeyer  c/esmeril 250 ml</t>
  </si>
  <si>
    <t>Erlenmeyer  c/esmeril 125 ml</t>
  </si>
  <si>
    <t>Erlenmeyer  c/esmeril 100 ml</t>
  </si>
  <si>
    <t xml:space="preserve">Erlenmeyer  s/esmeril 500 ml </t>
  </si>
  <si>
    <t>Erlenmeyer  s/esmeril 250 ml</t>
  </si>
  <si>
    <t>Erlenmeyer  s/esmeril 150 ml</t>
  </si>
  <si>
    <t>Erlenmeyer  s/esmeril 125 ml</t>
  </si>
  <si>
    <t xml:space="preserve">Kitasatos grande </t>
  </si>
  <si>
    <t xml:space="preserve">Kitasatos chico </t>
  </si>
  <si>
    <t>Matraces Aforados 2000 ml</t>
  </si>
  <si>
    <t>Matraces Aforados 1000 ml</t>
  </si>
  <si>
    <t>Matraces Aforados 500 ml</t>
  </si>
  <si>
    <t>Matraces Aforados 250 ml</t>
  </si>
  <si>
    <t>Matraces Aforados 200 ml</t>
  </si>
  <si>
    <t>Matraces Aforados 100 ml</t>
  </si>
  <si>
    <t>Matraces Aforados 50 ml</t>
  </si>
  <si>
    <t>Matraces Aforados 25 ml</t>
  </si>
  <si>
    <t>Matraces Aforados 10 ml</t>
  </si>
  <si>
    <t>Pipetas Graduados 50</t>
  </si>
  <si>
    <t>Pipetas Graduados 25</t>
  </si>
  <si>
    <t>Pipetas Graduados 10</t>
  </si>
  <si>
    <t>Pipetas Graduados 5</t>
  </si>
  <si>
    <t>Pipetas Graduados 2</t>
  </si>
  <si>
    <t>Pipetas Graduados 1</t>
  </si>
  <si>
    <t>Pipetas Graduados 0,5</t>
  </si>
  <si>
    <t>Pipetas Graduados 0,2</t>
  </si>
  <si>
    <t>Pipetas Graduados 0,1</t>
  </si>
  <si>
    <t>Pipetas Aforados 50</t>
  </si>
  <si>
    <t>Pipetas Aforados 25</t>
  </si>
  <si>
    <t>Pipetas Aforados 10</t>
  </si>
  <si>
    <t>Pipetas Aforados 5</t>
  </si>
  <si>
    <t>Pipetas Aforados 4</t>
  </si>
  <si>
    <t>Pipetas Aforados 2</t>
  </si>
  <si>
    <t>Pipetas Aforados 1</t>
  </si>
  <si>
    <t xml:space="preserve">Pipetas Pasteur Vidrio </t>
  </si>
  <si>
    <t xml:space="preserve">Pipetas Pasteur Plástico </t>
  </si>
  <si>
    <t>Probetas Vidrio 1000 ml</t>
  </si>
  <si>
    <t xml:space="preserve">Probetas Vidrio 500 ml </t>
  </si>
  <si>
    <t>Probetas Vidrio 250 ml</t>
  </si>
  <si>
    <t>Probetas Vidrio 100 ml</t>
  </si>
  <si>
    <t>Probetas Vidrio 50 ml</t>
  </si>
  <si>
    <t>Probetas Vidrio 25 ml</t>
  </si>
  <si>
    <t>Probetas Plástico 250 ml</t>
  </si>
  <si>
    <t>Probetas Plástico 100 ml</t>
  </si>
  <si>
    <t>Probetas Plástico 50 ml</t>
  </si>
  <si>
    <t>Probetas Plástico 25 ml</t>
  </si>
  <si>
    <t xml:space="preserve">Tubos chicos c/tapa </t>
  </si>
  <si>
    <t xml:space="preserve">Tubos grandes s/tapa </t>
  </si>
  <si>
    <t xml:space="preserve">Tubos chicos s/tapa </t>
  </si>
  <si>
    <t xml:space="preserve">Varillas Cortas </t>
  </si>
  <si>
    <t xml:space="preserve">Varillas Largas </t>
  </si>
  <si>
    <t>Vasos  2000 ml</t>
  </si>
  <si>
    <t>Vasos  1000 ml</t>
  </si>
  <si>
    <t xml:space="preserve">Vasos  500 ml </t>
  </si>
  <si>
    <t>Vasos  250 ml</t>
  </si>
  <si>
    <t>Vasos  150 ml</t>
  </si>
  <si>
    <t>Vasos  100 ml</t>
  </si>
  <si>
    <t>Vasos  50 ml</t>
  </si>
  <si>
    <t xml:space="preserve">Vidrios de reloj grandes  </t>
  </si>
  <si>
    <t xml:space="preserve">Vidrios de reloj medianos </t>
  </si>
  <si>
    <t xml:space="preserve">Vidrios de reloj chicos </t>
  </si>
  <si>
    <t xml:space="preserve">Equipo SOXHLET parte 1 </t>
  </si>
  <si>
    <t xml:space="preserve">Equipo SOXHLET parte2 </t>
  </si>
  <si>
    <t xml:space="preserve">Equipo SOXHLET balon </t>
  </si>
  <si>
    <t xml:space="preserve">Agarraderas de metal  </t>
  </si>
  <si>
    <t xml:space="preserve">Aros de metal chicos </t>
  </si>
  <si>
    <t xml:space="preserve">Aros de metal grandes  </t>
  </si>
  <si>
    <t xml:space="preserve">Buzos grandes  </t>
  </si>
  <si>
    <t xml:space="preserve">Buzos medianos </t>
  </si>
  <si>
    <t xml:space="preserve">Buzos chicos </t>
  </si>
  <si>
    <t xml:space="preserve">Crisoles altos </t>
  </si>
  <si>
    <t xml:space="preserve">Crisoles anchos </t>
  </si>
  <si>
    <t xml:space="preserve">Espatulas grandes  </t>
  </si>
  <si>
    <t xml:space="preserve">Espatulas chicas </t>
  </si>
  <si>
    <t xml:space="preserve">Peritas grandes  </t>
  </si>
  <si>
    <t xml:space="preserve">Peritas chicas </t>
  </si>
  <si>
    <t xml:space="preserve">Pinzas  </t>
  </si>
  <si>
    <t xml:space="preserve">Propipetas  </t>
  </si>
  <si>
    <t>Alcohol sec-propilico/Secpropanol</t>
  </si>
  <si>
    <t>Sodio Hidróxido (perlitas) (NaOH)</t>
  </si>
  <si>
    <t>Potasio hidroxido</t>
  </si>
  <si>
    <t>Potasio hexanoplatinato (K2PtCl6)</t>
  </si>
  <si>
    <t>Diaminobenciden-tetrahidroclorohidrato (C12H14N4.4HCl)</t>
  </si>
  <si>
    <t>Fecha actualización</t>
  </si>
  <si>
    <t>Estado de Stock</t>
  </si>
  <si>
    <t>Fecha última actualización:</t>
  </si>
  <si>
    <t>Lamparas AA</t>
  </si>
  <si>
    <t>Estado</t>
  </si>
  <si>
    <t xml:space="preserve">Alcohol  </t>
  </si>
  <si>
    <t>Guantes e insumos generales</t>
  </si>
  <si>
    <t>Stock en uso</t>
  </si>
  <si>
    <t>Stock nuevo</t>
  </si>
  <si>
    <t>Filtros Osmoion 5 Micrones</t>
  </si>
  <si>
    <t>Filtros Osmoion Carbon</t>
  </si>
  <si>
    <t>Bolsas Amarillas Chicas</t>
  </si>
  <si>
    <t>Bolsas Amarillas Grandes</t>
  </si>
  <si>
    <t>Papel Ph</t>
  </si>
  <si>
    <t>Grasa Siliconada</t>
  </si>
  <si>
    <t>Paños Absorbedores Rosados</t>
  </si>
  <si>
    <t>Detergente No Ionico</t>
  </si>
  <si>
    <t>Papel Film</t>
  </si>
  <si>
    <t>Papel Aluminio</t>
  </si>
  <si>
    <t>Carbon</t>
  </si>
  <si>
    <t>Chicas</t>
  </si>
  <si>
    <t>Grandes</t>
  </si>
  <si>
    <t>Grises</t>
  </si>
  <si>
    <t>Rosados</t>
  </si>
  <si>
    <t>5 Micrones</t>
  </si>
  <si>
    <t>Filtros Osmoion</t>
  </si>
  <si>
    <t>Resina</t>
  </si>
  <si>
    <t>Cartucho Osmoion</t>
  </si>
  <si>
    <t>Bolsas Amarillas</t>
  </si>
  <si>
    <t>Paños Absorbedores</t>
  </si>
  <si>
    <t>Banda azul D=11cm</t>
  </si>
  <si>
    <t>Banda negra D=11cm</t>
  </si>
  <si>
    <t>Papel Filtro</t>
  </si>
  <si>
    <t>Pisetas</t>
  </si>
  <si>
    <t>Filtros Para Jeringa</t>
  </si>
  <si>
    <t>Talle S Violeta</t>
  </si>
  <si>
    <t>Talle S Verde</t>
  </si>
  <si>
    <t>Talle M Violeta</t>
  </si>
  <si>
    <t>Talle M Verde</t>
  </si>
  <si>
    <t>Talle M Negro</t>
  </si>
  <si>
    <t>Talle L Violeta</t>
  </si>
  <si>
    <t>Talle L Verde</t>
  </si>
  <si>
    <t>Talle L Negro</t>
  </si>
  <si>
    <t>Talle S</t>
  </si>
  <si>
    <t>Guantes De Nitrilo</t>
  </si>
  <si>
    <t>Guantes De Latex</t>
  </si>
  <si>
    <t>Guantes De Nitrilo Talle S Violeta</t>
  </si>
  <si>
    <t>Guantes De Nitrilo Talle S Verde</t>
  </si>
  <si>
    <t>Guantes De Nitrilo Talle M Violeta</t>
  </si>
  <si>
    <t>Guantes De Nitrilo Talle M Verde</t>
  </si>
  <si>
    <t>Guantes De Nitrilo Talle M Negro</t>
  </si>
  <si>
    <t>Guantes De Nitrilo Talle L Violeta</t>
  </si>
  <si>
    <t>Guantes De Nitrilo Talle L Verde</t>
  </si>
  <si>
    <t>Guantes De Nitrilo Talle L Negro</t>
  </si>
  <si>
    <t>Guantes De Latex Rosa/sin polvo</t>
  </si>
  <si>
    <t>Cartucho Osmoion Resina</t>
  </si>
  <si>
    <t xml:space="preserve">Papel Ph </t>
  </si>
  <si>
    <t xml:space="preserve">Grasa Siliconada </t>
  </si>
  <si>
    <t>Paños Absorbedores Grises</t>
  </si>
  <si>
    <t>Papel Filtro Banda azul D=11cm</t>
  </si>
  <si>
    <t>Papel Filtro Banda negra D=11cm</t>
  </si>
  <si>
    <t xml:space="preserve">Detergente No Ionico </t>
  </si>
  <si>
    <t xml:space="preserve">Papel Film </t>
  </si>
  <si>
    <t xml:space="preserve">Papel Aluminio </t>
  </si>
  <si>
    <t>Pisetas 500ml</t>
  </si>
  <si>
    <t>Fecha relevado</t>
  </si>
  <si>
    <t>Hoja2</t>
  </si>
  <si>
    <t>Cierre de insumo</t>
  </si>
  <si>
    <r>
      <t xml:space="preserve">0,45 </t>
    </r>
    <r>
      <rPr>
        <sz val="12"/>
        <rFont val="Calibri"/>
        <family val="2"/>
      </rPr>
      <t>µ</t>
    </r>
    <r>
      <rPr>
        <sz val="11.4"/>
        <rFont val="Garamond"/>
        <family val="1"/>
      </rPr>
      <t>m</t>
    </r>
    <r>
      <rPr>
        <sz val="12"/>
        <rFont val="Garamond"/>
        <family val="1"/>
      </rPr>
      <t xml:space="preserve"> De Nylon</t>
    </r>
  </si>
  <si>
    <t>Filtros Para Jeringa 0,45 µm De Nylon</t>
  </si>
  <si>
    <t>Chicos</t>
  </si>
  <si>
    <t>Bidones Residuos 20 Lt</t>
  </si>
  <si>
    <t>Bidones Residuos Chicos</t>
  </si>
  <si>
    <t>Bidones Residuos</t>
  </si>
  <si>
    <t>20 Lt</t>
  </si>
  <si>
    <t>Sodio bicarbonato  (NaHCO3)</t>
  </si>
  <si>
    <t>Sodio carbonato  anhidro (NaCO3)</t>
  </si>
  <si>
    <t>Sodio fosfato monobasico (NaH2PO4)</t>
  </si>
  <si>
    <t>Sodio oxalato (Na2C2O4)</t>
  </si>
  <si>
    <t>Sodio tiosulfato  (Na2S2O3.5H2O)</t>
  </si>
  <si>
    <t>Sulfanilamida (C6H8N2O2S)</t>
  </si>
  <si>
    <t>Sodio cloruro</t>
  </si>
  <si>
    <t>Sodio sulfato anhidro  (Na2SO4)</t>
  </si>
  <si>
    <t>Cinc sulfato (ZnSO4.7H2O)</t>
  </si>
  <si>
    <t>Cobre (II) cloruro  (CuCl2.2H2O)</t>
  </si>
  <si>
    <t>Eosina</t>
  </si>
  <si>
    <t>Glucosa anhidra (C6H12O6)</t>
  </si>
  <si>
    <t>Hexametilentetraamina (C6H12N4)</t>
  </si>
  <si>
    <t>Sodio fosfato dibasico. 7 agua (Na2HPO4.7H2O)</t>
  </si>
  <si>
    <t>Kit Microcistinas</t>
  </si>
  <si>
    <t>Acetato de 2-etoxietilo</t>
  </si>
  <si>
    <t>Glicerina</t>
  </si>
  <si>
    <t>Tetracloruro de carbono</t>
  </si>
  <si>
    <t>p-Rosanilina</t>
  </si>
  <si>
    <t>Persulfato de potasio</t>
  </si>
  <si>
    <t>Agua oxigenada</t>
  </si>
  <si>
    <t>Acido L-glutámico</t>
  </si>
  <si>
    <t>Hidroxilamina sulfato ((NH3OH)2SO4)</t>
  </si>
  <si>
    <t>Mercurio acetato(Hg(CH₃COO)₂)</t>
  </si>
  <si>
    <t>Mercurio cloruro(HgCl2)</t>
  </si>
  <si>
    <t>Mercurio (III) ioduro  (HgI2)</t>
  </si>
  <si>
    <t>Mercurio sulfato (HgSO4)</t>
  </si>
  <si>
    <t>Potasio nitrato (KNO3)</t>
  </si>
  <si>
    <t>Potasio tiocianato (KSCN)</t>
  </si>
  <si>
    <t>Sodio hexametafosfato  ((NaPO3)6)</t>
  </si>
  <si>
    <t>Sodio laurilsulfato</t>
  </si>
  <si>
    <t>2,2,4-trimetil pentano</t>
  </si>
  <si>
    <t>Tubos DQO</t>
  </si>
  <si>
    <t>Titanio</t>
  </si>
  <si>
    <t>Vanadio</t>
  </si>
  <si>
    <t>2,2,4-Trimetil pentano</t>
  </si>
  <si>
    <t>Comp</t>
  </si>
  <si>
    <t>Agua Oxigenada</t>
  </si>
  <si>
    <t>Aspirina</t>
  </si>
  <si>
    <t>Cinta Adhesiva Ancha</t>
  </si>
  <si>
    <t>Cinta Adhesiva Angosta</t>
  </si>
  <si>
    <t>Curitas</t>
  </si>
  <si>
    <t>Gasa Esteril</t>
  </si>
  <si>
    <t>Ibuprofeno</t>
  </si>
  <si>
    <t>Paracetamol</t>
  </si>
  <si>
    <t>Pervinox</t>
  </si>
  <si>
    <t>Platsul-A</t>
  </si>
  <si>
    <t>Solucion Fisiológica</t>
  </si>
  <si>
    <t>Vendas</t>
  </si>
  <si>
    <t>Equipo</t>
  </si>
  <si>
    <t>FID</t>
  </si>
  <si>
    <t>MS</t>
  </si>
  <si>
    <t>N°  de catálogo</t>
  </si>
  <si>
    <t>Columna</t>
  </si>
  <si>
    <t>Headspace</t>
  </si>
  <si>
    <t>Todos</t>
  </si>
  <si>
    <t>FPD</t>
  </si>
  <si>
    <t>Supelco</t>
  </si>
  <si>
    <t>2,5 ml Headspace</t>
  </si>
  <si>
    <t>10 µl para patrones</t>
  </si>
  <si>
    <t>Verde</t>
  </si>
  <si>
    <t>Para viales 1,5 boca chica</t>
  </si>
  <si>
    <t>1,5 ml no graduados boca chica</t>
  </si>
  <si>
    <t>Split recuperados</t>
  </si>
  <si>
    <t>Split nuevos</t>
  </si>
  <si>
    <t>10 µl nuevas</t>
  </si>
  <si>
    <t>Punta de jeringa</t>
  </si>
  <si>
    <t xml:space="preserve">Destornilladores </t>
  </si>
  <si>
    <t xml:space="preserve">Tapon </t>
  </si>
  <si>
    <t xml:space="preserve">para inyector o detector </t>
  </si>
  <si>
    <t xml:space="preserve">Destornilladror </t>
  </si>
  <si>
    <t>JIG IS</t>
  </si>
  <si>
    <t>CONTROL DE STOCK DE INSUMOS DE CG</t>
  </si>
  <si>
    <t>Botiquin</t>
  </si>
  <si>
    <t>Sintorgan</t>
  </si>
  <si>
    <t>Riedel D Haen</t>
  </si>
  <si>
    <t>N-Pentano</t>
  </si>
  <si>
    <t>Nitratos (Nitraver 5)</t>
  </si>
  <si>
    <t>Amoniaco (alcohol polivinilico)</t>
  </si>
  <si>
    <t>Amoniaco (Nessler)</t>
  </si>
  <si>
    <t>Cianuro (Cianiver 4)</t>
  </si>
  <si>
    <t>Cianuro (Cianiver 5)</t>
  </si>
  <si>
    <t>Alternativo</t>
  </si>
  <si>
    <t>Algunos reactivos vencidos/en desuso</t>
  </si>
  <si>
    <t>Falta terminar de configurar</t>
  </si>
  <si>
    <t>No se sabe, en desuso</t>
  </si>
  <si>
    <t>Cantidad inicial</t>
  </si>
  <si>
    <t>Cinc malla 20</t>
  </si>
  <si>
    <t>Cinc en polvo</t>
  </si>
  <si>
    <t>Alcor</t>
  </si>
  <si>
    <t>Lab Oliveri</t>
  </si>
  <si>
    <t>Norit</t>
  </si>
  <si>
    <t>Fluka</t>
  </si>
  <si>
    <t/>
  </si>
  <si>
    <t>Hach</t>
  </si>
  <si>
    <t>Cientifica Central</t>
  </si>
  <si>
    <t xml:space="preserve">Norte </t>
  </si>
  <si>
    <t>Rieder-De Haen</t>
  </si>
  <si>
    <t xml:space="preserve">Anedra </t>
  </si>
  <si>
    <t>Ucb</t>
  </si>
  <si>
    <t xml:space="preserve">Cicarelli </t>
  </si>
  <si>
    <t>Baker Anal.</t>
  </si>
  <si>
    <t>Sigma</t>
  </si>
  <si>
    <t>Talle XL Violeta</t>
  </si>
  <si>
    <t>Guantes De Nitrilo Talle XL Violeta</t>
  </si>
  <si>
    <t>Son de micro</t>
  </si>
  <si>
    <t>Balones esmerilados  100 ml</t>
  </si>
  <si>
    <t>Buretas  50 ml</t>
  </si>
  <si>
    <t>20 ml</t>
  </si>
  <si>
    <t>Tubos grandes c/tapa 20 ml</t>
  </si>
  <si>
    <t>Tubos DQO, se recuperan constantemente</t>
  </si>
  <si>
    <t>Iodopovidona</t>
  </si>
  <si>
    <t>Sulfadiazina de plata/Lidocaína/Vit. A</t>
  </si>
  <si>
    <t xml:space="preserve"> </t>
  </si>
  <si>
    <t>A comprar</t>
  </si>
  <si>
    <t>25µl</t>
  </si>
  <si>
    <t>Splitless nuevos</t>
  </si>
  <si>
    <t>Splitless recuperados</t>
  </si>
  <si>
    <t>Split-Splitless nuevos</t>
  </si>
  <si>
    <t>Split-Splitless recuperados</t>
  </si>
  <si>
    <t>Direct nuevo</t>
  </si>
  <si>
    <t>Direct recuperado</t>
  </si>
  <si>
    <t>Tapas 1,5 boca grande</t>
  </si>
  <si>
    <t>Tapas 1,5 boca chica</t>
  </si>
  <si>
    <t>Tapas Head space</t>
  </si>
  <si>
    <t>1,5 ml no graduados boca grande</t>
  </si>
  <si>
    <t>Headspace recuperados</t>
  </si>
  <si>
    <t>Headspace nuevos</t>
  </si>
  <si>
    <t>Carlo erba</t>
  </si>
  <si>
    <t>Control de Stock guantes e insumos generales</t>
  </si>
  <si>
    <t>Control de stock botiquín</t>
  </si>
  <si>
    <t>Control de stock de ácidos, bases y otros reactivos líquidos</t>
  </si>
  <si>
    <t>N° de cat</t>
  </si>
  <si>
    <t>1 vieja</t>
  </si>
  <si>
    <t>Control de stock lamparas AA</t>
  </si>
  <si>
    <t>Control de stock material de vidrio y otros</t>
  </si>
  <si>
    <t xml:space="preserve"> Stock de solventes</t>
  </si>
  <si>
    <t>SO2</t>
  </si>
  <si>
    <t>Fenoles</t>
  </si>
  <si>
    <t>Sulfatos</t>
  </si>
  <si>
    <t>NOx, Nitritos</t>
  </si>
  <si>
    <t>Lavado de destilador viejo</t>
  </si>
  <si>
    <t>Ataques metales, Alcalinidad, Niebla alcalina, Mercaptanos</t>
  </si>
  <si>
    <t>Me parece raro que se use solo para eso</t>
  </si>
  <si>
    <t>Ataques metales, NOx</t>
  </si>
  <si>
    <t>Nitrógenos</t>
  </si>
  <si>
    <t>Sulfuros</t>
  </si>
  <si>
    <t>Mercurio, Fósforo</t>
  </si>
  <si>
    <t>Sulfuros, Sulfitos</t>
  </si>
  <si>
    <t>Boro</t>
  </si>
  <si>
    <t>Cianuros</t>
  </si>
  <si>
    <t>Arsénico</t>
  </si>
  <si>
    <t>Sulfuros (preservante)</t>
  </si>
  <si>
    <t>N amoniacal</t>
  </si>
  <si>
    <t xml:space="preserve">Cl libre </t>
  </si>
  <si>
    <t>Detergentes</t>
  </si>
  <si>
    <t>NTK</t>
  </si>
  <si>
    <t>Cromo6+</t>
  </si>
  <si>
    <t>Solvente de CG</t>
  </si>
  <si>
    <t>Selenio, Dureza</t>
  </si>
  <si>
    <t>Arsénico, Mercurio</t>
  </si>
  <si>
    <t>Detergentes, Cianuros</t>
  </si>
  <si>
    <t>Fluoruoros</t>
  </si>
  <si>
    <t>Estoy casi seguro que en micro usan cada tanto</t>
  </si>
  <si>
    <t>Fósforo</t>
  </si>
  <si>
    <t>Aminas</t>
  </si>
  <si>
    <t>Nessler (Nitrógenos)</t>
  </si>
  <si>
    <t>EDTA para Dureza</t>
  </si>
  <si>
    <t>PCBs</t>
  </si>
  <si>
    <t>Nitratos método HACH</t>
  </si>
  <si>
    <t>SSEE y HTP(IR)</t>
  </si>
  <si>
    <t>Cloruros</t>
  </si>
  <si>
    <t>Sulfatos, Nitratos en suelos</t>
  </si>
  <si>
    <t>NOx (Sc. Absorbente)</t>
  </si>
  <si>
    <t>Selenio, NTK, Dureza, Preservante</t>
  </si>
  <si>
    <t>Patrón para detergentes</t>
  </si>
  <si>
    <t>Selenio, NTK, HTP y SSEE en suelos</t>
  </si>
  <si>
    <t>DQO</t>
  </si>
  <si>
    <t>Ataques metales, limpieza, preservante</t>
  </si>
  <si>
    <t>Ataques metales, NTK, O2 cons, Aminas, preservante</t>
  </si>
  <si>
    <t>Arsénico, Asbestos</t>
  </si>
  <si>
    <t>Accidentes con Mercurio</t>
  </si>
  <si>
    <t>Debería ir en botiquin?</t>
  </si>
  <si>
    <t>No se usa</t>
  </si>
  <si>
    <t>No sirve para arsenico</t>
  </si>
  <si>
    <t>CG (circunstancias extraordinarias)</t>
  </si>
  <si>
    <t>Microcistinas</t>
  </si>
  <si>
    <t>DBO</t>
  </si>
  <si>
    <t>Patrón CG</t>
  </si>
  <si>
    <t>Patrón CG, limpieza</t>
  </si>
  <si>
    <t>Dureza (ind)</t>
  </si>
  <si>
    <t>Ultra grade 15</t>
  </si>
  <si>
    <t>Aceite</t>
  </si>
  <si>
    <t>018-20211-11</t>
  </si>
  <si>
    <t>Detector</t>
  </si>
  <si>
    <t>Inyector</t>
  </si>
  <si>
    <t>Conector columna</t>
  </si>
  <si>
    <t>221-50595-91</t>
  </si>
  <si>
    <t>086-12011</t>
  </si>
  <si>
    <t>086-10530-01</t>
  </si>
  <si>
    <t>086-10403</t>
  </si>
  <si>
    <t>086-11002</t>
  </si>
  <si>
    <t>Phillips</t>
  </si>
  <si>
    <t>225-10194-91</t>
  </si>
  <si>
    <t>GVF16-004</t>
  </si>
  <si>
    <t>225-10340-91</t>
  </si>
  <si>
    <t>Inserto (microvial)</t>
  </si>
  <si>
    <t>19244-80560</t>
  </si>
  <si>
    <t>201-47616-01</t>
  </si>
  <si>
    <t>221-46977</t>
  </si>
  <si>
    <t>5180-4182/5188-5365</t>
  </si>
  <si>
    <t>Chicos marrones</t>
  </si>
  <si>
    <t>5181-3344/Reorder 5180-4181</t>
  </si>
  <si>
    <t>Para liner FID</t>
  </si>
  <si>
    <t>Para liners MS</t>
  </si>
  <si>
    <t>grandes (drivebelts)</t>
  </si>
  <si>
    <t>404-1032</t>
  </si>
  <si>
    <t>225-1</t>
  </si>
  <si>
    <t>026-1100702</t>
  </si>
  <si>
    <t>086-16111-01</t>
  </si>
  <si>
    <t>de metal</t>
  </si>
  <si>
    <t>221-50596</t>
  </si>
  <si>
    <t>Punta repuesto</t>
  </si>
  <si>
    <t>18740-20885</t>
  </si>
  <si>
    <t>Para FID</t>
  </si>
  <si>
    <t>Tapon</t>
  </si>
  <si>
    <t>Para Split y purga</t>
  </si>
  <si>
    <t>221-35566-92</t>
  </si>
  <si>
    <t>Llave estrella set x9</t>
  </si>
  <si>
    <t>SKC</t>
  </si>
  <si>
    <t>25mm casette holder</t>
  </si>
  <si>
    <t>Muestras</t>
  </si>
  <si>
    <t>Buck Scientific</t>
  </si>
  <si>
    <t>5061-5869</t>
  </si>
  <si>
    <t>18710-20119</t>
  </si>
  <si>
    <t>18740-80220</t>
  </si>
  <si>
    <t>5183-4647/5062-3587</t>
  </si>
  <si>
    <t>Estado general</t>
  </si>
  <si>
    <t>Frecuencia de control</t>
  </si>
  <si>
    <t>Potasio Ferrocianuro 3-hidrato (Anhidro)</t>
  </si>
  <si>
    <t>n,n-Dietil-p-Fenilendiamina sulfato</t>
  </si>
  <si>
    <t>Entre todos</t>
  </si>
  <si>
    <t>hola</t>
  </si>
  <si>
    <t>F13</t>
  </si>
  <si>
    <t>alanp</t>
  </si>
  <si>
    <t>CONTROL DE CAMBIOS</t>
  </si>
  <si>
    <t>Hoja</t>
  </si>
  <si>
    <t>Celda</t>
  </si>
  <si>
    <t>Valor anterior</t>
  </si>
  <si>
    <t>Valor nuevo</t>
  </si>
  <si>
    <t>Usuario</t>
  </si>
  <si>
    <t>Fecha y hora</t>
  </si>
  <si>
    <t>dddddddddddddddddddddddddddddddddddddddddddd</t>
  </si>
  <si>
    <t>chau</t>
  </si>
  <si>
    <t>adios</t>
  </si>
  <si>
    <t>chua</t>
  </si>
  <si>
    <t>F14</t>
  </si>
  <si>
    <t>F15</t>
  </si>
  <si>
    <t>F12:F15</t>
  </si>
  <si>
    <t>F8</t>
  </si>
  <si>
    <t>Falta Papel de filtro negro d=11cm (hay de 9cm)</t>
  </si>
  <si>
    <t>F7</t>
  </si>
  <si>
    <t>para comprar en un par de meses</t>
  </si>
  <si>
    <t>lt</t>
  </si>
  <si>
    <t>Curva sulfuros</t>
  </si>
  <si>
    <t>Metales por AA: Enmascarar interferencias</t>
  </si>
  <si>
    <t>Tubos DQO alternativos</t>
  </si>
  <si>
    <t>Titulación AgNO3 (Mohr), romper emulsiones</t>
  </si>
  <si>
    <t>Curva Fluoruros</t>
  </si>
  <si>
    <t>Sc. Absorbedora NOx</t>
  </si>
  <si>
    <t>Curva calibr. NO2-</t>
  </si>
  <si>
    <t>Ox. Consumido</t>
  </si>
  <si>
    <t>Secar sólidos, extracciones</t>
  </si>
  <si>
    <t>Aceite Ultra grade 15</t>
  </si>
  <si>
    <t xml:space="preserve">Adaptadores de columna </t>
  </si>
  <si>
    <t xml:space="preserve">Capilares </t>
  </si>
  <si>
    <t xml:space="preserve">Cinta amarilla </t>
  </si>
  <si>
    <t xml:space="preserve">Cinta antiestática </t>
  </si>
  <si>
    <t>Columna HP-5 MS UI</t>
  </si>
  <si>
    <t>Columna VF-WAX MS</t>
  </si>
  <si>
    <t>Conector columna Detector</t>
  </si>
  <si>
    <t>Conector columna Inyector</t>
  </si>
  <si>
    <t xml:space="preserve">Corta columna </t>
  </si>
  <si>
    <t>Destornilladores  Hexagon 4,0</t>
  </si>
  <si>
    <t>Destornilladores  Hexagon 1,5</t>
  </si>
  <si>
    <t>Destornilladores  Minus</t>
  </si>
  <si>
    <t>Destornilladores  Phillips</t>
  </si>
  <si>
    <t>Destornilladror  JIG IS</t>
  </si>
  <si>
    <t>Ferrules 0,4 mm</t>
  </si>
  <si>
    <t>Ferrules GVF16-004</t>
  </si>
  <si>
    <t>Ferrules G-05</t>
  </si>
  <si>
    <t xml:space="preserve">Filamento </t>
  </si>
  <si>
    <t>Filtro FPD S</t>
  </si>
  <si>
    <t>Filtro FPD P</t>
  </si>
  <si>
    <t>Filtro FPD Sn</t>
  </si>
  <si>
    <t>Viales Inserto (microvial)</t>
  </si>
  <si>
    <t>Jeringas 2,5 ml Headspace</t>
  </si>
  <si>
    <t>Jeringas 10 µl nuevas</t>
  </si>
  <si>
    <t>Jeringas 10 µl para patrones</t>
  </si>
  <si>
    <t>Jeringas 25µl</t>
  </si>
  <si>
    <t>Jet Columna capilar</t>
  </si>
  <si>
    <t>Jet Columna empacada</t>
  </si>
  <si>
    <t xml:space="preserve">Lana de vidrio </t>
  </si>
  <si>
    <t>Liners Split nuevos</t>
  </si>
  <si>
    <t>Liners Splitless nuevos</t>
  </si>
  <si>
    <t>Liners Split recuperados</t>
  </si>
  <si>
    <t>Liners Splitless recuperados</t>
  </si>
  <si>
    <t>Liners Split-Splitless nuevos</t>
  </si>
  <si>
    <t>Liners Split-Splitless recuperados</t>
  </si>
  <si>
    <t>Liners Direct nuevo</t>
  </si>
  <si>
    <t>Liners Direct recuperado</t>
  </si>
  <si>
    <t xml:space="preserve">llave para columna </t>
  </si>
  <si>
    <t xml:space="preserve">llave spaner </t>
  </si>
  <si>
    <t xml:space="preserve">Llave estrella set x9 </t>
  </si>
  <si>
    <t>O-ring Para liner FID</t>
  </si>
  <si>
    <t>O-ring Chicos marrones</t>
  </si>
  <si>
    <t>O-ring Para liners MS</t>
  </si>
  <si>
    <t xml:space="preserve">Palito quita ferrules </t>
  </si>
  <si>
    <t xml:space="preserve">PFTBA </t>
  </si>
  <si>
    <t>Pinza de metal</t>
  </si>
  <si>
    <t xml:space="preserve">Pituto para septum </t>
  </si>
  <si>
    <t xml:space="preserve">Protectores de dedos </t>
  </si>
  <si>
    <t>Punta de jeringa Headspace</t>
  </si>
  <si>
    <t>Corta columna Punta repuesto</t>
  </si>
  <si>
    <t xml:space="preserve">Selladora de viales </t>
  </si>
  <si>
    <t xml:space="preserve">Sellos de oro </t>
  </si>
  <si>
    <t>Septum Para FID</t>
  </si>
  <si>
    <t>Septum Verde</t>
  </si>
  <si>
    <t>Septum Para viales 1,5 boca chica</t>
  </si>
  <si>
    <t>Septum microseptum para alta presion</t>
  </si>
  <si>
    <t xml:space="preserve">Tapon  para inyector o detector </t>
  </si>
  <si>
    <t>Tapon Para Split y purga</t>
  </si>
  <si>
    <t xml:space="preserve">Tuercas </t>
  </si>
  <si>
    <t>Viales Tapas 1,5 boca grande</t>
  </si>
  <si>
    <t>Viales Tapas 1,5 boca chica</t>
  </si>
  <si>
    <t>Viales Tapas Head space</t>
  </si>
  <si>
    <t>Viales 1,5 ml graduados</t>
  </si>
  <si>
    <t>Viales 1,5 ml no graduados boca chica</t>
  </si>
  <si>
    <t>Viales 1,5 ml no graduados boca grande</t>
  </si>
  <si>
    <t>Viales Headspace recuperados</t>
  </si>
  <si>
    <t>Viales Headspace nuevos</t>
  </si>
  <si>
    <t>Viales 4 ml</t>
  </si>
  <si>
    <t>Washers 375 OD</t>
  </si>
  <si>
    <t>Bomba de CG</t>
  </si>
  <si>
    <t>llave wrench</t>
  </si>
  <si>
    <t xml:space="preserve">llave wrench </t>
  </si>
  <si>
    <t>2106969-LM</t>
  </si>
  <si>
    <t>Sobres</t>
  </si>
  <si>
    <t>A8194</t>
  </si>
  <si>
    <t>Postergado</t>
  </si>
  <si>
    <t>d</t>
  </si>
  <si>
    <t>relevado para comprar</t>
  </si>
  <si>
    <t>cuando se pueda</t>
  </si>
  <si>
    <t>proxima compra</t>
  </si>
  <si>
    <t>ver para que se usa</t>
  </si>
  <si>
    <t>en la fila</t>
  </si>
  <si>
    <t>poner especificaciones para comprarlos en cuanto se pueda</t>
  </si>
  <si>
    <t>esta relevado para comprar… pero no se consiguen</t>
  </si>
  <si>
    <t>verificar estado de stock y para que se usa</t>
  </si>
  <si>
    <t>verificar estado de stock ypara que se usa</t>
  </si>
  <si>
    <t>proximamente</t>
  </si>
  <si>
    <t>Cinta adhesiva ancha</t>
  </si>
  <si>
    <t>F11</t>
  </si>
  <si>
    <t>Hay uno Vencido (150g), no encontré el nuevo</t>
  </si>
  <si>
    <t>Analista4</t>
  </si>
  <si>
    <t>anedra</t>
  </si>
  <si>
    <t>pa</t>
  </si>
  <si>
    <t>F10</t>
  </si>
  <si>
    <t>2106769-LM</t>
  </si>
  <si>
    <t>2107069-LM</t>
  </si>
  <si>
    <t>245199-LM</t>
  </si>
  <si>
    <t>No los encontre</t>
  </si>
  <si>
    <t>Papel filtro</t>
  </si>
  <si>
    <t>0,4 Lt</t>
  </si>
  <si>
    <t>Litio</t>
  </si>
  <si>
    <t>Ok</t>
  </si>
  <si>
    <t>2084769-LM</t>
  </si>
  <si>
    <t>v</t>
  </si>
  <si>
    <t>Talle S Negro</t>
  </si>
  <si>
    <t>Talle S verde</t>
  </si>
  <si>
    <t>Talle M violeta</t>
  </si>
  <si>
    <t>Guantes De Nitrilo Talle S Negro</t>
  </si>
  <si>
    <t>Se llevaron los muestreadores una de las dos cajas</t>
  </si>
  <si>
    <t>Último ingreso</t>
  </si>
  <si>
    <t>-</t>
  </si>
  <si>
    <t>Verde Malaquita (oxalato)</t>
  </si>
  <si>
    <t>Sulfitos</t>
  </si>
  <si>
    <t>Se hizo hace menos, pero hay que actualizarla completa</t>
  </si>
  <si>
    <t>2106869-LM</t>
  </si>
  <si>
    <t>A0132A</t>
  </si>
  <si>
    <t>44449-LM</t>
  </si>
  <si>
    <t>Amonio meta-vanadato</t>
  </si>
  <si>
    <t>Fósforo alternativo</t>
  </si>
  <si>
    <t>green scientific</t>
  </si>
  <si>
    <t>F4</t>
  </si>
  <si>
    <t>Sodio fosfato dibásico</t>
  </si>
  <si>
    <t>son azules</t>
  </si>
  <si>
    <t>primera en la lista, en cuanto se pueda. Ver de reemplazar por la 624</t>
  </si>
  <si>
    <t>Cambiado el mínimo de 50 a 25 por Alan el 13/4/21</t>
  </si>
  <si>
    <t>No se cuantos hay, porque es stock de micro</t>
  </si>
  <si>
    <t>es sodio arsenito, y está en stock de sólidos más usados ahora</t>
  </si>
  <si>
    <t>tubo lleno</t>
  </si>
  <si>
    <t>Anhídrido acético</t>
  </si>
  <si>
    <t>Número de hidroxilos</t>
  </si>
  <si>
    <t>2105569-LM</t>
  </si>
  <si>
    <t>2116449-LM</t>
  </si>
  <si>
    <t>Me parece raro, vino uno solo en este último envío, con lo cual no iba a superar el mi´nimo igual, quizás hay más pendientes de envío</t>
  </si>
  <si>
    <t>Vino 50g en la última tanda</t>
  </si>
  <si>
    <t>Lab Solutions</t>
  </si>
  <si>
    <t>Nueva</t>
  </si>
  <si>
    <t>Lote/serial</t>
  </si>
  <si>
    <t>Estroncio</t>
  </si>
  <si>
    <t>Coordinador</t>
  </si>
  <si>
    <t>Analista1</t>
  </si>
  <si>
    <t>Analista3</t>
  </si>
  <si>
    <t>Analista2</t>
  </si>
  <si>
    <t>probando control de cambios</t>
  </si>
  <si>
    <t>Editando celda ya completa</t>
  </si>
  <si>
    <t>a</t>
  </si>
  <si>
    <t>b</t>
  </si>
  <si>
    <t>c</t>
  </si>
  <si>
    <t>F9</t>
  </si>
  <si>
    <t>e</t>
  </si>
  <si>
    <t>f</t>
  </si>
  <si>
    <t>g</t>
  </si>
  <si>
    <t>h</t>
  </si>
  <si>
    <t>i</t>
  </si>
  <si>
    <t>j</t>
  </si>
  <si>
    <t>k</t>
  </si>
  <si>
    <t>l</t>
  </si>
  <si>
    <t>m</t>
  </si>
  <si>
    <t>n</t>
  </si>
  <si>
    <t>o</t>
  </si>
  <si>
    <t>p</t>
  </si>
  <si>
    <t>q</t>
  </si>
  <si>
    <t>r</t>
  </si>
  <si>
    <t>s</t>
  </si>
  <si>
    <t>t</t>
  </si>
  <si>
    <t>u</t>
  </si>
  <si>
    <t>w</t>
  </si>
  <si>
    <t>x</t>
  </si>
  <si>
    <t>y</t>
  </si>
  <si>
    <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</si>
</sst>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quot;$&quot;* #,##0.00_-;\-&quot;$&quot;* #,##0.00_-;_-&quot;$&quot;* &quot;-&quot;??_-;_-@_-"/>
    <numFmt numFmtId="165" formatCode="#\ &quot;gr&quot;;;\ &quot;&quot;"/>
    <numFmt numFmtId="166" formatCode=";;;"/>
    <numFmt numFmtId="167" formatCode="0.##\ &quot;Lt&quot;;;\ &quot;&quot;"/>
    <numFmt numFmtId="168" formatCode="#\ &quot;Un&quot;;;\ &quot;&quot;"/>
    <numFmt numFmtId="169" formatCode="0.#\ &quot;Un&quot;;;\ &quot;&quot;"/>
    <numFmt numFmtId="170" formatCode="0.#\ &quot;gr&quot;;;\ &quot;&quot;"/>
    <numFmt numFmtId="171" formatCode="dd/mm/yyyy"/>
  </numFmts>
  <fonts count="53" x14ac:knownFonts="1">
    <font>
      <sz val="11"/>
      <color theme="1"/>
      <name val="Calibri"/>
      <family val="2"/>
      <scheme val="minor"/>
    </font>
    <font>
      <sz val="10"/>
      <name val="Arial"/>
      <family val="2"/>
    </font>
    <font>
      <sz val="8"/>
      <name val="Calibri"/>
      <family val="2"/>
      <scheme val="minor"/>
    </font>
    <font>
      <u/>
      <sz val="10"/>
      <color indexed="12"/>
      <name val="Arial"/>
      <family val="2"/>
    </font>
    <font>
      <sz val="12"/>
      <color theme="1"/>
      <name val="Garamond"/>
      <family val="1"/>
    </font>
    <font>
      <b/>
      <sz val="12"/>
      <color theme="1"/>
      <name val="Garamond"/>
      <family val="1"/>
    </font>
    <font>
      <b/>
      <sz val="12"/>
      <name val="Garamond"/>
      <family val="1"/>
    </font>
    <font>
      <sz val="12"/>
      <name val="Garamond"/>
      <family val="1"/>
    </font>
    <font>
      <b/>
      <i/>
      <sz val="14"/>
      <color theme="0"/>
      <name val="Garamond"/>
      <family val="1"/>
    </font>
    <font>
      <b/>
      <sz val="14"/>
      <color theme="0"/>
      <name val="Garamond"/>
      <family val="1"/>
    </font>
    <font>
      <b/>
      <sz val="10"/>
      <name val="Garamond"/>
      <family val="1"/>
    </font>
    <font>
      <sz val="10"/>
      <name val="Garamond"/>
      <family val="1"/>
    </font>
    <font>
      <sz val="11"/>
      <name val="Garamond"/>
      <family val="1"/>
    </font>
    <font>
      <sz val="11"/>
      <color theme="1"/>
      <name val="Garamond"/>
      <family val="1"/>
    </font>
    <font>
      <sz val="14"/>
      <name val="Garamond"/>
      <family val="1"/>
    </font>
    <font>
      <b/>
      <sz val="16"/>
      <color theme="0"/>
      <name val="Garamond"/>
      <family val="1"/>
    </font>
    <font>
      <b/>
      <sz val="12"/>
      <color rgb="FFFF0000"/>
      <name val="Garamond"/>
      <family val="1"/>
    </font>
    <font>
      <sz val="14"/>
      <color theme="0"/>
      <name val="Garamond"/>
      <family val="1"/>
    </font>
    <font>
      <sz val="14"/>
      <color theme="1"/>
      <name val="Calibri"/>
      <family val="2"/>
      <scheme val="minor"/>
    </font>
    <font>
      <sz val="14"/>
      <color theme="1"/>
      <name val="Garamond"/>
      <family val="1"/>
    </font>
    <font>
      <vertAlign val="superscript"/>
      <sz val="12"/>
      <name val="Garamond"/>
      <family val="1"/>
    </font>
    <font>
      <sz val="10"/>
      <color theme="0"/>
      <name val="Garamond"/>
      <family val="1"/>
    </font>
    <font>
      <sz val="12"/>
      <name val="Calibri"/>
      <family val="2"/>
    </font>
    <font>
      <sz val="11.4"/>
      <name val="Garamond"/>
      <family val="1"/>
    </font>
    <font>
      <b/>
      <u/>
      <sz val="12"/>
      <color theme="10"/>
      <name val="Garamond"/>
      <family val="1"/>
    </font>
    <font>
      <b/>
      <u/>
      <sz val="12"/>
      <color theme="11"/>
      <name val="Garamond"/>
      <family val="1"/>
    </font>
    <font>
      <b/>
      <sz val="12"/>
      <name val="Garamond"/>
      <family val="1"/>
    </font>
    <font>
      <sz val="12"/>
      <name val="Garamond"/>
      <family val="1"/>
    </font>
    <font>
      <u/>
      <sz val="11"/>
      <color theme="10"/>
      <name val="Calibri"/>
      <family val="2"/>
      <scheme val="minor"/>
    </font>
    <font>
      <b/>
      <sz val="10"/>
      <color theme="0"/>
      <name val="Arial"/>
      <family val="2"/>
    </font>
    <font>
      <b/>
      <sz val="10"/>
      <name val="Arial"/>
      <family val="2"/>
    </font>
    <font>
      <b/>
      <sz val="12"/>
      <color theme="1"/>
      <name val="Garamond"/>
      <family val="1"/>
    </font>
    <font>
      <sz val="12"/>
      <color theme="1"/>
      <name val="Garamond"/>
      <family val="1"/>
    </font>
    <font>
      <b/>
      <sz val="12"/>
      <name val="Garamond"/>
      <family val="1"/>
    </font>
    <font>
      <sz val="12"/>
      <name val="Garamond"/>
      <family val="1"/>
    </font>
    <font>
      <b/>
      <sz val="12"/>
      <name val="Garamond"/>
      <family val="1"/>
    </font>
    <font>
      <sz val="12"/>
      <name val="Garamond"/>
      <family val="1"/>
    </font>
    <font>
      <b/>
      <sz val="12"/>
      <name val="Garamond"/>
      <family val="1"/>
    </font>
    <font>
      <sz val="12"/>
      <name val="Garamond"/>
      <family val="1"/>
    </font>
    <font>
      <b/>
      <sz val="12"/>
      <color theme="1"/>
      <name val="Garamond"/>
      <family val="1"/>
    </font>
    <font>
      <sz val="12"/>
      <color theme="1"/>
      <name val="Garamond"/>
      <family val="1"/>
    </font>
    <font>
      <b/>
      <sz val="12"/>
      <name val="Garamond"/>
      <family val="1"/>
    </font>
    <font>
      <sz val="12"/>
      <name val="Garamond"/>
      <family val="1"/>
    </font>
    <font>
      <b/>
      <sz val="12"/>
      <color theme="1"/>
      <name val="Garamond"/>
      <family val="1"/>
    </font>
    <font>
      <sz val="12"/>
      <color theme="1"/>
      <name val="Garamond"/>
      <family val="1"/>
    </font>
    <font>
      <b/>
      <sz val="12"/>
      <color theme="1"/>
      <name val="Garamond"/>
      <family val="1"/>
    </font>
    <font>
      <sz val="12"/>
      <color theme="1"/>
      <name val="Garamond"/>
      <family val="1"/>
    </font>
    <font>
      <sz val="12"/>
      <name val="Garamond"/>
      <family val="1"/>
    </font>
    <font>
      <b/>
      <sz val="12"/>
      <name val="Garamond"/>
      <family val="1"/>
    </font>
    <font>
      <b/>
      <sz val="12"/>
      <name val="Garamond"/>
    </font>
    <font>
      <sz val="12"/>
      <name val="Garamond"/>
    </font>
    <font>
      <b/>
      <sz val="12"/>
      <color theme="1"/>
      <name val="Garamond"/>
    </font>
    <font>
      <sz val="12"/>
      <color theme="1"/>
      <name val="Garamond"/>
    </font>
  </fonts>
  <fills count="6">
    <fill>
      <patternFill patternType="none"/>
    </fill>
    <fill>
      <patternFill patternType="gray125"/>
    </fill>
    <fill>
      <patternFill patternType="solid">
        <fgColor theme="8" tint="0.39997558519241921"/>
        <bgColor indexed="64"/>
      </patternFill>
    </fill>
    <fill>
      <patternFill patternType="solid">
        <fgColor theme="4" tint="-0.249977111117893"/>
        <bgColor indexed="64"/>
      </patternFill>
    </fill>
    <fill>
      <patternFill patternType="solid">
        <fgColor rgb="FF0070C0"/>
        <bgColor indexed="64"/>
      </patternFill>
    </fill>
    <fill>
      <patternFill patternType="solid">
        <fgColor theme="1"/>
        <bgColor indexed="64"/>
      </patternFill>
    </fill>
  </fills>
  <borders count="10">
    <border>
      <left/>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diagonal/>
    </border>
  </borders>
  <cellStyleXfs count="7">
    <xf numFmtId="0" fontId="0" fillId="0" borderId="0"/>
    <xf numFmtId="0" fontId="1" fillId="0" borderId="0"/>
    <xf numFmtId="0" fontId="3" fillId="0" borderId="0" applyNumberFormat="0" applyFill="0" applyBorder="0" applyAlignment="0" applyProtection="0">
      <alignment vertical="top"/>
      <protection locked="0"/>
    </xf>
    <xf numFmtId="164" fontId="1" fillId="0" borderId="0" applyFon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8" fillId="0" borderId="0" applyNumberFormat="0" applyFill="0" applyBorder="0" applyAlignment="0" applyProtection="0"/>
  </cellStyleXfs>
  <cellXfs count="447">
    <xf numFmtId="0" fontId="0" fillId="0" borderId="0" xfId="0"/>
    <xf numFmtId="0" fontId="4" fillId="0" borderId="0" xfId="0" applyFont="1" applyFill="1"/>
    <xf numFmtId="0" fontId="4" fillId="0" borderId="0" xfId="0" applyFont="1" applyFill="1" applyAlignment="1">
      <alignment horizontal="center"/>
    </xf>
    <xf numFmtId="0" fontId="4" fillId="0" borderId="0" xfId="0" applyFont="1" applyAlignment="1">
      <alignment horizontal="left"/>
    </xf>
    <xf numFmtId="0" fontId="4" fillId="0" borderId="0" xfId="0" applyFont="1" applyFill="1" applyAlignment="1">
      <alignment horizontal="center" wrapText="1"/>
    </xf>
    <xf numFmtId="0" fontId="4" fillId="0" borderId="0" xfId="0" applyFont="1" applyFill="1" applyAlignment="1">
      <alignment horizontal="left"/>
    </xf>
    <xf numFmtId="0" fontId="8" fillId="4" borderId="0" xfId="0" applyFont="1" applyFill="1" applyBorder="1" applyAlignment="1">
      <alignment horizontal="left" vertical="center" wrapText="1"/>
    </xf>
    <xf numFmtId="0" fontId="8" fillId="4" borderId="0" xfId="0" applyFont="1" applyFill="1" applyBorder="1" applyAlignment="1">
      <alignment horizontal="center" vertical="center" wrapText="1"/>
    </xf>
    <xf numFmtId="14" fontId="8" fillId="4" borderId="0" xfId="0" applyNumberFormat="1" applyFont="1" applyFill="1" applyBorder="1" applyAlignment="1">
      <alignment horizontal="center" vertical="center" wrapText="1"/>
    </xf>
    <xf numFmtId="166" fontId="8" fillId="4" borderId="0" xfId="0" applyNumberFormat="1" applyFont="1" applyFill="1" applyBorder="1" applyAlignment="1">
      <alignment horizontal="center" vertical="center" wrapText="1"/>
    </xf>
    <xf numFmtId="0" fontId="5" fillId="0" borderId="0" xfId="0" applyFont="1" applyFill="1" applyBorder="1" applyAlignment="1">
      <alignment horizontal="left" vertical="center" wrapText="1"/>
    </xf>
    <xf numFmtId="0" fontId="4" fillId="0" borderId="0" xfId="0" applyFont="1" applyFill="1" applyBorder="1" applyAlignment="1">
      <alignment horizontal="center" vertical="center"/>
    </xf>
    <xf numFmtId="0" fontId="6" fillId="0" borderId="0" xfId="0" applyFont="1" applyFill="1" applyBorder="1" applyAlignment="1">
      <alignment horizontal="left" vertical="center" wrapText="1"/>
    </xf>
    <xf numFmtId="0" fontId="5" fillId="0" borderId="0" xfId="1" applyFont="1" applyFill="1" applyBorder="1" applyAlignment="1">
      <alignment horizontal="left" vertical="center" wrapText="1"/>
    </xf>
    <xf numFmtId="0" fontId="13" fillId="0" borderId="0" xfId="0" applyFont="1"/>
    <xf numFmtId="0" fontId="7" fillId="0" borderId="0" xfId="1" applyFont="1" applyFill="1" applyBorder="1" applyAlignment="1" applyProtection="1">
      <alignment horizontal="center" vertical="center" wrapText="1"/>
      <protection locked="0"/>
    </xf>
    <xf numFmtId="165" fontId="7" fillId="0" borderId="0" xfId="0" applyNumberFormat="1" applyFont="1" applyFill="1" applyBorder="1" applyAlignment="1" applyProtection="1">
      <alignment horizontal="center" vertical="center"/>
      <protection locked="0"/>
    </xf>
    <xf numFmtId="165" fontId="7" fillId="0" borderId="0" xfId="0" applyNumberFormat="1" applyFont="1" applyFill="1" applyAlignment="1" applyProtection="1">
      <alignment horizontal="center" vertical="center"/>
      <protection locked="0"/>
    </xf>
    <xf numFmtId="0" fontId="6" fillId="0" borderId="0" xfId="1" applyFont="1" applyFill="1" applyBorder="1" applyAlignment="1" applyProtection="1">
      <alignment horizontal="center" vertical="center"/>
      <protection locked="0"/>
    </xf>
    <xf numFmtId="0" fontId="7" fillId="0" borderId="0" xfId="1" applyFont="1" applyFill="1" applyBorder="1" applyAlignment="1" applyProtection="1">
      <alignment horizontal="center" vertical="center"/>
      <protection locked="0"/>
    </xf>
    <xf numFmtId="0" fontId="7" fillId="0" borderId="0" xfId="1" applyFont="1" applyFill="1" applyBorder="1" applyAlignment="1" applyProtection="1">
      <alignment horizontal="center"/>
      <protection locked="0"/>
    </xf>
    <xf numFmtId="167" fontId="7" fillId="0" borderId="0" xfId="1" applyNumberFormat="1" applyFont="1" applyFill="1" applyBorder="1" applyAlignment="1" applyProtection="1">
      <alignment horizontal="center"/>
      <protection locked="0"/>
    </xf>
    <xf numFmtId="0" fontId="5" fillId="0" borderId="0" xfId="0" applyFont="1" applyFill="1" applyAlignment="1">
      <alignment horizontal="left" vertical="center" wrapText="1"/>
    </xf>
    <xf numFmtId="0" fontId="4" fillId="0" borderId="0" xfId="0" applyFont="1" applyFill="1" applyAlignment="1">
      <alignment horizontal="center" vertical="center"/>
    </xf>
    <xf numFmtId="0" fontId="7" fillId="0" borderId="0" xfId="1" applyFont="1" applyFill="1" applyAlignment="1" applyProtection="1">
      <alignment horizontal="center" vertical="center"/>
      <protection locked="0"/>
    </xf>
    <xf numFmtId="0" fontId="7" fillId="0" borderId="0" xfId="1" applyFont="1" applyFill="1" applyAlignment="1" applyProtection="1">
      <alignment horizontal="center"/>
      <protection locked="0"/>
    </xf>
    <xf numFmtId="0" fontId="6" fillId="0" borderId="0" xfId="4" applyFont="1" applyFill="1" applyBorder="1" applyAlignment="1" applyProtection="1">
      <alignment horizontal="left" vertical="center" wrapText="1"/>
    </xf>
    <xf numFmtId="0" fontId="19" fillId="0" borderId="0" xfId="0" applyFont="1" applyAlignment="1">
      <alignment horizontal="center" vertical="center"/>
    </xf>
    <xf numFmtId="0" fontId="19" fillId="0" borderId="0" xfId="0" applyFont="1" applyAlignment="1">
      <alignment horizontal="center" vertical="center" wrapText="1"/>
    </xf>
    <xf numFmtId="0" fontId="4" fillId="0" borderId="0" xfId="0" applyFont="1" applyAlignment="1">
      <alignment vertical="center" wrapText="1"/>
    </xf>
    <xf numFmtId="0" fontId="4" fillId="0" borderId="0" xfId="0" applyNumberFormat="1" applyFont="1" applyAlignment="1">
      <alignment vertical="center" wrapText="1"/>
    </xf>
    <xf numFmtId="168" fontId="7" fillId="0" borderId="0" xfId="1" applyNumberFormat="1" applyFont="1" applyFill="1" applyBorder="1" applyAlignment="1" applyProtection="1">
      <alignment horizontal="center" vertical="center"/>
      <protection locked="0"/>
    </xf>
    <xf numFmtId="0" fontId="7" fillId="0" borderId="0" xfId="1" applyFont="1" applyFill="1" applyBorder="1" applyAlignment="1" applyProtection="1">
      <alignment vertical="center"/>
      <protection locked="0"/>
    </xf>
    <xf numFmtId="1" fontId="7" fillId="0" borderId="0" xfId="1" applyNumberFormat="1" applyFont="1" applyFill="1" applyBorder="1" applyAlignment="1" applyProtection="1">
      <alignment horizontal="center"/>
      <protection locked="0"/>
    </xf>
    <xf numFmtId="49" fontId="7" fillId="0" borderId="0" xfId="1" applyNumberFormat="1" applyFont="1" applyFill="1" applyBorder="1" applyAlignment="1" applyProtection="1">
      <alignment horizontal="center"/>
      <protection locked="0"/>
    </xf>
    <xf numFmtId="49" fontId="7" fillId="0" borderId="0" xfId="1" applyNumberFormat="1" applyFont="1" applyFill="1" applyBorder="1" applyAlignment="1" applyProtection="1">
      <alignment horizontal="center" vertical="center"/>
      <protection locked="0"/>
    </xf>
    <xf numFmtId="14" fontId="7" fillId="0" borderId="0" xfId="1" applyNumberFormat="1" applyFont="1" applyFill="1" applyBorder="1" applyAlignment="1" applyProtection="1">
      <alignment horizontal="center"/>
      <protection locked="0"/>
    </xf>
    <xf numFmtId="14" fontId="7" fillId="0" borderId="0" xfId="1" applyNumberFormat="1" applyFont="1" applyFill="1" applyBorder="1" applyAlignment="1" applyProtection="1">
      <alignment horizontal="center" vertical="center"/>
      <protection locked="0"/>
    </xf>
    <xf numFmtId="14" fontId="7" fillId="0" borderId="0" xfId="1" applyNumberFormat="1" applyFont="1" applyFill="1" applyAlignment="1" applyProtection="1">
      <alignment horizontal="center"/>
      <protection locked="0"/>
    </xf>
    <xf numFmtId="0" fontId="5" fillId="2" borderId="0" xfId="0" applyFont="1" applyFill="1" applyBorder="1" applyAlignment="1">
      <alignment horizontal="right" vertical="center"/>
    </xf>
    <xf numFmtId="0" fontId="24" fillId="0" borderId="0" xfId="4" applyFill="1" applyBorder="1" applyAlignment="1">
      <alignment horizontal="center" vertical="center" wrapText="1"/>
    </xf>
    <xf numFmtId="168" fontId="7" fillId="0" borderId="0" xfId="1" applyNumberFormat="1" applyFont="1" applyFill="1" applyAlignment="1" applyProtection="1">
      <alignment horizontal="center" vertical="center"/>
    </xf>
    <xf numFmtId="49" fontId="7" fillId="0" borderId="0" xfId="1" applyNumberFormat="1" applyFont="1" applyFill="1" applyAlignment="1" applyProtection="1">
      <alignment horizontal="center"/>
      <protection locked="0"/>
    </xf>
    <xf numFmtId="0" fontId="7" fillId="0" borderId="0" xfId="1" applyFont="1"/>
    <xf numFmtId="0" fontId="7" fillId="0" borderId="0" xfId="1" applyFont="1" applyAlignment="1">
      <alignment vertical="center"/>
    </xf>
    <xf numFmtId="14" fontId="5" fillId="2" borderId="0" xfId="0" applyNumberFormat="1" applyFont="1" applyFill="1" applyBorder="1" applyAlignment="1">
      <alignment horizontal="left" vertical="center" wrapText="1"/>
    </xf>
    <xf numFmtId="0" fontId="7" fillId="0" borderId="0" xfId="1" applyFont="1" applyAlignment="1">
      <alignment textRotation="90" wrapText="1"/>
    </xf>
    <xf numFmtId="0" fontId="7" fillId="0" borderId="0" xfId="1" applyFont="1" applyFill="1" applyBorder="1" applyAlignment="1" applyProtection="1">
      <alignment horizontal="left" vertical="center"/>
      <protection locked="0"/>
    </xf>
    <xf numFmtId="0" fontId="7" fillId="0" borderId="0" xfId="1" applyFont="1" applyFill="1" applyAlignment="1" applyProtection="1">
      <alignment horizontal="left" vertical="center"/>
      <protection locked="0"/>
    </xf>
    <xf numFmtId="14" fontId="7" fillId="0" borderId="0" xfId="1" applyNumberFormat="1" applyFont="1" applyFill="1" applyBorder="1" applyAlignment="1" applyProtection="1">
      <alignment horizontal="left"/>
    </xf>
    <xf numFmtId="167" fontId="7" fillId="0" borderId="0" xfId="1" applyNumberFormat="1" applyFont="1" applyFill="1" applyBorder="1" applyAlignment="1" applyProtection="1">
      <alignment horizontal="center" vertical="center" wrapText="1"/>
      <protection locked="0"/>
    </xf>
    <xf numFmtId="169" fontId="7" fillId="0" borderId="0" xfId="1" applyNumberFormat="1" applyFont="1" applyFill="1" applyBorder="1" applyAlignment="1" applyProtection="1">
      <alignment horizontal="center"/>
      <protection locked="0"/>
    </xf>
    <xf numFmtId="170" fontId="7" fillId="0" borderId="0" xfId="0" applyNumberFormat="1" applyFont="1" applyFill="1" applyBorder="1" applyAlignment="1" applyProtection="1">
      <alignment horizontal="center" vertical="center"/>
      <protection locked="0"/>
    </xf>
    <xf numFmtId="170" fontId="7" fillId="0" borderId="0" xfId="0" applyNumberFormat="1" applyFont="1" applyFill="1" applyBorder="1" applyAlignment="1" applyProtection="1">
      <alignment horizontal="center"/>
      <protection locked="0"/>
    </xf>
    <xf numFmtId="170" fontId="7" fillId="0" borderId="0" xfId="1" applyNumberFormat="1" applyFont="1" applyFill="1" applyBorder="1" applyAlignment="1" applyProtection="1">
      <alignment horizontal="center" vertical="center"/>
      <protection locked="0"/>
    </xf>
    <xf numFmtId="170" fontId="7" fillId="0" borderId="0" xfId="1" applyNumberFormat="1" applyFont="1" applyFill="1" applyAlignment="1" applyProtection="1">
      <alignment horizontal="center" vertical="center"/>
      <protection locked="0"/>
    </xf>
    <xf numFmtId="0" fontId="7" fillId="0" borderId="0" xfId="1" applyNumberFormat="1" applyFont="1" applyFill="1" applyBorder="1" applyAlignment="1" applyProtection="1">
      <alignment horizontal="center"/>
    </xf>
    <xf numFmtId="0" fontId="7" fillId="0" borderId="0" xfId="1" applyFont="1" applyFill="1" applyAlignment="1" applyProtection="1">
      <alignment horizontal="center"/>
    </xf>
    <xf numFmtId="168" fontId="7" fillId="0" borderId="0" xfId="1" applyNumberFormat="1" applyFont="1" applyFill="1" applyAlignment="1" applyProtection="1">
      <alignment horizontal="center" vertical="center"/>
      <protection locked="0"/>
    </xf>
    <xf numFmtId="0" fontId="4" fillId="0" borderId="0" xfId="1" applyNumberFormat="1" applyFont="1" applyFill="1" applyAlignment="1" applyProtection="1">
      <alignment horizontal="left"/>
    </xf>
    <xf numFmtId="0" fontId="8" fillId="4" borderId="1" xfId="0" applyFont="1" applyFill="1" applyBorder="1" applyAlignment="1">
      <alignment horizontal="center" vertical="center" wrapText="1"/>
    </xf>
    <xf numFmtId="0" fontId="24" fillId="0" borderId="0" xfId="4" applyFill="1" applyAlignment="1">
      <alignment horizontal="center" vertical="center"/>
    </xf>
    <xf numFmtId="0" fontId="7" fillId="0" borderId="0" xfId="1" applyFont="1" applyFill="1" applyBorder="1" applyAlignment="1" applyProtection="1">
      <alignment horizontal="center" vertical="center" wrapText="1"/>
    </xf>
    <xf numFmtId="0" fontId="7" fillId="0" borderId="0" xfId="1" applyFont="1" applyFill="1" applyBorder="1" applyAlignment="1" applyProtection="1">
      <alignment horizontal="center" vertical="center"/>
    </xf>
    <xf numFmtId="14" fontId="5" fillId="2" borderId="0" xfId="0" applyNumberFormat="1" applyFont="1" applyFill="1" applyBorder="1" applyAlignment="1" applyProtection="1">
      <alignment horizontal="left" vertical="center" wrapText="1"/>
      <protection locked="0"/>
    </xf>
    <xf numFmtId="14" fontId="4" fillId="0" borderId="0" xfId="0" applyNumberFormat="1" applyFont="1" applyFill="1" applyBorder="1" applyAlignment="1" applyProtection="1">
      <alignment horizontal="center" vertical="center"/>
      <protection locked="0"/>
    </xf>
    <xf numFmtId="0" fontId="4" fillId="0" borderId="0" xfId="0" applyFont="1" applyFill="1" applyBorder="1" applyAlignment="1" applyProtection="1">
      <alignment horizontal="center" vertical="center" wrapText="1"/>
    </xf>
    <xf numFmtId="0" fontId="4" fillId="0" borderId="0" xfId="0" applyFont="1" applyFill="1" applyBorder="1" applyAlignment="1" applyProtection="1">
      <alignment horizontal="center" vertical="center"/>
    </xf>
    <xf numFmtId="0" fontId="4" fillId="0" borderId="0" xfId="0" applyFont="1" applyFill="1" applyBorder="1" applyAlignment="1" applyProtection="1">
      <alignment horizontal="left" vertical="center"/>
    </xf>
    <xf numFmtId="166" fontId="4" fillId="0" borderId="0" xfId="0" applyNumberFormat="1" applyFont="1" applyFill="1" applyBorder="1" applyAlignment="1" applyProtection="1">
      <alignment horizontal="center" vertical="center"/>
    </xf>
    <xf numFmtId="0" fontId="7" fillId="0" borderId="0" xfId="1" quotePrefix="1" applyFont="1" applyFill="1" applyBorder="1" applyAlignment="1" applyProtection="1">
      <alignment horizontal="center" vertical="center"/>
    </xf>
    <xf numFmtId="0" fontId="4"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vertical="center" wrapText="1"/>
    </xf>
    <xf numFmtId="0" fontId="4" fillId="0" borderId="0" xfId="0" applyFont="1" applyFill="1" applyAlignment="1" applyProtection="1">
      <alignment horizontal="center" vertical="center" wrapText="1"/>
    </xf>
    <xf numFmtId="0" fontId="4" fillId="0" borderId="0" xfId="0" applyFont="1" applyFill="1" applyAlignment="1" applyProtection="1">
      <alignment horizontal="center" vertical="center"/>
    </xf>
    <xf numFmtId="0" fontId="4" fillId="0" borderId="0" xfId="0" applyFont="1" applyFill="1" applyAlignment="1" applyProtection="1">
      <alignment horizontal="left" vertical="center"/>
    </xf>
    <xf numFmtId="0" fontId="4" fillId="0" borderId="0" xfId="0" applyNumberFormat="1" applyFont="1" applyFill="1" applyAlignment="1" applyProtection="1">
      <alignment horizontal="center" vertical="center" wrapText="1"/>
    </xf>
    <xf numFmtId="0" fontId="4" fillId="0" borderId="0" xfId="0" applyNumberFormat="1" applyFont="1" applyFill="1" applyAlignment="1" applyProtection="1">
      <alignment horizontal="center" vertical="center"/>
    </xf>
    <xf numFmtId="0" fontId="5" fillId="2" borderId="0" xfId="0" applyFont="1" applyFill="1" applyBorder="1" applyAlignment="1" applyProtection="1">
      <alignment horizontal="right" vertical="center"/>
    </xf>
    <xf numFmtId="0" fontId="24" fillId="0" borderId="0" xfId="4" applyFill="1" applyBorder="1" applyAlignment="1" applyProtection="1">
      <alignment horizontal="center" vertical="center" wrapText="1"/>
    </xf>
    <xf numFmtId="0" fontId="11" fillId="0" borderId="0" xfId="1" applyFont="1" applyProtection="1"/>
    <xf numFmtId="0" fontId="9" fillId="0" borderId="0" xfId="1" applyFont="1" applyFill="1" applyBorder="1" applyAlignment="1" applyProtection="1">
      <alignment horizontal="center" vertical="center"/>
    </xf>
    <xf numFmtId="0" fontId="9" fillId="0" borderId="0" xfId="1" applyFont="1" applyFill="1" applyBorder="1" applyAlignment="1" applyProtection="1">
      <alignment horizontal="center" vertical="center" wrapText="1"/>
    </xf>
    <xf numFmtId="14" fontId="9" fillId="0" borderId="0" xfId="1" applyNumberFormat="1" applyFont="1" applyFill="1" applyBorder="1" applyAlignment="1" applyProtection="1">
      <alignment horizontal="center" vertical="center" wrapText="1"/>
    </xf>
    <xf numFmtId="0" fontId="12" fillId="0" borderId="0" xfId="1" applyFont="1" applyProtection="1"/>
    <xf numFmtId="0" fontId="6" fillId="0" borderId="0" xfId="1" applyFont="1" applyFill="1" applyBorder="1" applyAlignment="1" applyProtection="1">
      <alignment horizontal="left" vertical="center"/>
    </xf>
    <xf numFmtId="167" fontId="7" fillId="0" borderId="0" xfId="1" applyNumberFormat="1" applyFont="1" applyFill="1" applyBorder="1" applyAlignment="1" applyProtection="1">
      <alignment horizontal="center"/>
    </xf>
    <xf numFmtId="0" fontId="7" fillId="0" borderId="0" xfId="1" applyFont="1" applyFill="1" applyBorder="1" applyAlignment="1" applyProtection="1">
      <alignment horizontal="center"/>
    </xf>
    <xf numFmtId="0" fontId="6" fillId="0" borderId="0" xfId="1" applyFont="1" applyFill="1" applyBorder="1" applyAlignment="1" applyProtection="1">
      <alignment horizontal="center" vertical="center"/>
    </xf>
    <xf numFmtId="14" fontId="7" fillId="0" borderId="0" xfId="1" applyNumberFormat="1" applyFont="1" applyFill="1" applyBorder="1" applyAlignment="1" applyProtection="1">
      <alignment horizontal="center" vertical="center"/>
    </xf>
    <xf numFmtId="14" fontId="7" fillId="0" borderId="0" xfId="1" applyNumberFormat="1" applyFont="1" applyFill="1" applyBorder="1" applyAlignment="1" applyProtection="1">
      <alignment horizontal="center"/>
    </xf>
    <xf numFmtId="14" fontId="7" fillId="0" borderId="0" xfId="1" applyNumberFormat="1" applyFont="1" applyFill="1" applyBorder="1" applyProtection="1">
      <protection locked="0"/>
    </xf>
    <xf numFmtId="14" fontId="5" fillId="2" borderId="0" xfId="0" applyNumberFormat="1" applyFont="1" applyFill="1" applyBorder="1" applyAlignment="1" applyProtection="1">
      <alignment horizontal="left" vertical="center"/>
      <protection locked="0"/>
    </xf>
    <xf numFmtId="0" fontId="15" fillId="0" borderId="0" xfId="1" applyFont="1" applyFill="1" applyBorder="1" applyAlignment="1" applyProtection="1">
      <alignment vertical="center" wrapText="1"/>
    </xf>
    <xf numFmtId="0" fontId="7" fillId="0" borderId="0" xfId="1" applyFont="1" applyProtection="1"/>
    <xf numFmtId="0" fontId="17" fillId="0" borderId="0" xfId="1" applyFont="1" applyFill="1" applyAlignment="1" applyProtection="1">
      <alignment horizontal="center" vertical="center"/>
    </xf>
    <xf numFmtId="0" fontId="7" fillId="0" borderId="0" xfId="1" applyFont="1" applyFill="1" applyBorder="1" applyAlignment="1" applyProtection="1">
      <alignment horizontal="left"/>
    </xf>
    <xf numFmtId="0" fontId="7" fillId="0" borderId="0" xfId="1" applyFont="1" applyFill="1" applyAlignment="1" applyProtection="1">
      <alignment horizontal="center" vertical="center"/>
    </xf>
    <xf numFmtId="14" fontId="6" fillId="0" borderId="0" xfId="1" applyNumberFormat="1" applyFont="1" applyFill="1" applyBorder="1" applyAlignment="1" applyProtection="1">
      <alignment horizontal="center" vertical="center"/>
    </xf>
    <xf numFmtId="0" fontId="6" fillId="0" borderId="0" xfId="1" applyFont="1" applyFill="1" applyAlignment="1" applyProtection="1">
      <alignment horizontal="center" vertical="center" wrapText="1"/>
    </xf>
    <xf numFmtId="0" fontId="7" fillId="0" borderId="0" xfId="1" applyFont="1" applyFill="1" applyAlignment="1" applyProtection="1">
      <alignment horizontal="left"/>
    </xf>
    <xf numFmtId="0" fontId="6" fillId="0" borderId="0" xfId="1" applyFont="1" applyFill="1" applyAlignment="1" applyProtection="1">
      <alignment horizontal="center" vertical="center"/>
    </xf>
    <xf numFmtId="16" fontId="7" fillId="0" borderId="0" xfId="1" applyNumberFormat="1" applyFont="1" applyFill="1" applyAlignment="1" applyProtection="1">
      <alignment horizontal="center" vertical="center"/>
      <protection locked="0"/>
    </xf>
    <xf numFmtId="0" fontId="9" fillId="4" borderId="0" xfId="1" applyFont="1" applyFill="1" applyBorder="1" applyAlignment="1" applyProtection="1">
      <alignment horizontal="center" vertical="center"/>
    </xf>
    <xf numFmtId="0" fontId="9" fillId="4" borderId="0" xfId="1" applyFont="1" applyFill="1" applyBorder="1" applyAlignment="1" applyProtection="1">
      <alignment horizontal="center" vertical="center" wrapText="1"/>
    </xf>
    <xf numFmtId="0" fontId="17" fillId="4" borderId="1" xfId="1" applyFont="1" applyFill="1" applyBorder="1" applyAlignment="1" applyProtection="1">
      <alignment horizontal="center" vertical="center" wrapText="1"/>
    </xf>
    <xf numFmtId="0" fontId="11" fillId="0" borderId="0" xfId="1" applyFont="1" applyAlignment="1" applyProtection="1">
      <alignment horizontal="center"/>
    </xf>
    <xf numFmtId="0" fontId="6" fillId="0" borderId="0" xfId="1" applyFont="1" applyFill="1" applyBorder="1" applyAlignment="1" applyProtection="1">
      <alignment horizontal="center"/>
    </xf>
    <xf numFmtId="0" fontId="6" fillId="0" borderId="0" xfId="1" applyFont="1" applyFill="1" applyAlignment="1" applyProtection="1">
      <alignment horizontal="center"/>
    </xf>
    <xf numFmtId="14" fontId="7" fillId="0" borderId="0" xfId="1" applyNumberFormat="1" applyFont="1" applyFill="1" applyAlignment="1" applyProtection="1">
      <alignment horizontal="center"/>
    </xf>
    <xf numFmtId="0" fontId="13" fillId="0" borderId="0" xfId="0" applyFont="1" applyProtection="1"/>
    <xf numFmtId="14" fontId="9" fillId="4" borderId="0" xfId="1" applyNumberFormat="1" applyFont="1" applyFill="1" applyBorder="1" applyAlignment="1" applyProtection="1">
      <alignment horizontal="center" vertical="center" wrapText="1"/>
    </xf>
    <xf numFmtId="14" fontId="6" fillId="0" borderId="0" xfId="1" applyNumberFormat="1" applyFont="1" applyFill="1" applyBorder="1" applyAlignment="1" applyProtection="1">
      <alignment horizontal="center" vertical="center"/>
      <protection locked="0"/>
    </xf>
    <xf numFmtId="0" fontId="21" fillId="0" borderId="0" xfId="1" applyFont="1" applyAlignment="1" applyProtection="1">
      <alignment horizontal="center"/>
    </xf>
    <xf numFmtId="0" fontId="7" fillId="0" borderId="0" xfId="1" applyFont="1" applyFill="1" applyBorder="1" applyAlignment="1" applyProtection="1">
      <alignment horizontal="left" vertical="center"/>
    </xf>
    <xf numFmtId="14" fontId="7" fillId="0" borderId="0" xfId="1" applyNumberFormat="1" applyFont="1" applyFill="1" applyBorder="1" applyAlignment="1" applyProtection="1"/>
    <xf numFmtId="0" fontId="7" fillId="0" borderId="0" xfId="1" applyFont="1" applyFill="1" applyBorder="1" applyAlignment="1" applyProtection="1"/>
    <xf numFmtId="0" fontId="7" fillId="0" borderId="0" xfId="1" applyFont="1" applyFill="1" applyBorder="1" applyAlignment="1" applyProtection="1">
      <alignment horizontal="left" vertical="center" wrapText="1"/>
    </xf>
    <xf numFmtId="0" fontId="11" fillId="0" borderId="0" xfId="1" applyFont="1" applyAlignment="1" applyProtection="1">
      <alignment horizontal="left"/>
    </xf>
    <xf numFmtId="0" fontId="0" fillId="0" borderId="0" xfId="0" applyProtection="1"/>
    <xf numFmtId="16" fontId="7" fillId="0" borderId="0" xfId="1" applyNumberFormat="1" applyFont="1" applyFill="1" applyBorder="1" applyAlignment="1" applyProtection="1">
      <alignment horizontal="center" vertical="center"/>
      <protection locked="0"/>
    </xf>
    <xf numFmtId="0" fontId="7" fillId="0" borderId="0" xfId="1" applyFont="1" applyFill="1" applyProtection="1"/>
    <xf numFmtId="0" fontId="7" fillId="0" borderId="0" xfId="1" applyFont="1" applyFill="1" applyProtection="1">
      <protection locked="0"/>
    </xf>
    <xf numFmtId="0" fontId="7" fillId="0" borderId="0" xfId="1" applyFont="1" applyFill="1" applyBorder="1" applyProtection="1">
      <protection locked="0"/>
    </xf>
    <xf numFmtId="0" fontId="5" fillId="0" borderId="0" xfId="1" applyFont="1" applyFill="1" applyBorder="1" applyAlignment="1" applyProtection="1">
      <alignment horizontal="center" vertical="center"/>
    </xf>
    <xf numFmtId="0" fontId="5" fillId="0" borderId="0" xfId="1" applyFont="1" applyFill="1" applyBorder="1" applyAlignment="1" applyProtection="1">
      <alignment horizontal="center"/>
    </xf>
    <xf numFmtId="0" fontId="4" fillId="0" borderId="0" xfId="1" applyFont="1" applyFill="1" applyBorder="1" applyAlignment="1" applyProtection="1">
      <alignment horizontal="left"/>
    </xf>
    <xf numFmtId="0" fontId="5" fillId="0" borderId="0" xfId="1" applyFont="1" applyFill="1" applyAlignment="1" applyProtection="1">
      <alignment horizontal="center" vertical="center"/>
    </xf>
    <xf numFmtId="0" fontId="11" fillId="0" borderId="0" xfId="1" applyFont="1" applyAlignment="1" applyProtection="1">
      <alignment horizontal="center" vertical="center"/>
    </xf>
    <xf numFmtId="0" fontId="6" fillId="0" borderId="0" xfId="1" applyFont="1" applyFill="1" applyBorder="1" applyAlignment="1" applyProtection="1">
      <alignment horizontal="left" vertical="center" wrapText="1"/>
    </xf>
    <xf numFmtId="17" fontId="7" fillId="0" borderId="0" xfId="1" applyNumberFormat="1" applyFont="1" applyFill="1" applyBorder="1" applyAlignment="1" applyProtection="1">
      <alignment horizontal="center"/>
    </xf>
    <xf numFmtId="0" fontId="6" fillId="0" borderId="0" xfId="1" applyFont="1" applyFill="1" applyAlignment="1" applyProtection="1">
      <alignment horizontal="left" vertical="center"/>
    </xf>
    <xf numFmtId="0" fontId="11" fillId="0" borderId="0" xfId="1" applyFont="1" applyAlignment="1" applyProtection="1">
      <alignment horizontal="right"/>
    </xf>
    <xf numFmtId="16" fontId="7" fillId="0" borderId="0" xfId="1" applyNumberFormat="1" applyFont="1" applyFill="1" applyProtection="1">
      <protection locked="0"/>
    </xf>
    <xf numFmtId="0" fontId="9" fillId="0" borderId="0" xfId="0" applyFont="1" applyFill="1" applyBorder="1" applyAlignment="1" applyProtection="1">
      <alignment horizontal="center" vertical="center"/>
    </xf>
    <xf numFmtId="165" fontId="9" fillId="0" borderId="0" xfId="0" applyNumberFormat="1" applyFont="1" applyFill="1" applyBorder="1" applyAlignment="1" applyProtection="1">
      <alignment horizontal="center" vertical="center" wrapText="1"/>
    </xf>
    <xf numFmtId="0" fontId="9" fillId="0" borderId="0" xfId="0" applyFont="1" applyFill="1" applyBorder="1" applyAlignment="1" applyProtection="1">
      <alignment horizontal="center" vertical="center" wrapText="1"/>
    </xf>
    <xf numFmtId="165" fontId="7" fillId="0" borderId="0" xfId="0" applyNumberFormat="1" applyFont="1" applyFill="1" applyBorder="1" applyAlignment="1" applyProtection="1">
      <alignment horizontal="center" vertical="center"/>
    </xf>
    <xf numFmtId="0" fontId="7" fillId="0" borderId="0" xfId="1" applyFont="1" applyFill="1" applyAlignment="1" applyProtection="1">
      <alignment horizontal="left" vertical="center"/>
    </xf>
    <xf numFmtId="165" fontId="7" fillId="0" borderId="0" xfId="1" applyNumberFormat="1" applyFont="1" applyFill="1" applyAlignment="1" applyProtection="1">
      <alignment horizontal="center" vertical="center"/>
    </xf>
    <xf numFmtId="0" fontId="10" fillId="0" borderId="0" xfId="1" applyFont="1" applyProtection="1"/>
    <xf numFmtId="0" fontId="24" fillId="0" borderId="0" xfId="4" applyAlignment="1" applyProtection="1">
      <alignment horizontal="center"/>
    </xf>
    <xf numFmtId="0" fontId="15" fillId="3" borderId="3" xfId="0" applyFont="1" applyFill="1" applyBorder="1" applyAlignment="1" applyProtection="1"/>
    <xf numFmtId="0" fontId="17" fillId="0" borderId="0" xfId="0" applyFont="1" applyFill="1" applyBorder="1" applyAlignment="1" applyProtection="1">
      <alignment horizontal="center" vertical="center"/>
    </xf>
    <xf numFmtId="0" fontId="9" fillId="0" borderId="0" xfId="0" applyFont="1" applyFill="1" applyAlignment="1" applyProtection="1">
      <alignment horizontal="center" vertical="center"/>
    </xf>
    <xf numFmtId="0" fontId="18" fillId="0" borderId="0" xfId="0" applyFont="1" applyProtection="1"/>
    <xf numFmtId="0" fontId="5" fillId="0" borderId="0" xfId="0" applyFont="1" applyFill="1" applyBorder="1" applyAlignment="1" applyProtection="1">
      <alignment horizontal="center" vertical="center"/>
    </xf>
    <xf numFmtId="0" fontId="4" fillId="0" borderId="0" xfId="0" applyNumberFormat="1" applyFont="1" applyFill="1" applyAlignment="1" applyProtection="1">
      <alignment horizontal="center"/>
    </xf>
    <xf numFmtId="0" fontId="4" fillId="0" borderId="0" xfId="0" applyNumberFormat="1" applyFont="1" applyFill="1" applyProtection="1"/>
    <xf numFmtId="0" fontId="4" fillId="0" borderId="0" xfId="0" applyFont="1" applyFill="1" applyBorder="1" applyProtection="1"/>
    <xf numFmtId="14" fontId="7" fillId="0" borderId="0" xfId="0" applyNumberFormat="1" applyFont="1" applyFill="1" applyBorder="1" applyAlignment="1" applyProtection="1">
      <alignment horizontal="center" vertical="center"/>
    </xf>
    <xf numFmtId="0" fontId="6" fillId="0" borderId="0" xfId="0" applyFont="1" applyFill="1" applyBorder="1" applyAlignment="1" applyProtection="1">
      <alignment horizontal="center" vertical="center"/>
    </xf>
    <xf numFmtId="14" fontId="4" fillId="0" borderId="0" xfId="0" applyNumberFormat="1" applyFont="1" applyFill="1" applyBorder="1" applyAlignment="1" applyProtection="1">
      <alignment horizontal="center"/>
    </xf>
    <xf numFmtId="14" fontId="7" fillId="0" borderId="0" xfId="0" applyNumberFormat="1" applyFont="1" applyFill="1" applyBorder="1" applyAlignment="1" applyProtection="1">
      <alignment horizontal="center"/>
    </xf>
    <xf numFmtId="0" fontId="5" fillId="0" borderId="0" xfId="0" applyFont="1" applyFill="1" applyAlignment="1" applyProtection="1">
      <alignment horizontal="center" vertical="center"/>
    </xf>
    <xf numFmtId="14" fontId="7" fillId="0" borderId="0" xfId="0" applyNumberFormat="1" applyFont="1" applyFill="1" applyAlignment="1" applyProtection="1">
      <alignment horizontal="center" vertical="center"/>
    </xf>
    <xf numFmtId="0" fontId="16" fillId="0" borderId="0" xfId="0" applyFont="1" applyFill="1" applyBorder="1" applyAlignment="1" applyProtection="1">
      <alignment horizontal="center" vertical="center"/>
    </xf>
    <xf numFmtId="0" fontId="4" fillId="0" borderId="0" xfId="0" applyNumberFormat="1" applyFont="1" applyFill="1" applyBorder="1" applyProtection="1"/>
    <xf numFmtId="165" fontId="7" fillId="0" borderId="0" xfId="0" applyNumberFormat="1" applyFont="1" applyFill="1" applyAlignment="1" applyProtection="1">
      <alignment horizontal="center" vertical="center"/>
    </xf>
    <xf numFmtId="0" fontId="0" fillId="0" borderId="0" xfId="0" applyAlignment="1" applyProtection="1">
      <alignment horizontal="center"/>
    </xf>
    <xf numFmtId="14" fontId="5" fillId="2" borderId="0" xfId="0" applyNumberFormat="1" applyFont="1" applyFill="1" applyBorder="1" applyAlignment="1" applyProtection="1">
      <alignment vertical="center"/>
      <protection locked="0"/>
    </xf>
    <xf numFmtId="0" fontId="24" fillId="0" borderId="0" xfId="4" applyAlignment="1" applyProtection="1">
      <alignment horizontal="center" vertical="center"/>
    </xf>
    <xf numFmtId="0" fontId="19" fillId="0" borderId="0" xfId="0" applyFont="1" applyProtection="1"/>
    <xf numFmtId="0" fontId="6" fillId="0" borderId="0" xfId="1" applyFont="1" applyFill="1" applyAlignment="1" applyProtection="1">
      <alignment horizontal="left" vertical="center" wrapText="1"/>
    </xf>
    <xf numFmtId="14" fontId="5" fillId="2" borderId="0" xfId="0" applyNumberFormat="1" applyFont="1" applyFill="1" applyBorder="1" applyAlignment="1" applyProtection="1">
      <alignment horizontal="center" vertical="center"/>
      <protection locked="0"/>
    </xf>
    <xf numFmtId="14" fontId="7" fillId="0" borderId="0" xfId="1" applyNumberFormat="1" applyFont="1" applyFill="1" applyBorder="1" applyAlignment="1" applyProtection="1">
      <alignment horizontal="center" vertical="center" wrapText="1"/>
    </xf>
    <xf numFmtId="0" fontId="6" fillId="0" borderId="0" xfId="1" applyFont="1" applyFill="1" applyBorder="1" applyAlignment="1" applyProtection="1">
      <alignment horizontal="left"/>
    </xf>
    <xf numFmtId="0" fontId="6" fillId="0" borderId="0" xfId="1" applyFont="1" applyAlignment="1" applyProtection="1">
      <alignment horizontal="left"/>
    </xf>
    <xf numFmtId="0" fontId="11" fillId="0" borderId="0" xfId="1" applyFont="1" applyAlignment="1" applyProtection="1">
      <alignment vertical="center"/>
    </xf>
    <xf numFmtId="0" fontId="14" fillId="0" borderId="0" xfId="1" applyFont="1" applyAlignment="1" applyProtection="1">
      <alignment horizontal="center" vertical="center" wrapText="1"/>
    </xf>
    <xf numFmtId="0" fontId="24" fillId="0" borderId="0" xfId="4" applyAlignment="1" applyProtection="1">
      <alignment vertical="center"/>
    </xf>
    <xf numFmtId="0" fontId="17" fillId="0" borderId="1" xfId="1" applyFont="1" applyFill="1" applyBorder="1" applyAlignment="1" applyProtection="1">
      <alignment horizontal="center" vertical="center" wrapText="1"/>
    </xf>
    <xf numFmtId="14" fontId="5" fillId="2" borderId="0" xfId="0" applyNumberFormat="1" applyFont="1" applyFill="1" applyBorder="1" applyAlignment="1" applyProtection="1">
      <alignment horizontal="left" vertical="center"/>
    </xf>
    <xf numFmtId="0" fontId="26" fillId="0" borderId="0" xfId="1" applyFont="1" applyFill="1" applyAlignment="1" applyProtection="1">
      <alignment horizontal="left"/>
    </xf>
    <xf numFmtId="0" fontId="27" fillId="0" borderId="0" xfId="1" applyFont="1" applyFill="1" applyAlignment="1" applyProtection="1">
      <alignment horizontal="center"/>
    </xf>
    <xf numFmtId="167" fontId="27" fillId="0" borderId="0" xfId="1" applyNumberFormat="1" applyFont="1" applyFill="1" applyAlignment="1" applyProtection="1">
      <alignment horizontal="center"/>
      <protection locked="0"/>
    </xf>
    <xf numFmtId="0" fontId="27" fillId="0" borderId="0" xfId="1" applyFont="1" applyFill="1" applyProtection="1">
      <protection locked="0"/>
    </xf>
    <xf numFmtId="0" fontId="27" fillId="0" borderId="0" xfId="1" applyFont="1" applyFill="1" applyAlignment="1" applyProtection="1">
      <alignment horizontal="center"/>
      <protection locked="0"/>
    </xf>
    <xf numFmtId="0" fontId="4" fillId="0" borderId="0" xfId="0" applyFont="1" applyFill="1" applyBorder="1" applyAlignment="1" applyProtection="1">
      <alignment horizontal="center" vertical="center" wrapText="1"/>
      <protection locked="0"/>
    </xf>
    <xf numFmtId="0" fontId="4" fillId="0" borderId="0" xfId="0" applyFont="1" applyFill="1" applyAlignment="1" applyProtection="1">
      <alignment horizontal="center" vertical="center" wrapText="1"/>
      <protection locked="0"/>
    </xf>
    <xf numFmtId="169" fontId="7" fillId="0" borderId="0" xfId="0" applyNumberFormat="1" applyFont="1" applyFill="1" applyBorder="1" applyAlignment="1" applyProtection="1">
      <alignment horizontal="center" vertical="center"/>
      <protection locked="0"/>
    </xf>
    <xf numFmtId="14" fontId="27" fillId="0" borderId="0" xfId="1" applyNumberFormat="1" applyFont="1" applyFill="1" applyAlignment="1" applyProtection="1">
      <alignment horizontal="center" vertical="center"/>
    </xf>
    <xf numFmtId="0" fontId="27" fillId="0" borderId="0" xfId="1" applyNumberFormat="1" applyFont="1" applyFill="1" applyAlignment="1" applyProtection="1">
      <alignment horizontal="center" vertical="center" wrapText="1"/>
    </xf>
    <xf numFmtId="0" fontId="27" fillId="0" borderId="0" xfId="1" applyFont="1" applyFill="1" applyAlignment="1" applyProtection="1">
      <alignment horizontal="center" vertical="center" wrapText="1"/>
    </xf>
    <xf numFmtId="0" fontId="27" fillId="0" borderId="0" xfId="1" applyFont="1" applyFill="1" applyAlignment="1" applyProtection="1">
      <alignment horizontal="center" vertical="center" wrapText="1"/>
      <protection locked="0"/>
    </xf>
    <xf numFmtId="0" fontId="27" fillId="0" borderId="0" xfId="1" applyFont="1" applyFill="1" applyAlignment="1" applyProtection="1">
      <alignment horizontal="center" vertical="center"/>
    </xf>
    <xf numFmtId="14" fontId="27" fillId="0" borderId="0" xfId="1" applyNumberFormat="1" applyFont="1" applyFill="1" applyAlignment="1" applyProtection="1">
      <alignment horizontal="center"/>
    </xf>
    <xf numFmtId="14" fontId="7" fillId="0" borderId="0" xfId="0" applyNumberFormat="1" applyFont="1" applyFill="1" applyAlignment="1" applyProtection="1">
      <alignment horizontal="center"/>
    </xf>
    <xf numFmtId="14" fontId="4" fillId="0" borderId="0" xfId="0" applyNumberFormat="1" applyFont="1" applyFill="1" applyBorder="1" applyAlignment="1" applyProtection="1">
      <alignment horizontal="center" vertical="center"/>
    </xf>
    <xf numFmtId="0" fontId="7"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170" fontId="7" fillId="0" borderId="0" xfId="1" applyNumberFormat="1" applyFont="1" applyFill="1" applyAlignment="1" applyProtection="1">
      <alignment horizontal="center" vertical="center"/>
    </xf>
    <xf numFmtId="0" fontId="4" fillId="0" borderId="0" xfId="0" applyNumberFormat="1" applyFont="1" applyFill="1" applyAlignment="1">
      <alignment horizontal="center" vertical="center"/>
    </xf>
    <xf numFmtId="166" fontId="4" fillId="0" borderId="0" xfId="0" applyNumberFormat="1" applyFont="1" applyFill="1" applyAlignment="1" applyProtection="1">
      <alignment horizontal="center" vertical="center"/>
    </xf>
    <xf numFmtId="14" fontId="7" fillId="0" borderId="0" xfId="1" applyNumberFormat="1" applyFont="1" applyFill="1" applyAlignment="1" applyProtection="1">
      <alignment horizontal="center" vertical="center"/>
    </xf>
    <xf numFmtId="170" fontId="7" fillId="0" borderId="0" xfId="0" applyNumberFormat="1" applyFont="1" applyFill="1" applyBorder="1" applyAlignment="1" applyProtection="1">
      <alignment horizontal="center" vertical="center"/>
    </xf>
    <xf numFmtId="170" fontId="7" fillId="0" borderId="0" xfId="0" applyNumberFormat="1" applyFont="1" applyFill="1" applyBorder="1" applyAlignment="1" applyProtection="1">
      <alignment horizontal="center"/>
    </xf>
    <xf numFmtId="170" fontId="7" fillId="0" borderId="0" xfId="1" applyNumberFormat="1" applyFont="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30" fillId="0" borderId="7" xfId="0" applyFont="1" applyBorder="1" applyAlignment="1">
      <alignment horizontal="center" vertical="center" wrapText="1"/>
    </xf>
    <xf numFmtId="0" fontId="30" fillId="0" borderId="7" xfId="0" applyFont="1" applyBorder="1" applyAlignment="1">
      <alignment horizontal="center" vertical="center"/>
    </xf>
    <xf numFmtId="0" fontId="30" fillId="0" borderId="5" xfId="0" applyFont="1" applyBorder="1" applyAlignment="1">
      <alignment horizontal="center" vertical="center"/>
    </xf>
    <xf numFmtId="22" fontId="0" fillId="0" borderId="0" xfId="0" applyNumberFormat="1" applyAlignment="1">
      <alignment horizontal="center" vertical="center"/>
    </xf>
    <xf numFmtId="14" fontId="4" fillId="0" borderId="0" xfId="0" applyNumberFormat="1" applyFont="1" applyFill="1" applyAlignment="1" applyProtection="1">
      <alignment horizontal="center" vertical="center"/>
      <protection locked="0"/>
    </xf>
    <xf numFmtId="0" fontId="27" fillId="0" borderId="0" xfId="1" applyFont="1" applyFill="1" applyBorder="1" applyAlignment="1" applyProtection="1">
      <alignment horizontal="left" vertical="center"/>
    </xf>
    <xf numFmtId="0" fontId="27" fillId="0" borderId="0" xfId="1" applyFont="1" applyFill="1" applyAlignment="1" applyProtection="1">
      <alignment horizontal="center" vertical="center"/>
      <protection locked="0"/>
    </xf>
    <xf numFmtId="0" fontId="7" fillId="0" borderId="0" xfId="1" applyNumberFormat="1" applyFont="1" applyFill="1" applyBorder="1" applyAlignment="1" applyProtection="1">
      <alignment horizontal="center"/>
      <protection locked="0"/>
    </xf>
    <xf numFmtId="0" fontId="7" fillId="0" borderId="0" xfId="1" applyFont="1" applyFill="1" applyAlignment="1" applyProtection="1">
      <alignment horizontal="center" vertical="center" wrapText="1"/>
      <protection locked="0"/>
    </xf>
    <xf numFmtId="14" fontId="7" fillId="0" borderId="0" xfId="1" applyNumberFormat="1" applyFont="1" applyFill="1" applyBorder="1" applyAlignment="1" applyProtection="1">
      <alignment vertical="center"/>
    </xf>
    <xf numFmtId="0" fontId="7" fillId="0" borderId="0" xfId="1" applyNumberFormat="1" applyFont="1" applyFill="1" applyBorder="1" applyAlignment="1" applyProtection="1">
      <alignment horizontal="center" vertical="center"/>
      <protection locked="0"/>
    </xf>
    <xf numFmtId="0" fontId="7" fillId="0" borderId="0" xfId="1" applyNumberFormat="1" applyFont="1" applyFill="1" applyBorder="1" applyAlignment="1" applyProtection="1">
      <alignment horizontal="center" vertical="center"/>
    </xf>
    <xf numFmtId="14" fontId="7" fillId="0" borderId="0" xfId="1" applyNumberFormat="1" applyFont="1" applyFill="1" applyBorder="1" applyAlignment="1" applyProtection="1">
      <alignment horizontal="left" vertical="center"/>
    </xf>
    <xf numFmtId="0" fontId="7" fillId="0" borderId="0" xfId="1" applyFont="1" applyFill="1" applyBorder="1" applyAlignment="1" applyProtection="1">
      <alignment vertical="center"/>
    </xf>
    <xf numFmtId="0" fontId="7" fillId="0" borderId="0" xfId="1" applyNumberFormat="1" applyFont="1" applyFill="1" applyAlignment="1" applyProtection="1">
      <alignment horizontal="center" vertical="center"/>
      <protection locked="0"/>
    </xf>
    <xf numFmtId="14" fontId="7" fillId="0" borderId="0" xfId="1" applyNumberFormat="1" applyFont="1" applyFill="1" applyAlignment="1" applyProtection="1">
      <alignment horizontal="left" vertical="center"/>
    </xf>
    <xf numFmtId="0" fontId="27" fillId="0" borderId="0" xfId="1" applyNumberFormat="1" applyFont="1" applyFill="1" applyAlignment="1" applyProtection="1">
      <alignment horizontal="center" vertical="center"/>
      <protection locked="0"/>
    </xf>
    <xf numFmtId="0" fontId="27" fillId="0" borderId="0" xfId="1" applyFont="1" applyFill="1" applyAlignment="1" applyProtection="1">
      <alignment horizontal="left" vertical="center"/>
    </xf>
    <xf numFmtId="14" fontId="7" fillId="0" borderId="0" xfId="1" applyNumberFormat="1" applyFont="1" applyFill="1" applyBorder="1" applyAlignment="1" applyProtection="1">
      <alignment horizontal="center" vertical="center" wrapText="1"/>
      <protection locked="0"/>
    </xf>
    <xf numFmtId="14" fontId="27" fillId="0" borderId="0" xfId="1" applyNumberFormat="1" applyFont="1" applyFill="1" applyAlignment="1" applyProtection="1">
      <alignment vertical="center"/>
    </xf>
    <xf numFmtId="14" fontId="27" fillId="0" borderId="0" xfId="1" applyNumberFormat="1" applyFont="1" applyFill="1" applyAlignment="1" applyProtection="1">
      <alignment horizontal="left" vertical="center"/>
    </xf>
    <xf numFmtId="14" fontId="9" fillId="0" borderId="0" xfId="1" applyNumberFormat="1" applyFont="1" applyFill="1" applyBorder="1" applyAlignment="1" applyProtection="1">
      <alignment vertical="center" wrapText="1"/>
    </xf>
    <xf numFmtId="0" fontId="17" fillId="0" borderId="0" xfId="1" applyFont="1" applyFill="1" applyBorder="1" applyAlignment="1" applyProtection="1">
      <alignment vertical="center"/>
    </xf>
    <xf numFmtId="14" fontId="6" fillId="0" borderId="0" xfId="1" applyNumberFormat="1" applyFont="1" applyFill="1" applyBorder="1" applyAlignment="1" applyProtection="1">
      <alignment horizontal="left" vertical="center" wrapText="1"/>
    </xf>
    <xf numFmtId="14" fontId="7" fillId="0" borderId="0" xfId="1" applyNumberFormat="1" applyFont="1" applyFill="1" applyBorder="1" applyAlignment="1" applyProtection="1">
      <alignment horizontal="left" vertical="center" wrapText="1"/>
      <protection locked="0"/>
    </xf>
    <xf numFmtId="0" fontId="7" fillId="0" borderId="0" xfId="0" applyFont="1" applyFill="1" applyAlignment="1" applyProtection="1">
      <alignment vertical="center"/>
      <protection locked="0"/>
    </xf>
    <xf numFmtId="14" fontId="4" fillId="0" borderId="0" xfId="0" applyNumberFormat="1" applyFont="1" applyAlignment="1" applyProtection="1">
      <alignment horizontal="center" vertical="center"/>
    </xf>
    <xf numFmtId="0" fontId="27" fillId="0" borderId="0" xfId="1" applyFont="1" applyFill="1" applyAlignment="1" applyProtection="1">
      <alignment horizontal="left"/>
    </xf>
    <xf numFmtId="14" fontId="27" fillId="0" borderId="0" xfId="1" applyNumberFormat="1" applyFont="1" applyFill="1" applyAlignment="1" applyProtection="1"/>
    <xf numFmtId="0" fontId="27" fillId="0" borderId="0" xfId="1" applyNumberFormat="1" applyFont="1" applyFill="1" applyAlignment="1" applyProtection="1">
      <alignment horizontal="center"/>
      <protection locked="0"/>
    </xf>
    <xf numFmtId="14" fontId="27" fillId="0" borderId="0" xfId="1" applyNumberFormat="1" applyFont="1" applyFill="1" applyAlignment="1" applyProtection="1">
      <alignment horizontal="left"/>
    </xf>
    <xf numFmtId="14" fontId="7" fillId="0" borderId="0" xfId="1" applyNumberFormat="1" applyFont="1" applyFill="1" applyAlignment="1" applyProtection="1">
      <alignment horizontal="center" vertical="center"/>
      <protection locked="0"/>
    </xf>
    <xf numFmtId="0" fontId="26" fillId="0" borderId="0" xfId="1" applyFont="1" applyFill="1" applyAlignment="1" applyProtection="1">
      <alignment horizontal="center" vertical="center"/>
    </xf>
    <xf numFmtId="0" fontId="27" fillId="0" borderId="0" xfId="1" applyFont="1" applyFill="1" applyAlignment="1" applyProtection="1"/>
    <xf numFmtId="14" fontId="4" fillId="0" borderId="0" xfId="0" applyNumberFormat="1" applyFont="1" applyFill="1" applyProtection="1">
      <protection locked="0"/>
    </xf>
    <xf numFmtId="0" fontId="7" fillId="0" borderId="0" xfId="0" applyFont="1" applyFill="1" applyBorder="1" applyAlignment="1" applyProtection="1">
      <alignment vertical="center" wrapText="1"/>
      <protection locked="0"/>
    </xf>
    <xf numFmtId="0" fontId="7" fillId="0" borderId="0" xfId="0" applyFont="1" applyFill="1" applyBorder="1" applyAlignment="1" applyProtection="1">
      <alignment horizontal="center" vertical="center" wrapText="1"/>
      <protection locked="0"/>
    </xf>
    <xf numFmtId="0" fontId="4" fillId="0" borderId="0" xfId="0" applyFont="1" applyFill="1" applyAlignment="1" applyProtection="1">
      <alignment wrapText="1"/>
      <protection locked="0"/>
    </xf>
    <xf numFmtId="0" fontId="7" fillId="0" borderId="0" xfId="0" applyFont="1" applyFill="1" applyBorder="1" applyAlignment="1" applyProtection="1">
      <alignment horizontal="center" wrapText="1"/>
      <protection locked="0"/>
    </xf>
    <xf numFmtId="14" fontId="7"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wrapText="1"/>
      <protection locked="0"/>
    </xf>
    <xf numFmtId="14" fontId="27" fillId="0" borderId="0" xfId="1" applyNumberFormat="1" applyFont="1" applyFill="1" applyAlignment="1" applyProtection="1"/>
    <xf numFmtId="14" fontId="27" fillId="0" borderId="0" xfId="1" applyNumberFormat="1" applyFont="1" applyFill="1" applyAlignment="1" applyProtection="1">
      <alignment horizontal="left"/>
    </xf>
    <xf numFmtId="0" fontId="31" fillId="0" borderId="0" xfId="0" applyFont="1" applyFill="1" applyAlignment="1" applyProtection="1">
      <alignment horizontal="center" vertical="center"/>
    </xf>
    <xf numFmtId="0" fontId="31" fillId="0" borderId="0" xfId="0" applyFont="1" applyFill="1" applyAlignment="1" applyProtection="1">
      <alignment vertical="center"/>
    </xf>
    <xf numFmtId="0" fontId="32" fillId="0" borderId="0" xfId="0" applyNumberFormat="1" applyFont="1" applyFill="1" applyAlignment="1" applyProtection="1">
      <alignment horizontal="center"/>
    </xf>
    <xf numFmtId="165" fontId="27" fillId="0" borderId="0" xfId="0" applyNumberFormat="1" applyFont="1" applyFill="1" applyAlignment="1" applyProtection="1">
      <alignment horizontal="center" vertical="center"/>
      <protection locked="0"/>
    </xf>
    <xf numFmtId="0" fontId="27" fillId="0" borderId="0" xfId="0" applyNumberFormat="1" applyFont="1" applyFill="1" applyAlignment="1" applyProtection="1">
      <alignment horizontal="center"/>
    </xf>
    <xf numFmtId="165" fontId="27" fillId="0" borderId="0" xfId="0" applyNumberFormat="1" applyFont="1" applyFill="1" applyAlignment="1" applyProtection="1">
      <alignment horizontal="center" vertical="center"/>
    </xf>
    <xf numFmtId="0" fontId="32" fillId="0" borderId="0" xfId="0" applyFont="1" applyFill="1" applyAlignment="1" applyProtection="1">
      <alignment wrapText="1"/>
      <protection locked="0"/>
    </xf>
    <xf numFmtId="0" fontId="32" fillId="0" borderId="0" xfId="0" applyNumberFormat="1" applyFont="1" applyFill="1" applyProtection="1"/>
    <xf numFmtId="14" fontId="27" fillId="0" borderId="0" xfId="1" applyNumberFormat="1" applyFont="1" applyFill="1" applyAlignment="1" applyProtection="1">
      <alignment horizontal="center"/>
    </xf>
    <xf numFmtId="16" fontId="7" fillId="0" borderId="0" xfId="1" applyNumberFormat="1" applyFont="1" applyFill="1" applyProtection="1"/>
    <xf numFmtId="17" fontId="7" fillId="0" borderId="0" xfId="1" applyNumberFormat="1" applyFont="1" applyFill="1" applyAlignment="1" applyProtection="1">
      <alignment horizontal="center"/>
    </xf>
    <xf numFmtId="14" fontId="27" fillId="0" borderId="0" xfId="0" applyNumberFormat="1" applyFont="1" applyFill="1" applyAlignment="1" applyProtection="1">
      <alignment horizontal="center" vertical="center"/>
    </xf>
    <xf numFmtId="14" fontId="32" fillId="0" borderId="0" xfId="0" applyNumberFormat="1" applyFont="1" applyFill="1" applyProtection="1">
      <protection locked="0"/>
    </xf>
    <xf numFmtId="14" fontId="27" fillId="0" borderId="0" xfId="1" applyNumberFormat="1" applyFont="1" applyFill="1" applyAlignment="1" applyProtection="1">
      <alignment horizontal="center"/>
    </xf>
    <xf numFmtId="0" fontId="33" fillId="0" borderId="0" xfId="1" applyFont="1" applyFill="1" applyAlignment="1" applyProtection="1">
      <alignment horizontal="left" vertical="center"/>
    </xf>
    <xf numFmtId="0" fontId="34" fillId="0" borderId="0" xfId="1" applyFont="1" applyFill="1" applyAlignment="1" applyProtection="1">
      <alignment horizontal="center" vertical="center"/>
    </xf>
    <xf numFmtId="0" fontId="34" fillId="0" borderId="0" xfId="1" applyFont="1" applyFill="1" applyAlignment="1" applyProtection="1">
      <alignment horizontal="center" vertical="center"/>
      <protection locked="0"/>
    </xf>
    <xf numFmtId="0" fontId="34" fillId="0" borderId="0" xfId="1" applyFont="1" applyFill="1" applyAlignment="1" applyProtection="1">
      <alignment horizontal="center"/>
    </xf>
    <xf numFmtId="0" fontId="34" fillId="0" borderId="0" xfId="1" applyFont="1" applyFill="1" applyAlignment="1" applyProtection="1">
      <alignment horizontal="left"/>
    </xf>
    <xf numFmtId="14" fontId="34" fillId="0" borderId="0" xfId="1" applyNumberFormat="1" applyFont="1" applyFill="1" applyAlignment="1" applyProtection="1">
      <alignment horizontal="center"/>
    </xf>
    <xf numFmtId="0" fontId="34" fillId="0" borderId="0" xfId="1" applyFont="1" applyFill="1" applyProtection="1">
      <protection locked="0"/>
    </xf>
    <xf numFmtId="0" fontId="5" fillId="2" borderId="0" xfId="0" applyFont="1" applyFill="1" applyBorder="1" applyAlignment="1">
      <alignment horizontal="center" vertical="center"/>
    </xf>
    <xf numFmtId="0" fontId="35" fillId="0" borderId="0" xfId="1" applyFont="1" applyFill="1" applyAlignment="1" applyProtection="1">
      <alignment horizontal="left"/>
    </xf>
    <xf numFmtId="0" fontId="36" fillId="0" borderId="0" xfId="1" applyFont="1" applyFill="1" applyAlignment="1" applyProtection="1">
      <alignment horizontal="center"/>
    </xf>
    <xf numFmtId="167" fontId="36" fillId="0" borderId="0" xfId="1" applyNumberFormat="1" applyFont="1" applyFill="1" applyAlignment="1" applyProtection="1">
      <alignment horizontal="center"/>
      <protection locked="0"/>
    </xf>
    <xf numFmtId="14" fontId="36" fillId="0" borderId="0" xfId="1" applyNumberFormat="1" applyFont="1" applyFill="1" applyAlignment="1" applyProtection="1">
      <alignment horizontal="center"/>
    </xf>
    <xf numFmtId="0" fontId="36" fillId="0" borderId="0" xfId="1" applyFont="1" applyFill="1" applyProtection="1">
      <protection locked="0"/>
    </xf>
    <xf numFmtId="0" fontId="36" fillId="0" borderId="0" xfId="1" applyFont="1" applyFill="1" applyAlignment="1" applyProtection="1">
      <alignment horizontal="center"/>
      <protection locked="0"/>
    </xf>
    <xf numFmtId="167" fontId="36" fillId="0" borderId="0" xfId="1" applyNumberFormat="1" applyFont="1" applyFill="1" applyAlignment="1" applyProtection="1">
      <alignment horizontal="center"/>
    </xf>
    <xf numFmtId="14" fontId="7" fillId="0" borderId="0" xfId="1" applyNumberFormat="1" applyFont="1" applyFill="1" applyAlignment="1" applyProtection="1"/>
    <xf numFmtId="0" fontId="7" fillId="0" borderId="0" xfId="1" applyNumberFormat="1" applyFont="1" applyFill="1" applyAlignment="1" applyProtection="1">
      <alignment horizontal="center"/>
      <protection locked="0"/>
    </xf>
    <xf numFmtId="14" fontId="7" fillId="0" borderId="0" xfId="1" applyNumberFormat="1" applyFont="1" applyFill="1" applyAlignment="1" applyProtection="1">
      <alignment horizontal="center"/>
    </xf>
    <xf numFmtId="14" fontId="7" fillId="0" borderId="0" xfId="1" applyNumberFormat="1" applyFont="1" applyFill="1" applyAlignment="1" applyProtection="1">
      <alignment horizontal="left"/>
    </xf>
    <xf numFmtId="0" fontId="37" fillId="0" borderId="0" xfId="1" applyFont="1" applyFill="1" applyAlignment="1" applyProtection="1">
      <alignment horizontal="left" vertical="center"/>
    </xf>
    <xf numFmtId="0" fontId="38" fillId="0" borderId="0" xfId="1" applyFont="1" applyFill="1" applyAlignment="1" applyProtection="1">
      <alignment horizontal="center" vertical="center"/>
    </xf>
    <xf numFmtId="0" fontId="38" fillId="0" borderId="0" xfId="1" applyFont="1" applyFill="1" applyAlignment="1" applyProtection="1">
      <alignment horizontal="center" vertical="center"/>
      <protection locked="0"/>
    </xf>
    <xf numFmtId="0" fontId="38" fillId="0" borderId="0" xfId="1" applyFont="1" applyFill="1" applyAlignment="1" applyProtection="1">
      <alignment horizontal="center"/>
    </xf>
    <xf numFmtId="0" fontId="38" fillId="0" borderId="0" xfId="1" applyFont="1" applyFill="1" applyAlignment="1" applyProtection="1">
      <alignment horizontal="left"/>
    </xf>
    <xf numFmtId="0" fontId="38" fillId="0" borderId="0" xfId="1" applyFont="1" applyFill="1" applyProtection="1">
      <protection locked="0"/>
    </xf>
    <xf numFmtId="0" fontId="38" fillId="0" borderId="0" xfId="1" applyFont="1" applyFill="1" applyBorder="1" applyAlignment="1" applyProtection="1">
      <alignment horizontal="left" vertical="center"/>
    </xf>
    <xf numFmtId="14" fontId="38" fillId="0" borderId="0" xfId="1" applyNumberFormat="1" applyFont="1" applyFill="1" applyAlignment="1" applyProtection="1"/>
    <xf numFmtId="0" fontId="38" fillId="0" borderId="0" xfId="1" applyNumberFormat="1" applyFont="1" applyFill="1" applyAlignment="1" applyProtection="1">
      <alignment horizontal="center"/>
      <protection locked="0"/>
    </xf>
    <xf numFmtId="14" fontId="38" fillId="0" borderId="0" xfId="1" applyNumberFormat="1" applyFont="1" applyFill="1" applyAlignment="1" applyProtection="1">
      <alignment horizontal="center"/>
    </xf>
    <xf numFmtId="0" fontId="38" fillId="0" borderId="0" xfId="1" applyFont="1" applyFill="1" applyAlignment="1" applyProtection="1">
      <alignment horizontal="center" vertical="center" wrapText="1"/>
      <protection locked="0"/>
    </xf>
    <xf numFmtId="14" fontId="38" fillId="0" borderId="0" xfId="1" applyNumberFormat="1" applyFont="1" applyFill="1" applyAlignment="1" applyProtection="1">
      <alignment horizontal="left"/>
    </xf>
    <xf numFmtId="0" fontId="40" fillId="0" borderId="0" xfId="0" applyFont="1" applyFill="1" applyAlignment="1">
      <alignment horizontal="center" vertical="center"/>
    </xf>
    <xf numFmtId="0" fontId="40" fillId="0" borderId="0" xfId="0" applyFont="1" applyFill="1" applyAlignment="1" applyProtection="1">
      <alignment horizontal="center" vertical="center"/>
    </xf>
    <xf numFmtId="0" fontId="40" fillId="0" borderId="0" xfId="0" applyNumberFormat="1" applyFont="1" applyFill="1" applyAlignment="1" applyProtection="1">
      <alignment horizontal="center" vertical="center" wrapText="1"/>
    </xf>
    <xf numFmtId="166" fontId="40" fillId="0" borderId="0" xfId="0" applyNumberFormat="1" applyFont="1" applyFill="1" applyAlignment="1" applyProtection="1">
      <alignment horizontal="center" vertical="center"/>
    </xf>
    <xf numFmtId="0" fontId="40" fillId="0" borderId="0" xfId="0" applyNumberFormat="1" applyFont="1" applyFill="1" applyAlignment="1" applyProtection="1">
      <alignment horizontal="center" vertical="center"/>
    </xf>
    <xf numFmtId="0" fontId="40" fillId="0" borderId="0" xfId="0" applyFont="1" applyFill="1" applyAlignment="1" applyProtection="1">
      <alignment horizontal="center" vertical="center" wrapText="1"/>
      <protection locked="0"/>
    </xf>
    <xf numFmtId="0" fontId="39" fillId="0" borderId="0" xfId="0" applyFont="1" applyFill="1" applyAlignment="1">
      <alignment horizontal="left" vertical="center" wrapText="1"/>
    </xf>
    <xf numFmtId="0" fontId="24" fillId="0" borderId="0" xfId="4" applyNumberFormat="1" applyFill="1" applyAlignment="1">
      <alignment horizontal="center" vertical="center"/>
    </xf>
    <xf numFmtId="0" fontId="37" fillId="0" borderId="0" xfId="1" applyFont="1" applyFill="1" applyAlignment="1" applyProtection="1">
      <alignment horizontal="center" vertical="center"/>
    </xf>
    <xf numFmtId="0" fontId="38" fillId="0" borderId="0" xfId="1" applyFont="1" applyFill="1" applyAlignment="1" applyProtection="1">
      <alignment horizontal="center"/>
      <protection locked="0"/>
    </xf>
    <xf numFmtId="0" fontId="37" fillId="0" borderId="0" xfId="1" applyFont="1" applyFill="1" applyAlignment="1" applyProtection="1">
      <alignment horizontal="center" vertical="center"/>
      <protection locked="0"/>
    </xf>
    <xf numFmtId="14" fontId="37" fillId="0" borderId="0" xfId="1" applyNumberFormat="1" applyFont="1" applyFill="1" applyAlignment="1" applyProtection="1">
      <alignment horizontal="center" vertical="center"/>
    </xf>
    <xf numFmtId="14" fontId="27" fillId="0" borderId="0" xfId="1" applyNumberFormat="1" applyFont="1" applyFill="1" applyAlignment="1" applyProtection="1">
      <alignment horizontal="center" vertical="center"/>
      <protection locked="0"/>
    </xf>
    <xf numFmtId="0" fontId="39" fillId="0" borderId="0" xfId="0" applyFont="1" applyFill="1" applyAlignment="1" applyProtection="1">
      <alignment horizontal="center" vertical="center"/>
    </xf>
    <xf numFmtId="0" fontId="40" fillId="0" borderId="0" xfId="0" applyNumberFormat="1" applyFont="1" applyFill="1" applyAlignment="1" applyProtection="1">
      <alignment horizontal="center"/>
    </xf>
    <xf numFmtId="165" fontId="38" fillId="0" borderId="0" xfId="0" applyNumberFormat="1" applyFont="1" applyFill="1" applyAlignment="1" applyProtection="1">
      <alignment horizontal="center" vertical="center"/>
      <protection locked="0"/>
    </xf>
    <xf numFmtId="14" fontId="38" fillId="0" borderId="0" xfId="0" applyNumberFormat="1" applyFont="1" applyFill="1" applyAlignment="1" applyProtection="1">
      <alignment horizontal="center" vertical="center"/>
    </xf>
    <xf numFmtId="0" fontId="38" fillId="0" borderId="0" xfId="0" applyNumberFormat="1" applyFont="1" applyFill="1" applyAlignment="1" applyProtection="1">
      <alignment horizontal="center"/>
    </xf>
    <xf numFmtId="165" fontId="38" fillId="0" borderId="0" xfId="0" applyNumberFormat="1" applyFont="1" applyFill="1" applyAlignment="1" applyProtection="1">
      <alignment horizontal="center" vertical="center"/>
    </xf>
    <xf numFmtId="0" fontId="40" fillId="0" borderId="0" xfId="0" applyFont="1" applyFill="1" applyAlignment="1" applyProtection="1">
      <alignment wrapText="1"/>
      <protection locked="0"/>
    </xf>
    <xf numFmtId="14" fontId="40" fillId="0" borderId="0" xfId="0" applyNumberFormat="1" applyFont="1" applyFill="1" applyProtection="1">
      <protection locked="0"/>
    </xf>
    <xf numFmtId="0" fontId="40" fillId="0" borderId="0" xfId="0" applyNumberFormat="1" applyFont="1" applyFill="1" applyProtection="1"/>
    <xf numFmtId="0" fontId="40" fillId="0" borderId="0" xfId="0" applyFont="1" applyFill="1" applyAlignment="1" applyProtection="1">
      <alignment horizontal="center" vertical="center" wrapText="1"/>
    </xf>
    <xf numFmtId="0" fontId="40" fillId="0" borderId="0" xfId="0" applyFont="1" applyFill="1" applyAlignment="1" applyProtection="1">
      <alignment horizontal="left" vertical="center"/>
    </xf>
    <xf numFmtId="14" fontId="40" fillId="0" borderId="0" xfId="0" applyNumberFormat="1" applyFont="1" applyFill="1" applyAlignment="1" applyProtection="1">
      <alignment horizontal="center" vertical="center"/>
    </xf>
    <xf numFmtId="14" fontId="40" fillId="0" borderId="0" xfId="0" applyNumberFormat="1" applyFont="1" applyFill="1" applyAlignment="1" applyProtection="1">
      <alignment horizontal="center" vertical="center"/>
      <protection locked="0"/>
    </xf>
    <xf numFmtId="167" fontId="38" fillId="0" borderId="0" xfId="1" applyNumberFormat="1" applyFont="1" applyFill="1" applyAlignment="1" applyProtection="1">
      <alignment horizontal="center"/>
      <protection locked="0"/>
    </xf>
    <xf numFmtId="167" fontId="38" fillId="0" borderId="0" xfId="1" applyNumberFormat="1" applyFont="1" applyFill="1" applyAlignment="1" applyProtection="1">
      <alignment horizontal="center"/>
    </xf>
    <xf numFmtId="14" fontId="38" fillId="0" borderId="0" xfId="1" applyNumberFormat="1" applyFont="1" applyFill="1" applyProtection="1">
      <protection locked="0"/>
    </xf>
    <xf numFmtId="14" fontId="38" fillId="0" borderId="0" xfId="1" applyNumberFormat="1" applyFont="1" applyFill="1" applyAlignment="1" applyProtection="1">
      <alignment horizontal="center"/>
    </xf>
    <xf numFmtId="14" fontId="7" fillId="0" borderId="0" xfId="1" applyNumberFormat="1" applyFont="1" applyFill="1" applyProtection="1">
      <protection locked="0"/>
    </xf>
    <xf numFmtId="0" fontId="4" fillId="4" borderId="0" xfId="0" applyFont="1" applyFill="1" applyAlignment="1">
      <alignment horizontal="left"/>
    </xf>
    <xf numFmtId="0" fontId="4" fillId="4" borderId="0" xfId="0" applyFont="1" applyFill="1" applyAlignment="1">
      <alignment horizontal="center"/>
    </xf>
    <xf numFmtId="0" fontId="4" fillId="4" borderId="0" xfId="0" applyFont="1" applyFill="1" applyAlignment="1">
      <alignment horizontal="center" wrapText="1"/>
    </xf>
    <xf numFmtId="0" fontId="0" fillId="4" borderId="0" xfId="0" applyFill="1"/>
    <xf numFmtId="0" fontId="4" fillId="4" borderId="0" xfId="0" applyFont="1" applyFill="1"/>
    <xf numFmtId="0" fontId="41" fillId="0" borderId="0" xfId="1" applyFont="1" applyFill="1" applyAlignment="1" applyProtection="1">
      <alignment horizontal="left" vertical="center"/>
    </xf>
    <xf numFmtId="0" fontId="42" fillId="0" borderId="0" xfId="1" applyFont="1" applyFill="1" applyAlignment="1" applyProtection="1">
      <alignment horizontal="center" vertical="center"/>
    </xf>
    <xf numFmtId="0" fontId="42" fillId="0" borderId="0" xfId="1" applyFont="1" applyFill="1" applyAlignment="1" applyProtection="1">
      <alignment horizontal="center" vertical="center"/>
      <protection locked="0"/>
    </xf>
    <xf numFmtId="0" fontId="42" fillId="0" borderId="0" xfId="1" applyFont="1" applyFill="1" applyAlignment="1" applyProtection="1">
      <alignment horizontal="center"/>
    </xf>
    <xf numFmtId="0" fontId="42" fillId="0" borderId="0" xfId="1" applyFont="1" applyFill="1" applyAlignment="1" applyProtection="1">
      <alignment horizontal="left"/>
    </xf>
    <xf numFmtId="14" fontId="42" fillId="0" borderId="0" xfId="1" applyNumberFormat="1" applyFont="1" applyFill="1" applyAlignment="1" applyProtection="1">
      <alignment horizontal="center"/>
    </xf>
    <xf numFmtId="0" fontId="42" fillId="0" borderId="0" xfId="1" applyFont="1" applyFill="1" applyProtection="1">
      <protection locked="0"/>
    </xf>
    <xf numFmtId="0" fontId="43" fillId="0" borderId="0" xfId="0" applyFont="1" applyFill="1" applyAlignment="1">
      <alignment horizontal="left" vertical="center" wrapText="1"/>
    </xf>
    <xf numFmtId="0" fontId="44" fillId="0" borderId="0" xfId="0" applyFont="1" applyFill="1" applyAlignment="1">
      <alignment horizontal="center" vertical="center"/>
    </xf>
    <xf numFmtId="0" fontId="44" fillId="0" borderId="0" xfId="0" applyFont="1" applyFill="1" applyAlignment="1" applyProtection="1">
      <alignment horizontal="center" vertical="center" wrapText="1"/>
    </xf>
    <xf numFmtId="0" fontId="44" fillId="0" borderId="0" xfId="0" applyFont="1" applyFill="1" applyAlignment="1" applyProtection="1">
      <alignment horizontal="center" vertical="center"/>
    </xf>
    <xf numFmtId="0" fontId="44" fillId="0" borderId="0" xfId="0" applyFont="1" applyFill="1" applyAlignment="1" applyProtection="1">
      <alignment horizontal="left" vertical="center"/>
    </xf>
    <xf numFmtId="0" fontId="44" fillId="0" borderId="0" xfId="0" applyNumberFormat="1" applyFont="1" applyFill="1" applyAlignment="1" applyProtection="1">
      <alignment horizontal="center" vertical="center" wrapText="1"/>
    </xf>
    <xf numFmtId="166" fontId="44" fillId="0" borderId="0" xfId="0" applyNumberFormat="1" applyFont="1" applyFill="1" applyAlignment="1" applyProtection="1">
      <alignment horizontal="center" vertical="center"/>
    </xf>
    <xf numFmtId="0" fontId="44" fillId="0" borderId="0" xfId="0" applyNumberFormat="1" applyFont="1" applyFill="1" applyAlignment="1" applyProtection="1">
      <alignment horizontal="center" vertical="center"/>
    </xf>
    <xf numFmtId="14" fontId="44" fillId="0" borderId="0" xfId="0" applyNumberFormat="1" applyFont="1" applyFill="1" applyAlignment="1" applyProtection="1">
      <alignment horizontal="center" vertical="center"/>
    </xf>
    <xf numFmtId="14" fontId="44" fillId="0" borderId="0" xfId="0" applyNumberFormat="1" applyFont="1" applyFill="1" applyAlignment="1" applyProtection="1">
      <alignment horizontal="center" vertical="center"/>
      <protection locked="0"/>
    </xf>
    <xf numFmtId="14" fontId="44" fillId="0" borderId="0" xfId="0" applyNumberFormat="1" applyFont="1" applyFill="1" applyAlignment="1" applyProtection="1">
      <alignment horizontal="center" vertical="center"/>
      <protection locked="0"/>
    </xf>
    <xf numFmtId="0" fontId="44" fillId="0" borderId="0" xfId="0" applyFont="1" applyFill="1" applyAlignment="1" applyProtection="1">
      <alignment horizontal="center" vertical="center" wrapText="1"/>
      <protection locked="0"/>
    </xf>
    <xf numFmtId="0" fontId="43" fillId="0" borderId="0" xfId="0" applyFont="1" applyFill="1" applyAlignment="1" applyProtection="1">
      <alignment horizontal="center" vertical="center"/>
    </xf>
    <xf numFmtId="0" fontId="44" fillId="0" borderId="0" xfId="0" applyNumberFormat="1" applyFont="1" applyFill="1" applyAlignment="1" applyProtection="1">
      <alignment horizontal="center"/>
    </xf>
    <xf numFmtId="165" fontId="42" fillId="0" borderId="0" xfId="0" applyNumberFormat="1" applyFont="1" applyFill="1" applyAlignment="1" applyProtection="1">
      <alignment horizontal="center" vertical="center"/>
      <protection locked="0"/>
    </xf>
    <xf numFmtId="14" fontId="42" fillId="0" borderId="0" xfId="0" applyNumberFormat="1" applyFont="1" applyFill="1" applyAlignment="1" applyProtection="1">
      <alignment horizontal="center" vertical="center"/>
    </xf>
    <xf numFmtId="0" fontId="42" fillId="0" borderId="0" xfId="0" applyNumberFormat="1" applyFont="1" applyFill="1" applyAlignment="1" applyProtection="1">
      <alignment horizontal="center"/>
    </xf>
    <xf numFmtId="165" fontId="42" fillId="0" borderId="0" xfId="0" applyNumberFormat="1" applyFont="1" applyFill="1" applyAlignment="1" applyProtection="1">
      <alignment horizontal="center" vertical="center"/>
    </xf>
    <xf numFmtId="0" fontId="44" fillId="0" borderId="0" xfId="0" applyFont="1" applyFill="1" applyAlignment="1" applyProtection="1">
      <alignment wrapText="1"/>
      <protection locked="0"/>
    </xf>
    <xf numFmtId="14" fontId="44" fillId="0" borderId="0" xfId="0" applyNumberFormat="1" applyFont="1" applyFill="1" applyProtection="1">
      <protection locked="0"/>
    </xf>
    <xf numFmtId="0" fontId="44" fillId="0" borderId="0" xfId="0" applyNumberFormat="1" applyFont="1" applyFill="1" applyProtection="1"/>
    <xf numFmtId="0" fontId="45" fillId="0" borderId="0" xfId="0" applyFont="1" applyFill="1" applyAlignment="1" applyProtection="1">
      <alignment vertical="center"/>
    </xf>
    <xf numFmtId="0" fontId="46" fillId="0" borderId="0" xfId="0" applyNumberFormat="1" applyFont="1" applyFill="1" applyAlignment="1" applyProtection="1">
      <alignment horizontal="center"/>
    </xf>
    <xf numFmtId="14" fontId="46" fillId="0" borderId="0" xfId="0" applyNumberFormat="1" applyFont="1" applyFill="1" applyProtection="1">
      <protection locked="0"/>
    </xf>
    <xf numFmtId="0" fontId="46" fillId="0" borderId="0" xfId="0" applyNumberFormat="1" applyFont="1" applyFill="1" applyBorder="1" applyProtection="1"/>
    <xf numFmtId="0" fontId="45" fillId="0" borderId="0" xfId="0" applyFont="1" applyFill="1" applyAlignment="1" applyProtection="1">
      <alignment horizontal="center" vertical="center"/>
    </xf>
    <xf numFmtId="165" fontId="47" fillId="0" borderId="0" xfId="0" applyNumberFormat="1" applyFont="1" applyFill="1" applyAlignment="1" applyProtection="1">
      <alignment horizontal="center" vertical="center"/>
      <protection locked="0"/>
    </xf>
    <xf numFmtId="14" fontId="47" fillId="0" borderId="0" xfId="0" applyNumberFormat="1" applyFont="1" applyFill="1" applyAlignment="1" applyProtection="1">
      <alignment horizontal="center" vertical="center"/>
    </xf>
    <xf numFmtId="0" fontId="47" fillId="0" borderId="0" xfId="0" applyNumberFormat="1" applyFont="1" applyFill="1" applyAlignment="1" applyProtection="1">
      <alignment horizontal="center"/>
    </xf>
    <xf numFmtId="165" fontId="47" fillId="0" borderId="0" xfId="0" applyNumberFormat="1" applyFont="1" applyFill="1" applyAlignment="1" applyProtection="1">
      <alignment horizontal="center" vertical="center"/>
    </xf>
    <xf numFmtId="0" fontId="46" fillId="0" borderId="0" xfId="0" applyFont="1" applyFill="1" applyAlignment="1" applyProtection="1">
      <alignment wrapText="1"/>
      <protection locked="0"/>
    </xf>
    <xf numFmtId="0" fontId="46" fillId="0" borderId="0" xfId="0" applyNumberFormat="1" applyFont="1" applyFill="1" applyProtection="1"/>
    <xf numFmtId="0" fontId="27" fillId="0" borderId="0" xfId="1" applyNumberFormat="1" applyFont="1" applyFill="1" applyAlignment="1" applyProtection="1">
      <alignment horizontal="center" vertical="center"/>
    </xf>
    <xf numFmtId="14" fontId="4" fillId="0" borderId="0" xfId="0" applyNumberFormat="1" applyFont="1" applyFill="1" applyAlignment="1" applyProtection="1">
      <alignment horizontal="center" vertical="center"/>
    </xf>
    <xf numFmtId="14" fontId="4" fillId="0" borderId="0" xfId="0" applyNumberFormat="1" applyFont="1" applyFill="1" applyAlignment="1" applyProtection="1">
      <alignment horizontal="center" vertical="center"/>
      <protection locked="0"/>
    </xf>
    <xf numFmtId="14" fontId="7" fillId="0" borderId="0" xfId="1" applyNumberFormat="1" applyFont="1" applyFill="1" applyAlignment="1" applyProtection="1">
      <alignment horizontal="center" vertical="center"/>
    </xf>
    <xf numFmtId="0" fontId="6" fillId="0" borderId="0" xfId="1" applyFont="1" applyFill="1" applyAlignment="1" applyProtection="1">
      <alignment horizontal="center" vertical="center"/>
      <protection locked="0"/>
    </xf>
    <xf numFmtId="167" fontId="7" fillId="0" borderId="0" xfId="1" applyNumberFormat="1" applyFont="1" applyFill="1" applyAlignment="1" applyProtection="1">
      <alignment horizontal="center"/>
      <protection locked="0"/>
    </xf>
    <xf numFmtId="14" fontId="38" fillId="0" borderId="0" xfId="1" applyNumberFormat="1" applyFont="1" applyFill="1" applyAlignment="1" applyProtection="1">
      <alignment horizontal="center" vertical="center"/>
      <protection locked="0"/>
    </xf>
    <xf numFmtId="14" fontId="4" fillId="0" borderId="0" xfId="1" applyNumberFormat="1" applyFont="1" applyFill="1" applyBorder="1" applyAlignment="1" applyProtection="1">
      <alignment horizontal="center"/>
      <protection locked="0"/>
    </xf>
    <xf numFmtId="0" fontId="48" fillId="0" borderId="0" xfId="1" applyFont="1" applyFill="1" applyAlignment="1" applyProtection="1">
      <alignment horizontal="left"/>
    </xf>
    <xf numFmtId="0" fontId="47" fillId="0" borderId="0" xfId="1" applyFont="1" applyFill="1" applyAlignment="1" applyProtection="1">
      <alignment horizontal="center"/>
    </xf>
    <xf numFmtId="167" fontId="47" fillId="0" borderId="0" xfId="1" applyNumberFormat="1" applyFont="1" applyFill="1" applyAlignment="1" applyProtection="1">
      <alignment horizontal="center"/>
      <protection locked="0"/>
    </xf>
    <xf numFmtId="14" fontId="47" fillId="0" borderId="0" xfId="1" applyNumberFormat="1" applyFont="1" applyFill="1" applyAlignment="1" applyProtection="1">
      <alignment horizontal="center"/>
    </xf>
    <xf numFmtId="0" fontId="47" fillId="0" borderId="0" xfId="1" applyFont="1" applyFill="1" applyProtection="1">
      <protection locked="0"/>
    </xf>
    <xf numFmtId="0" fontId="47" fillId="0" borderId="0" xfId="1" applyFont="1" applyFill="1" applyAlignment="1" applyProtection="1">
      <alignment horizontal="center"/>
      <protection locked="0"/>
    </xf>
    <xf numFmtId="171" fontId="46" fillId="0" borderId="0" xfId="0" applyNumberFormat="1" applyFont="1" applyFill="1" applyProtection="1">
      <protection locked="0"/>
    </xf>
    <xf numFmtId="0" fontId="45" fillId="0" borderId="0" xfId="0" applyFont="1" applyFill="1" applyBorder="1" applyAlignment="1" applyProtection="1">
      <alignment horizontal="center" vertical="center"/>
    </xf>
    <xf numFmtId="165" fontId="47" fillId="0" borderId="0" xfId="0" applyNumberFormat="1" applyFont="1" applyFill="1" applyBorder="1" applyAlignment="1" applyProtection="1">
      <alignment horizontal="center" vertical="center"/>
      <protection locked="0"/>
    </xf>
    <xf numFmtId="171" fontId="47" fillId="0" borderId="0" xfId="0" applyNumberFormat="1" applyFont="1" applyFill="1" applyBorder="1" applyAlignment="1" applyProtection="1">
      <alignment horizontal="center" vertical="center"/>
    </xf>
    <xf numFmtId="0" fontId="47" fillId="0" borderId="0" xfId="0" applyNumberFormat="1" applyFont="1" applyFill="1" applyBorder="1" applyAlignment="1" applyProtection="1">
      <alignment horizontal="center"/>
    </xf>
    <xf numFmtId="165" fontId="47" fillId="0" borderId="0" xfId="0" applyNumberFormat="1" applyFont="1" applyFill="1" applyBorder="1" applyAlignment="1" applyProtection="1">
      <alignment horizontal="center" vertical="center"/>
    </xf>
    <xf numFmtId="0" fontId="47" fillId="0" borderId="0" xfId="0" applyFont="1" applyFill="1" applyBorder="1" applyAlignment="1" applyProtection="1">
      <alignment vertical="center" wrapText="1"/>
      <protection locked="0"/>
    </xf>
    <xf numFmtId="171" fontId="4" fillId="0" borderId="0" xfId="0" applyNumberFormat="1" applyFont="1" applyFill="1" applyAlignment="1" applyProtection="1">
      <alignment horizontal="center" vertical="center"/>
    </xf>
    <xf numFmtId="171" fontId="4" fillId="0" borderId="0" xfId="0" applyNumberFormat="1" applyFont="1" applyFill="1" applyAlignment="1" applyProtection="1">
      <alignment horizontal="center" vertical="center"/>
      <protection locked="0"/>
    </xf>
    <xf numFmtId="0" fontId="6" fillId="0" borderId="0" xfId="1" applyFont="1" applyFill="1" applyAlignment="1" applyProtection="1">
      <alignment horizontal="left"/>
    </xf>
    <xf numFmtId="0" fontId="49" fillId="0" borderId="0" xfId="1" applyFont="1" applyFill="1" applyAlignment="1" applyProtection="1">
      <alignment horizontal="left" vertical="center"/>
    </xf>
    <xf numFmtId="0" fontId="50" fillId="0" borderId="0" xfId="1" applyFont="1" applyFill="1" applyAlignment="1" applyProtection="1">
      <alignment horizontal="center" vertical="center"/>
    </xf>
    <xf numFmtId="0" fontId="50" fillId="0" borderId="0" xfId="1" applyFont="1" applyFill="1" applyAlignment="1" applyProtection="1">
      <alignment horizontal="center" vertical="center"/>
      <protection locked="0"/>
    </xf>
    <xf numFmtId="0" fontId="50" fillId="0" borderId="0" xfId="1" applyFont="1" applyFill="1" applyAlignment="1" applyProtection="1">
      <alignment horizontal="center"/>
    </xf>
    <xf numFmtId="0" fontId="50" fillId="0" borderId="0" xfId="1" applyFont="1" applyFill="1" applyAlignment="1" applyProtection="1">
      <alignment horizontal="left"/>
    </xf>
    <xf numFmtId="14" fontId="50" fillId="0" borderId="0" xfId="1" applyNumberFormat="1" applyFont="1" applyFill="1" applyAlignment="1" applyProtection="1">
      <alignment horizontal="center"/>
    </xf>
    <xf numFmtId="0" fontId="50" fillId="0" borderId="0" xfId="1" applyFont="1" applyFill="1" applyProtection="1">
      <protection locked="0"/>
    </xf>
    <xf numFmtId="167" fontId="50" fillId="0" borderId="0" xfId="1" applyNumberFormat="1" applyFont="1" applyFill="1" applyAlignment="1" applyProtection="1">
      <alignment horizontal="center"/>
      <protection locked="0"/>
    </xf>
    <xf numFmtId="167" fontId="50" fillId="0" borderId="0" xfId="1" applyNumberFormat="1" applyFont="1" applyFill="1" applyAlignment="1" applyProtection="1">
      <alignment horizontal="center" vertical="center"/>
    </xf>
    <xf numFmtId="167" fontId="50" fillId="0" borderId="0" xfId="1" applyNumberFormat="1" applyFont="1" applyFill="1" applyAlignment="1" applyProtection="1">
      <alignment horizontal="center"/>
    </xf>
    <xf numFmtId="0" fontId="49" fillId="0" borderId="0" xfId="1" applyFont="1" applyFill="1" applyAlignment="1" applyProtection="1">
      <alignment horizontal="center" vertical="center"/>
      <protection locked="0"/>
    </xf>
    <xf numFmtId="14" fontId="50" fillId="0" borderId="0" xfId="1" applyNumberFormat="1" applyFont="1" applyFill="1" applyProtection="1">
      <protection locked="0"/>
    </xf>
    <xf numFmtId="0" fontId="51" fillId="0" borderId="0" xfId="0" applyFont="1" applyFill="1" applyAlignment="1" applyProtection="1">
      <alignment horizontal="center" vertical="center"/>
    </xf>
    <xf numFmtId="0" fontId="51" fillId="0" borderId="0" xfId="0" applyFont="1" applyFill="1" applyAlignment="1" applyProtection="1">
      <alignment vertical="center"/>
    </xf>
    <xf numFmtId="0" fontId="52" fillId="0" borderId="0" xfId="0" applyNumberFormat="1" applyFont="1" applyFill="1" applyAlignment="1" applyProtection="1">
      <alignment horizontal="center"/>
    </xf>
    <xf numFmtId="165" fontId="50" fillId="0" borderId="0" xfId="0" applyNumberFormat="1" applyFont="1" applyFill="1" applyAlignment="1" applyProtection="1">
      <alignment horizontal="center" vertical="center"/>
      <protection locked="0"/>
    </xf>
    <xf numFmtId="171" fontId="50" fillId="0" borderId="0" xfId="0" applyNumberFormat="1" applyFont="1" applyFill="1" applyAlignment="1" applyProtection="1">
      <alignment horizontal="center" vertical="center"/>
    </xf>
    <xf numFmtId="0" fontId="50" fillId="0" borderId="0" xfId="0" applyNumberFormat="1" applyFont="1" applyFill="1" applyAlignment="1" applyProtection="1">
      <alignment horizontal="center"/>
    </xf>
    <xf numFmtId="165" fontId="50" fillId="0" borderId="0" xfId="0" applyNumberFormat="1" applyFont="1" applyFill="1" applyAlignment="1" applyProtection="1">
      <alignment horizontal="center" vertical="center"/>
    </xf>
    <xf numFmtId="0" fontId="52" fillId="0" borderId="0" xfId="0" applyFont="1" applyFill="1" applyAlignment="1" applyProtection="1">
      <alignment wrapText="1"/>
      <protection locked="0"/>
    </xf>
    <xf numFmtId="171" fontId="52" fillId="0" borderId="0" xfId="0" applyNumberFormat="1" applyFont="1" applyFill="1" applyProtection="1">
      <protection locked="0"/>
    </xf>
    <xf numFmtId="0" fontId="52" fillId="0" borderId="0" xfId="0" applyNumberFormat="1" applyFont="1" applyFill="1" applyProtection="1"/>
    <xf numFmtId="0" fontId="51" fillId="0" borderId="0" xfId="0" applyFont="1" applyFill="1" applyBorder="1" applyAlignment="1" applyProtection="1">
      <alignment horizontal="center" vertical="center"/>
    </xf>
    <xf numFmtId="0" fontId="49" fillId="0" borderId="0" xfId="1" applyFont="1" applyFill="1" applyAlignment="1" applyProtection="1">
      <alignment horizontal="center"/>
    </xf>
    <xf numFmtId="169" fontId="50" fillId="0" borderId="0" xfId="1" applyNumberFormat="1" applyFont="1" applyFill="1" applyAlignment="1" applyProtection="1">
      <alignment horizontal="center"/>
      <protection locked="0"/>
    </xf>
    <xf numFmtId="49" fontId="50" fillId="0" borderId="0" xfId="1" applyNumberFormat="1" applyFont="1" applyFill="1" applyAlignment="1" applyProtection="1">
      <alignment horizontal="center"/>
      <protection locked="0"/>
    </xf>
    <xf numFmtId="14" fontId="50" fillId="0" borderId="0" xfId="1" applyNumberFormat="1" applyFont="1" applyFill="1" applyAlignment="1" applyProtection="1">
      <alignment horizontal="center"/>
      <protection locked="0"/>
    </xf>
    <xf numFmtId="0" fontId="51" fillId="0" borderId="0" xfId="0" applyFont="1" applyFill="1" applyAlignment="1">
      <alignment horizontal="left" vertical="center" wrapText="1"/>
    </xf>
    <xf numFmtId="0" fontId="52" fillId="0" borderId="0" xfId="0" applyNumberFormat="1" applyFont="1" applyFill="1" applyAlignment="1">
      <alignment horizontal="center" vertical="center"/>
    </xf>
    <xf numFmtId="0" fontId="52" fillId="0" borderId="0" xfId="0" applyNumberFormat="1" applyFont="1" applyFill="1" applyAlignment="1" applyProtection="1">
      <alignment horizontal="center" vertical="center" wrapText="1"/>
    </xf>
    <xf numFmtId="166" fontId="52" fillId="0" borderId="0" xfId="0" applyNumberFormat="1" applyFont="1" applyFill="1" applyAlignment="1" applyProtection="1">
      <alignment horizontal="center" vertical="center"/>
    </xf>
    <xf numFmtId="0" fontId="52" fillId="0" borderId="0" xfId="0" applyNumberFormat="1" applyFont="1" applyFill="1" applyAlignment="1" applyProtection="1">
      <alignment horizontal="center" vertical="center"/>
    </xf>
    <xf numFmtId="171" fontId="52" fillId="0" borderId="0" xfId="0" applyNumberFormat="1" applyFont="1" applyFill="1" applyAlignment="1" applyProtection="1">
      <alignment horizontal="center" vertical="center"/>
    </xf>
    <xf numFmtId="171" fontId="52" fillId="0" borderId="0" xfId="0" applyNumberFormat="1" applyFont="1" applyFill="1" applyAlignment="1" applyProtection="1">
      <alignment horizontal="center" vertical="center"/>
      <protection locked="0"/>
    </xf>
    <xf numFmtId="14" fontId="52" fillId="0" borderId="0" xfId="0" applyNumberFormat="1" applyFont="1" applyFill="1" applyAlignment="1" applyProtection="1">
      <alignment horizontal="center" vertical="center"/>
      <protection locked="0"/>
    </xf>
    <xf numFmtId="0" fontId="52" fillId="0" borderId="0" xfId="0" applyFont="1" applyFill="1" applyAlignment="1" applyProtection="1">
      <alignment horizontal="center" vertical="center" wrapText="1"/>
      <protection locked="0"/>
    </xf>
    <xf numFmtId="0" fontId="29" fillId="5" borderId="5" xfId="0" applyFont="1" applyFill="1" applyBorder="1" applyAlignment="1">
      <alignment horizontal="center" vertical="center"/>
    </xf>
    <xf numFmtId="0" fontId="29" fillId="5" borderId="8" xfId="0" applyFont="1" applyFill="1" applyBorder="1" applyAlignment="1">
      <alignment horizontal="center" vertical="center"/>
    </xf>
    <xf numFmtId="0" fontId="29" fillId="5" borderId="6" xfId="0" applyFont="1" applyFill="1" applyBorder="1" applyAlignment="1">
      <alignment horizontal="center" vertical="center"/>
    </xf>
    <xf numFmtId="0" fontId="15" fillId="4" borderId="2" xfId="1" applyFont="1" applyFill="1" applyBorder="1" applyAlignment="1" applyProtection="1">
      <alignment horizontal="center" vertical="center" wrapText="1"/>
    </xf>
    <xf numFmtId="0" fontId="15" fillId="4" borderId="4" xfId="1" applyFont="1" applyFill="1" applyBorder="1" applyAlignment="1" applyProtection="1">
      <alignment horizontal="center" vertical="center" wrapText="1"/>
    </xf>
    <xf numFmtId="0" fontId="15" fillId="4" borderId="3" xfId="1" applyFont="1" applyFill="1" applyBorder="1" applyAlignment="1" applyProtection="1">
      <alignment horizontal="center" vertical="center" wrapText="1"/>
    </xf>
    <xf numFmtId="0" fontId="15" fillId="3" borderId="2" xfId="1" applyFont="1" applyFill="1" applyBorder="1" applyAlignment="1" applyProtection="1">
      <alignment horizontal="center" vertical="center" wrapText="1"/>
    </xf>
    <xf numFmtId="0" fontId="15" fillId="3" borderId="4" xfId="1" applyFont="1" applyFill="1" applyBorder="1" applyAlignment="1" applyProtection="1">
      <alignment horizontal="center" vertical="center" wrapText="1"/>
    </xf>
    <xf numFmtId="0" fontId="15" fillId="3" borderId="3" xfId="1" applyFont="1" applyFill="1" applyBorder="1" applyAlignment="1" applyProtection="1">
      <alignment horizontal="center" vertical="center" wrapText="1"/>
    </xf>
    <xf numFmtId="0" fontId="15" fillId="4" borderId="9" xfId="1" applyFont="1" applyFill="1" applyBorder="1" applyAlignment="1" applyProtection="1">
      <alignment horizontal="center" vertical="center" wrapText="1"/>
    </xf>
    <xf numFmtId="0" fontId="15" fillId="4" borderId="0" xfId="1" applyFont="1" applyFill="1" applyBorder="1" applyAlignment="1" applyProtection="1">
      <alignment horizontal="center" vertical="center" wrapText="1"/>
    </xf>
    <xf numFmtId="0" fontId="7" fillId="0" borderId="0" xfId="1" applyFont="1" applyFill="1"/>
    <xf numFmtId="0" fontId="15" fillId="4" borderId="9" xfId="1" applyFont="1" applyFill="1" applyBorder="1" applyAlignment="1">
      <alignment horizontal="center" vertical="center" wrapText="1"/>
    </xf>
    <xf numFmtId="0" fontId="15" fillId="4" borderId="0" xfId="1" applyFont="1" applyFill="1" applyBorder="1" applyAlignment="1">
      <alignment horizontal="center" vertical="center" wrapText="1"/>
    </xf>
    <xf numFmtId="0" fontId="50" fillId="0" borderId="0" xfId="1" applyFont="1" applyFill="1" applyAlignment="1" applyProtection="1">
      <alignment horizontal="center" vertical="center" wrapText="1"/>
      <protection locked="0"/>
    </xf>
    <xf numFmtId="0" fontId="34" fillId="0" borderId="0" xfId="1" applyFont="1" applyFill="1" applyAlignment="1" applyProtection="1">
      <alignment horizontal="center" vertical="center" wrapText="1"/>
      <protection locked="0"/>
    </xf>
    <xf numFmtId="0" fontId="42" fillId="0" borderId="0" xfId="1" applyFont="1" applyFill="1" applyAlignment="1" applyProtection="1">
      <alignment horizontal="center" vertical="center" wrapText="1"/>
      <protection locked="0"/>
    </xf>
    <xf numFmtId="17" fontId="7" fillId="0" borderId="0" xfId="1" applyNumberFormat="1" applyFont="1" applyFill="1" applyBorder="1" applyAlignment="1" applyProtection="1">
      <alignment horizontal="center" vertical="center" wrapText="1"/>
      <protection locked="0"/>
    </xf>
    <xf numFmtId="0" fontId="15" fillId="3" borderId="9" xfId="0" applyFont="1" applyFill="1" applyBorder="1" applyAlignment="1" applyProtection="1">
      <alignment horizontal="center"/>
    </xf>
    <xf numFmtId="0" fontId="15" fillId="3" borderId="0" xfId="0" applyFont="1" applyFill="1" applyBorder="1" applyAlignment="1" applyProtection="1">
      <alignment horizontal="center"/>
    </xf>
    <xf numFmtId="0" fontId="15" fillId="3" borderId="9" xfId="1" applyFont="1" applyFill="1" applyBorder="1" applyAlignment="1" applyProtection="1">
      <alignment horizontal="center" vertical="center" wrapText="1"/>
    </xf>
    <xf numFmtId="0" fontId="15" fillId="3" borderId="0" xfId="1" applyFont="1" applyFill="1" applyBorder="1" applyAlignment="1" applyProtection="1">
      <alignment horizontal="center" vertical="center" wrapText="1"/>
    </xf>
  </cellXfs>
  <cellStyles count="7">
    <cellStyle name="Currency 2" xfId="3" xr:uid="{00000000-0005-0000-0000-000000000000}"/>
    <cellStyle name="Followed Hyperlink" xfId="5" builtinId="9" customBuiltin="1"/>
    <cellStyle name="Hyperlink" xfId="4" builtinId="8" customBuiltin="1"/>
    <cellStyle name="Hyperlink 2" xfId="2" xr:uid="{00000000-0005-0000-0000-000003000000}"/>
    <cellStyle name="Hyperlink 3" xfId="6" xr:uid="{00000000-0005-0000-0000-000004000000}"/>
    <cellStyle name="Normal" xfId="0" builtinId="0"/>
    <cellStyle name="Normal 2" xfId="1" xr:uid="{00000000-0005-0000-0000-000006000000}"/>
  </cellStyles>
  <dxfs count="252">
    <dxf>
      <fill>
        <patternFill>
          <bgColor rgb="FFFF0000"/>
        </patternFill>
      </fill>
    </dxf>
    <dxf>
      <font>
        <b/>
        <i val="0"/>
      </font>
      <fill>
        <patternFill>
          <bgColor theme="7"/>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7" tint="0.39994506668294322"/>
        </patternFill>
      </fill>
    </dxf>
    <dxf>
      <font>
        <color auto="1"/>
      </font>
      <fill>
        <patternFill>
          <bgColor rgb="FF92D050"/>
        </patternFill>
      </fill>
    </dxf>
    <dxf>
      <font>
        <b/>
        <i val="0"/>
        <color theme="0"/>
      </font>
      <fill>
        <patternFill>
          <bgColor rgb="FFFF0000"/>
        </patternFill>
      </fill>
    </dxf>
    <dxf>
      <fill>
        <patternFill>
          <bgColor rgb="FF7030A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theme="7" tint="0.79998168889431442"/>
        </patternFill>
      </fill>
    </dxf>
    <dxf>
      <fill>
        <patternFill>
          <bgColor rgb="FF00B050"/>
        </patternFill>
      </fill>
    </dxf>
    <dxf>
      <fill>
        <patternFill>
          <bgColor rgb="FFFFC000"/>
        </patternFill>
      </fill>
    </dxf>
    <dxf>
      <fill>
        <patternFill>
          <bgColor rgb="FFFF66FF"/>
        </patternFill>
      </fill>
    </dxf>
    <dxf>
      <fill>
        <patternFill>
          <bgColor rgb="FF0070C0"/>
        </patternFill>
      </fill>
    </dxf>
    <dxf>
      <fill>
        <patternFill>
          <bgColor rgb="FFB482DA"/>
        </patternFill>
      </fill>
    </dxf>
    <dxf>
      <fill>
        <patternFill>
          <bgColor indexed="10"/>
        </patternFill>
      </fill>
    </dxf>
    <dxf>
      <fill>
        <patternFill>
          <bgColor indexed="57"/>
        </patternFill>
      </fill>
    </dxf>
    <dxf>
      <font>
        <b val="0"/>
        <strike val="0"/>
        <outline val="0"/>
        <shadow val="0"/>
        <u val="none"/>
        <vertAlign val="baseline"/>
        <sz val="12"/>
        <color auto="1"/>
        <name val="Garamond"/>
        <scheme val="none"/>
      </font>
      <fill>
        <patternFill patternType="none">
          <fgColor indexed="64"/>
          <bgColor auto="1"/>
        </patternFill>
      </fill>
      <alignment horizontal="center" vertical="center" textRotation="0" indent="0" justifyLastLine="0" shrinkToFit="0" readingOrder="0"/>
      <protection locked="1" hidden="0"/>
    </dxf>
    <dxf>
      <font>
        <b val="0"/>
        <strike val="0"/>
        <outline val="0"/>
        <shadow val="0"/>
        <u val="none"/>
        <vertAlign val="baseline"/>
        <sz val="12"/>
        <color auto="1"/>
        <name val="Garamond"/>
        <scheme val="none"/>
      </font>
      <fill>
        <patternFill patternType="none">
          <fgColor indexed="64"/>
          <bgColor auto="1"/>
        </patternFill>
      </fill>
      <alignment vertical="center" textRotation="0" indent="0" justifyLastLine="0" shrinkToFit="0" readingOrder="0"/>
      <protection locked="0" hidden="0"/>
    </dxf>
    <dxf>
      <font>
        <b val="0"/>
        <i val="0"/>
        <strike val="0"/>
        <condense val="0"/>
        <extend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1" hidden="0"/>
    </dxf>
    <dxf>
      <font>
        <b val="0"/>
        <strike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2"/>
        <color auto="1"/>
        <name val="Garamond"/>
        <scheme val="none"/>
      </font>
      <fill>
        <patternFill patternType="none">
          <fgColor indexed="64"/>
          <bgColor auto="1"/>
        </patternFill>
      </fill>
      <alignment horizontal="left" vertical="center" textRotation="0" wrapText="1" indent="0" justifyLastLine="0" shrinkToFit="0" readingOrder="0"/>
      <protection locked="1" hidden="0"/>
    </dxf>
    <dxf>
      <font>
        <b/>
        <i val="0"/>
        <strike val="0"/>
        <condense val="0"/>
        <extend val="0"/>
        <outline val="0"/>
        <shadow val="0"/>
        <u val="none"/>
        <vertAlign val="baseline"/>
        <sz val="12"/>
        <color auto="1"/>
        <name val="Garamond"/>
        <scheme val="none"/>
      </font>
      <fill>
        <patternFill patternType="none">
          <fgColor indexed="64"/>
          <bgColor auto="1"/>
        </patternFill>
      </fill>
      <alignment horizontal="left" vertical="center" textRotation="0" wrapText="0" indent="0" justifyLastLine="0" shrinkToFit="0" readingOrder="0"/>
      <protection locked="1" hidden="0"/>
    </dxf>
    <dxf>
      <fill>
        <patternFill>
          <bgColor rgb="FFFFFF00"/>
        </patternFill>
      </fill>
    </dxf>
    <dxf>
      <fill>
        <patternFill>
          <bgColor rgb="FFFF0000"/>
        </patternFill>
      </fill>
    </dxf>
    <dxf>
      <fill>
        <patternFill>
          <bgColor rgb="FF92D050"/>
        </patternFill>
      </fill>
    </dxf>
    <dxf>
      <fill>
        <patternFill>
          <bgColor theme="7" tint="0.79998168889431442"/>
        </patternFill>
      </fill>
    </dxf>
    <dxf>
      <fill>
        <patternFill>
          <bgColor rgb="FF00B050"/>
        </patternFill>
      </fill>
    </dxf>
    <dxf>
      <fill>
        <patternFill>
          <bgColor rgb="FFFFC000"/>
        </patternFill>
      </fill>
    </dxf>
    <dxf>
      <fill>
        <patternFill>
          <bgColor rgb="FFFF66FF"/>
        </patternFill>
      </fill>
    </dxf>
    <dxf>
      <fill>
        <patternFill>
          <bgColor rgb="FF0070C0"/>
        </patternFill>
      </fill>
    </dxf>
    <dxf>
      <fill>
        <patternFill>
          <bgColor rgb="FFB482DA"/>
        </patternFill>
      </fill>
    </dxf>
    <dxf>
      <fill>
        <patternFill>
          <bgColor indexed="10"/>
        </patternFill>
      </fill>
    </dxf>
    <dxf>
      <fill>
        <patternFill>
          <bgColor indexed="57"/>
        </patternFill>
      </fill>
    </dxf>
    <dxf>
      <font>
        <b val="0"/>
        <i val="0"/>
        <strike val="0"/>
        <condense val="0"/>
        <extend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0" hidden="0"/>
    </dxf>
    <dxf>
      <font>
        <b val="0"/>
        <strike val="0"/>
        <outline val="0"/>
        <shadow val="0"/>
        <u val="none"/>
        <vertAlign val="baseline"/>
        <sz val="12"/>
        <color auto="1"/>
        <name val="Garamond"/>
        <scheme val="none"/>
      </font>
      <fill>
        <patternFill patternType="none">
          <fgColor indexed="64"/>
          <bgColor auto="1"/>
        </patternFill>
      </fill>
      <protection locked="0" hidden="0"/>
    </dxf>
    <dxf>
      <font>
        <b val="0"/>
        <i val="0"/>
        <strike val="0"/>
        <condense val="0"/>
        <extend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9" formatCode="d/m/yyyy"/>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67" formatCode="0.##\ &quot;Lt&quot;;;\ &quot;&quo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i val="0"/>
        <strike val="0"/>
        <outline val="0"/>
        <shadow val="0"/>
        <u val="none"/>
        <vertAlign val="baseline"/>
        <sz val="12"/>
        <color auto="1"/>
        <name val="Garamond"/>
        <scheme val="none"/>
      </font>
      <fill>
        <patternFill patternType="none">
          <fgColor indexed="64"/>
          <bgColor auto="1"/>
        </patternFill>
      </fill>
      <alignment horizontal="left" textRotation="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protection locked="1" hidden="0"/>
    </dxf>
    <dxf>
      <font>
        <strike val="0"/>
        <outline val="0"/>
        <shadow val="0"/>
        <u val="none"/>
        <vertAlign val="baseline"/>
        <sz val="14"/>
        <color theme="0"/>
        <name val="Garamond"/>
        <scheme val="none"/>
      </font>
      <fill>
        <patternFill patternType="none">
          <fgColor indexed="64"/>
          <bgColor auto="1"/>
        </patternFill>
      </fill>
      <alignment horizontal="center" vertical="center" textRotation="0" indent="0" justifyLastLine="0" shrinkToFit="0" readingOrder="0"/>
      <protection locked="1" hidden="0"/>
    </dxf>
    <dxf>
      <font>
        <b val="0"/>
        <strike val="0"/>
        <outline val="0"/>
        <shadow val="0"/>
        <u val="none"/>
        <vertAlign val="baseline"/>
        <sz val="12"/>
        <color auto="1"/>
        <name val="Garamond"/>
        <scheme val="none"/>
      </font>
      <fill>
        <patternFill patternType="none">
          <fgColor indexed="64"/>
          <bgColor auto="1"/>
        </patternFill>
      </fill>
      <protection locked="0" hidden="0"/>
    </dxf>
    <dxf>
      <font>
        <b val="0"/>
        <strike val="0"/>
        <outline val="0"/>
        <shadow val="0"/>
        <u val="none"/>
        <vertAlign val="baseline"/>
        <sz val="12"/>
        <color auto="1"/>
        <name val="Garamond"/>
        <scheme val="none"/>
      </font>
      <fill>
        <patternFill patternType="none">
          <fgColor indexed="64"/>
          <bgColor auto="1"/>
        </patternFill>
      </fill>
      <protection locked="0" hidden="0"/>
    </dxf>
    <dxf>
      <font>
        <b val="0"/>
        <strike val="0"/>
        <outline val="0"/>
        <shadow val="0"/>
        <u val="none"/>
        <vertAlign val="baseline"/>
        <sz val="12"/>
        <color auto="1"/>
        <name val="Garamond"/>
        <scheme val="none"/>
      </font>
      <numFmt numFmtId="171" formatCode="dd/mm/yyyy"/>
      <fill>
        <patternFill patternType="none">
          <fgColor indexed="64"/>
          <bgColor auto="1"/>
        </patternFill>
      </fill>
      <alignment horizontal="center" textRotation="0" indent="0" justifyLastLine="0" shrinkToFit="0" readingOrder="0"/>
      <protection locked="1" hidden="0"/>
    </dxf>
    <dxf>
      <font>
        <b val="0"/>
        <strike val="0"/>
        <outline val="0"/>
        <shadow val="0"/>
        <u val="none"/>
        <vertAlign val="baseline"/>
        <sz val="12"/>
        <color auto="1"/>
        <name val="Garamond"/>
        <scheme val="none"/>
      </font>
      <numFmt numFmtId="170" formatCode="0.#\ &quot;gr&quot;;;\ &quot;&quo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70" formatCode="0.#\ &quot;gr&quot;;;\ &quot;&quo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71" formatCode="dd/mm/yyyy"/>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70" formatCode="0.#\ &quot;gr&quot;;;\ &quot;&quo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2"/>
        <color auto="1"/>
        <name val="Garamond"/>
        <scheme val="none"/>
      </font>
      <fill>
        <patternFill patternType="none">
          <fgColor indexed="64"/>
          <bgColor auto="1"/>
        </patternFill>
      </fill>
      <alignment horizontal="center" textRotation="0" wrapText="0" indent="0" justifyLastLine="0" shrinkToFit="0" readingOrder="0"/>
      <protection locked="1" hidden="0"/>
    </dxf>
    <dxf>
      <font>
        <b/>
        <strike val="0"/>
        <outline val="0"/>
        <shadow val="0"/>
        <u val="none"/>
        <vertAlign val="baseline"/>
        <sz val="12"/>
        <color auto="1"/>
        <name val="Garamond"/>
        <scheme val="none"/>
      </font>
      <fill>
        <patternFill patternType="none">
          <fgColor indexed="64"/>
          <bgColor auto="1"/>
        </patternFill>
      </fill>
      <alignment horizontal="left" vertical="center" textRotation="0" wrapText="1" indent="0" justifyLastLine="0" shrinkToFit="0" readingOrder="0"/>
      <protection locked="1" hidden="0"/>
    </dxf>
    <dxf>
      <font>
        <b/>
        <strike val="0"/>
        <outline val="0"/>
        <shadow val="0"/>
        <u val="none"/>
        <vertAlign val="baseline"/>
        <sz val="12"/>
        <color auto="1"/>
        <name val="Garamond"/>
        <scheme val="none"/>
      </font>
      <fill>
        <patternFill patternType="none">
          <fgColor indexed="64"/>
          <bgColor auto="1"/>
        </patternFill>
      </fill>
      <protection locked="1" hidden="0"/>
    </dxf>
    <dxf>
      <font>
        <b val="0"/>
        <strike val="0"/>
        <outline val="0"/>
        <shadow val="0"/>
        <u val="none"/>
        <vertAlign val="baseline"/>
        <sz val="12"/>
        <color auto="1"/>
        <name val="Garamond"/>
        <scheme val="none"/>
      </font>
      <fill>
        <patternFill patternType="none">
          <fgColor indexed="64"/>
          <bgColor auto="1"/>
        </patternFill>
      </fill>
      <protection locked="1" hidden="0"/>
    </dxf>
    <dxf>
      <font>
        <strike val="0"/>
        <outline val="0"/>
        <shadow val="0"/>
        <u val="none"/>
        <vertAlign val="baseline"/>
        <sz val="14"/>
        <color theme="0"/>
        <name val="Garamond"/>
        <scheme val="none"/>
      </font>
      <fill>
        <patternFill patternType="none">
          <fgColor indexed="64"/>
          <bgColor auto="1"/>
        </patternFill>
      </fill>
      <border diagonalUp="0" diagonalDown="0">
        <left style="thin">
          <color indexed="64"/>
        </left>
        <right style="thin">
          <color indexed="64"/>
        </right>
        <top/>
        <bottom/>
      </border>
      <protection locked="1" hidden="0"/>
    </dxf>
    <dxf>
      <font>
        <strike val="0"/>
        <outline val="0"/>
        <shadow val="0"/>
        <u val="none"/>
        <vertAlign val="baseline"/>
        <sz val="11"/>
        <name val="Garamond"/>
        <scheme val="none"/>
      </font>
      <fill>
        <patternFill patternType="none">
          <bgColor auto="1"/>
        </patternFill>
      </fill>
    </dxf>
    <dxf>
      <font>
        <strike val="0"/>
        <outline val="0"/>
        <shadow val="0"/>
        <u val="none"/>
        <vertAlign val="baseline"/>
        <sz val="12"/>
        <name val="Garamond"/>
        <scheme val="none"/>
      </font>
      <numFmt numFmtId="0" formatCode="General"/>
      <fill>
        <patternFill patternType="none">
          <fgColor indexed="64"/>
          <bgColor indexed="65"/>
        </patternFill>
      </fill>
      <protection locked="1" hidden="0"/>
    </dxf>
    <dxf>
      <font>
        <strike val="0"/>
        <outline val="0"/>
        <shadow val="0"/>
        <u val="none"/>
        <vertAlign val="baseline"/>
        <sz val="12"/>
        <name val="Garamond"/>
        <scheme val="none"/>
      </font>
      <numFmt numFmtId="171" formatCode="dd/mm/yyyy"/>
      <fill>
        <patternFill patternType="none">
          <fgColor indexed="64"/>
          <bgColor auto="1"/>
        </patternFill>
      </fill>
      <protection locked="0" hidden="0"/>
    </dxf>
    <dxf>
      <font>
        <b val="0"/>
        <strike val="0"/>
        <outline val="0"/>
        <shadow val="0"/>
        <u val="none"/>
        <vertAlign val="baseline"/>
        <sz val="12"/>
        <name val="Garamond"/>
        <scheme val="none"/>
      </font>
      <fill>
        <patternFill patternType="none">
          <fgColor indexed="64"/>
          <bgColor auto="1"/>
        </patternFill>
      </fill>
      <alignment textRotation="0" wrapText="1"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2"/>
        <color auto="1"/>
        <name val="Garamond"/>
        <scheme val="none"/>
      </font>
      <numFmt numFmtId="171" formatCode="dd/mm/yyyy"/>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Arial"/>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Garamond"/>
        <scheme val="none"/>
      </font>
      <numFmt numFmtId="165" formatCode="#\ &quot;gr&quot;;;\ &quot;&quo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Arial"/>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Garamond"/>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theme="1"/>
        <name val="Arial"/>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Garamond"/>
        <scheme val="none"/>
      </font>
      <numFmt numFmtId="171" formatCode="dd/mm/yyyy"/>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Arial"/>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Garamond"/>
        <scheme val="none"/>
      </font>
      <numFmt numFmtId="165" formatCode="#\ &quot;gr&quot;;;\ &quot;&quo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Garamond"/>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2"/>
        <color theme="1"/>
        <name val="Garamond"/>
        <scheme val="none"/>
      </font>
      <fill>
        <patternFill patternType="none">
          <fgColor indexed="64"/>
          <bgColor indexed="65"/>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2"/>
        <color theme="1"/>
        <name val="Garamond"/>
        <scheme val="none"/>
      </font>
      <fill>
        <patternFill patternType="none">
          <fgColor indexed="64"/>
          <bgColor auto="1"/>
        </patternFill>
      </fill>
      <alignment horizontal="center" vertical="center" textRotation="0" wrapText="0" indent="0" justifyLastLine="0" shrinkToFit="0" readingOrder="0"/>
      <protection locked="1" hidden="0"/>
    </dxf>
    <dxf>
      <font>
        <strike val="0"/>
        <outline val="0"/>
        <shadow val="0"/>
        <u val="none"/>
        <vertAlign val="baseline"/>
        <sz val="11"/>
        <name val="Garamond"/>
        <scheme val="none"/>
      </font>
      <fill>
        <patternFill patternType="none">
          <bgColor auto="1"/>
        </patternFill>
      </fill>
      <protection locked="1" hidden="0"/>
    </dxf>
    <dxf>
      <font>
        <strike val="0"/>
        <outline val="0"/>
        <shadow val="0"/>
        <u val="none"/>
        <vertAlign val="baseline"/>
        <sz val="12"/>
        <name val="Garamond"/>
        <scheme val="none"/>
      </font>
      <fill>
        <patternFill patternType="none">
          <fgColor indexed="64"/>
          <bgColor auto="1"/>
        </patternFill>
      </fill>
      <protection locked="1" hidden="0"/>
    </dxf>
    <dxf>
      <font>
        <b/>
        <i val="0"/>
        <strike val="0"/>
        <condense val="0"/>
        <extend val="0"/>
        <outline val="0"/>
        <shadow val="0"/>
        <u val="none"/>
        <vertAlign val="baseline"/>
        <sz val="14"/>
        <color theme="0"/>
        <name val="Garamond"/>
        <scheme val="none"/>
      </font>
      <fill>
        <patternFill patternType="none">
          <fgColor indexed="64"/>
          <bgColor auto="1"/>
        </patternFill>
      </fill>
      <alignment horizontal="center" vertical="center"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protection locked="0" hidden="0"/>
    </dxf>
    <dxf>
      <font>
        <strike val="0"/>
        <outline val="0"/>
        <shadow val="0"/>
        <u val="none"/>
        <vertAlign val="baseline"/>
        <sz val="12"/>
        <color auto="1"/>
        <name val="Garamond"/>
        <scheme val="none"/>
      </font>
      <fill>
        <patternFill patternType="none">
          <fgColor indexed="64"/>
          <bgColor auto="1"/>
        </patternFill>
      </fill>
      <protection locked="0" hidden="0"/>
    </dxf>
    <dxf>
      <font>
        <strike val="0"/>
        <outline val="0"/>
        <shadow val="0"/>
        <u val="none"/>
        <vertAlign val="baseline"/>
        <sz val="12"/>
        <color auto="1"/>
        <name val="Garamond"/>
        <scheme val="none"/>
      </font>
      <fill>
        <patternFill patternType="none">
          <fgColor indexed="64"/>
          <bgColor auto="1"/>
        </patternFill>
      </fill>
      <alignment horizontal="center" textRotation="0" wrapText="0" indent="0" justifyLastLine="0" shrinkToFit="0" readingOrder="0"/>
      <protection locked="1" hidden="0"/>
    </dxf>
    <dxf>
      <font>
        <strike val="0"/>
        <outline val="0"/>
        <shadow val="0"/>
        <u val="none"/>
        <vertAlign val="baseline"/>
        <sz val="12"/>
        <color auto="1"/>
        <name val="Garamond"/>
        <scheme val="none"/>
      </font>
      <numFmt numFmtId="165" formatCode="#\ &quot;gr&quot;;;\ &quot;&quo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70" formatCode="0.#\ &quot;gr&quot;;;\ &quot;&quo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70" formatCode="0.#\ &quot;gr&quot;;;\ &quot;&quo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2"/>
        <color auto="1"/>
        <name val="Garamond"/>
        <scheme val="none"/>
      </font>
      <fill>
        <patternFill patternType="none">
          <fgColor indexed="64"/>
          <bgColor auto="1"/>
        </patternFill>
      </fill>
      <protection locked="1" hidden="0"/>
    </dxf>
    <dxf>
      <font>
        <strike val="0"/>
        <outline val="0"/>
        <shadow val="0"/>
        <u val="none"/>
        <vertAlign val="baseline"/>
        <sz val="12"/>
        <color auto="1"/>
        <name val="Garamond"/>
        <scheme val="none"/>
      </font>
      <fill>
        <patternFill patternType="none">
          <fgColor indexed="64"/>
          <bgColor auto="1"/>
        </patternFill>
      </fill>
      <alignment horizontal="left" vertical="center"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protection locked="1" hidden="0"/>
    </dxf>
    <dxf>
      <font>
        <strike val="0"/>
        <outline val="0"/>
        <shadow val="0"/>
        <u val="none"/>
        <vertAlign val="baseline"/>
        <sz val="12"/>
        <color auto="1"/>
        <name val="Garamond"/>
        <scheme val="none"/>
      </font>
      <fill>
        <patternFill patternType="none">
          <fgColor indexed="64"/>
          <bgColor auto="1"/>
        </patternFill>
      </fill>
      <protection locked="1" hidden="0"/>
    </dxf>
    <dxf>
      <font>
        <b/>
        <i val="0"/>
        <strike val="0"/>
        <condense val="0"/>
        <extend val="0"/>
        <outline val="0"/>
        <shadow val="0"/>
        <u val="none"/>
        <vertAlign val="baseline"/>
        <sz val="14"/>
        <color theme="0"/>
        <name val="Garamond"/>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2"/>
        <color auto="1"/>
        <name val="Garamond"/>
        <scheme val="none"/>
      </font>
      <fill>
        <patternFill patternType="none">
          <fgColor indexed="64"/>
          <bgColor auto="1"/>
        </patternFill>
      </fill>
      <protection locked="0" hidden="0"/>
    </dxf>
    <dxf>
      <font>
        <strike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2"/>
        <color auto="1"/>
        <name val="Garamond"/>
        <scheme val="none"/>
      </font>
      <numFmt numFmtId="19" formatCode="d/m/yyyy"/>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9" formatCode="d/m/yyyy"/>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1" hidden="0"/>
    </dxf>
    <dxf>
      <font>
        <b/>
        <strike val="0"/>
        <outline val="0"/>
        <shadow val="0"/>
        <u val="none"/>
        <vertAlign val="baseline"/>
        <sz val="12"/>
        <color auto="1"/>
        <name val="Garamond"/>
        <scheme val="none"/>
      </font>
      <fill>
        <patternFill patternType="none">
          <fgColor indexed="64"/>
          <bgColor auto="1"/>
        </patternFill>
      </fill>
      <alignment horizontal="left" vertical="center"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protection locked="1" hidden="0"/>
    </dxf>
    <dxf>
      <font>
        <strike val="0"/>
        <outline val="0"/>
        <shadow val="0"/>
        <u val="none"/>
        <vertAlign val="baseline"/>
        <sz val="14"/>
        <color theme="0"/>
        <name val="Garamond"/>
        <scheme val="none"/>
      </font>
      <fill>
        <patternFill patternType="solid">
          <fgColor indexed="64"/>
          <bgColor rgb="FF0070C0"/>
        </patternFill>
      </fill>
      <alignment horizontal="center" vertical="center" textRotation="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2"/>
        <color theme="1"/>
        <name val="Garamond"/>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strike val="0"/>
        <outline val="0"/>
        <shadow val="0"/>
        <u val="none"/>
        <vertAlign val="baseline"/>
        <sz val="12"/>
        <color auto="1"/>
        <name val="Garamond"/>
        <scheme val="none"/>
      </font>
      <numFmt numFmtId="168" formatCode="#\ &quot;Un&quot;;;\ &quot;&quo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2"/>
        <color theme="1"/>
        <name val="Garamond"/>
        <scheme val="none"/>
      </font>
      <numFmt numFmtId="19" formatCode="d/m/yyyy"/>
      <fill>
        <patternFill patternType="none">
          <fgColor indexed="64"/>
          <bgColor indexed="65"/>
        </patternFill>
      </fill>
      <alignment horizontal="center" vertical="bottom" textRotation="0" wrapText="0" indent="0" justifyLastLine="0" shrinkToFit="0" readingOrder="0"/>
      <protection locked="0" hidden="0"/>
    </dxf>
    <dxf>
      <font>
        <b val="0"/>
        <strike val="0"/>
        <outline val="0"/>
        <shadow val="0"/>
        <u val="none"/>
        <vertAlign val="baseline"/>
        <sz val="12"/>
        <name val="Garamond"/>
        <scheme val="none"/>
      </font>
      <numFmt numFmtId="168" formatCode="#\ &quot;Un&quot;;;\ &quot;&quot;"/>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68" formatCode="#\ &quot;Un&quot;;;\ &quot;&quo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Garamond"/>
        <scheme val="none"/>
      </font>
      <numFmt numFmtId="168" formatCode="#\ &quot;Un&quot;;;\ &quot;&quot;"/>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theme="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2"/>
        <color theme="1"/>
        <name val="Garamond"/>
        <scheme val="none"/>
      </font>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2"/>
        <color theme="1"/>
        <name val="Garamond"/>
        <scheme val="none"/>
      </font>
      <fill>
        <patternFill patternType="none">
          <fgColor indexed="64"/>
          <bgColor auto="1"/>
        </patternFill>
      </fill>
      <alignment horizontal="center" vertical="center" textRotation="0" wrapText="0" indent="0" justifyLastLine="0" shrinkToFit="0" readingOrder="0"/>
      <protection locked="1" hidden="0"/>
    </dxf>
    <dxf>
      <font>
        <b val="0"/>
        <strike val="0"/>
        <outline val="0"/>
        <shadow val="0"/>
        <u val="none"/>
        <vertAlign val="baseline"/>
        <sz val="12"/>
        <name val="Garamond"/>
        <scheme val="none"/>
      </font>
      <fill>
        <patternFill patternType="none">
          <fgColor indexed="64"/>
          <bgColor auto="1"/>
        </patternFill>
      </fill>
      <protection locked="1" hidden="0"/>
    </dxf>
    <dxf>
      <font>
        <b/>
        <i val="0"/>
        <strike val="0"/>
        <condense val="0"/>
        <extend val="0"/>
        <outline val="0"/>
        <shadow val="0"/>
        <u val="none"/>
        <vertAlign val="baseline"/>
        <sz val="14"/>
        <color theme="0"/>
        <name val="Garamond"/>
        <scheme val="none"/>
      </font>
      <fill>
        <patternFill patternType="solid">
          <fgColor indexed="64"/>
          <bgColor rgb="FF0070C0"/>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2"/>
        <color auto="1"/>
        <name val="Garamond"/>
        <scheme val="none"/>
      </font>
      <fill>
        <patternFill patternType="none">
          <fgColor indexed="64"/>
          <bgColor auto="1"/>
        </patternFill>
      </fill>
      <protection locked="0" hidden="0"/>
    </dxf>
    <dxf>
      <font>
        <b val="0"/>
        <i val="0"/>
        <strike val="0"/>
        <condense val="0"/>
        <extend val="0"/>
        <outline val="0"/>
        <shadow val="0"/>
        <u val="none"/>
        <vertAlign val="baseline"/>
        <sz val="12"/>
        <color auto="1"/>
        <name val="Garamond"/>
        <scheme val="none"/>
      </font>
      <numFmt numFmtId="19" formatCode="d/m/yyyy"/>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Garamond"/>
        <scheme val="none"/>
      </font>
      <numFmt numFmtId="30" formatCode="@"/>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2"/>
        <color auto="1"/>
        <name val="Garamond"/>
        <scheme val="none"/>
      </font>
      <numFmt numFmtId="30" formatCode="@"/>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Garamond"/>
        <scheme val="none"/>
      </font>
      <numFmt numFmtId="169" formatCode="0.#\ &quot;Un&quot;;;\ &quot;&quo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protection locked="1" hidden="0"/>
    </dxf>
    <dxf>
      <font>
        <strike val="0"/>
        <outline val="0"/>
        <shadow val="0"/>
        <u val="none"/>
        <vertAlign val="baseline"/>
        <sz val="14"/>
        <color theme="0"/>
        <name val="Garamond"/>
        <scheme val="none"/>
      </font>
      <fill>
        <patternFill patternType="none">
          <fgColor indexed="64"/>
          <bgColor auto="1"/>
        </patternFill>
      </fill>
      <alignment horizontal="center" textRotation="0" indent="0" justifyLastLine="0" shrinkToFit="0" readingOrder="0"/>
      <protection locked="1" hidden="0"/>
    </dxf>
    <dxf>
      <font>
        <b val="0"/>
        <i val="0"/>
        <strike val="0"/>
        <condense val="0"/>
        <extend val="0"/>
        <outline val="0"/>
        <shadow val="0"/>
        <u val="none"/>
        <vertAlign val="baseline"/>
        <sz val="12"/>
        <color auto="1"/>
        <name val="Garamond"/>
        <scheme val="none"/>
      </font>
      <numFmt numFmtId="19" formatCode="d/m/yyyy"/>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2"/>
        <color auto="1"/>
        <name val="Garamond"/>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71" formatCode="dd/mm/yyyy"/>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left" vertical="bottom"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Garamond"/>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2"/>
        <color auto="1"/>
        <name val="Garamond"/>
        <scheme val="none"/>
      </font>
      <numFmt numFmtId="19" formatCode="d/m/yyyy"/>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left" textRotation="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4"/>
        <color theme="0"/>
        <name val="Garamond"/>
        <scheme val="none"/>
      </font>
      <fill>
        <patternFill patternType="none">
          <fgColor indexed="64"/>
          <bgColor auto="1"/>
        </patternFill>
      </fill>
      <alignment horizontal="center" vertical="center" textRotation="0" wrapText="1" indent="0" justifyLastLine="0" shrinkToFit="0" readingOrder="0"/>
      <protection locked="1" hidden="0"/>
    </dxf>
    <dxf>
      <font>
        <strike val="0"/>
        <outline val="0"/>
        <shadow val="0"/>
        <u val="none"/>
        <sz val="12"/>
        <color auto="1"/>
        <name val="Garamond"/>
        <scheme val="none"/>
      </font>
      <fill>
        <patternFill patternType="none">
          <fgColor indexed="64"/>
          <bgColor auto="1"/>
        </patternFill>
      </fill>
      <alignment horizontal="center" vertical="bottom" textRotation="0" wrapText="0" indent="0" justifyLastLine="0" shrinkToFit="0" readingOrder="0"/>
      <protection locked="0" hidden="0"/>
    </dxf>
    <dxf>
      <font>
        <strike val="0"/>
        <outline val="0"/>
        <shadow val="0"/>
        <u val="none"/>
        <sz val="12"/>
        <color auto="1"/>
        <name val="Garamond"/>
        <scheme val="none"/>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sz val="12"/>
        <color auto="1"/>
        <name val="Garamond"/>
        <scheme val="none"/>
      </font>
      <numFmt numFmtId="19" formatCode="d/m/yyyy"/>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strike val="0"/>
        <outline val="0"/>
        <shadow val="0"/>
        <u val="no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4"/>
        <color theme="0"/>
        <name val="Garamond"/>
        <scheme val="none"/>
      </font>
      <fill>
        <patternFill patternType="solid">
          <fgColor indexed="64"/>
          <bgColor rgb="FF0070C0"/>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
      <font>
        <b val="0"/>
        <strike val="0"/>
        <outline val="0"/>
        <shadow val="0"/>
        <u val="none"/>
        <vertAlign val="baseline"/>
        <sz val="12"/>
        <color auto="1"/>
        <name val="Garamond"/>
        <scheme val="none"/>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2"/>
        <color auto="1"/>
        <name val="Garamond"/>
        <scheme val="none"/>
      </font>
      <fill>
        <patternFill patternType="none">
          <fgColor indexed="64"/>
          <bgColor indexed="65"/>
        </patternFill>
      </fill>
      <alignment horizontal="left" vertical="center" textRotation="0" wrapText="0" indent="0" justifyLastLine="0" shrinkToFit="0" readingOrder="0"/>
      <protection locked="0" hidden="0"/>
    </dxf>
    <dxf>
      <font>
        <b val="0"/>
        <strike val="0"/>
        <outline val="0"/>
        <shadow val="0"/>
        <u val="none"/>
        <vertAlign val="baseline"/>
        <sz val="12"/>
        <color auto="1"/>
        <name val="Garamond"/>
        <scheme val="none"/>
      </font>
      <fill>
        <patternFill patternType="none">
          <fgColor indexed="64"/>
          <bgColor auto="1"/>
        </patternFill>
      </fill>
      <alignment horizontal="left" vertical="center" textRotation="0" indent="0" justifyLastLine="0" shrinkToFit="0" readingOrder="0"/>
      <protection locked="0" hidden="0"/>
    </dxf>
    <dxf>
      <font>
        <strike val="0"/>
        <outline val="0"/>
        <shadow val="0"/>
        <u val="none"/>
        <vertAlign val="baseline"/>
        <sz val="12"/>
        <color auto="1"/>
        <name val="Garamond"/>
        <scheme val="none"/>
      </font>
      <fill>
        <patternFill patternType="none">
          <fgColor indexed="64"/>
          <bgColor auto="1"/>
        </patternFill>
      </fill>
      <alignment vertical="center" textRotation="0" indent="0" justifyLastLine="0" shrinkToFit="0" readingOrder="0"/>
      <protection locked="1" hidden="0"/>
    </dxf>
    <dxf>
      <font>
        <strike val="0"/>
        <outline val="0"/>
        <shadow val="0"/>
        <u val="none"/>
        <vertAlign val="baseline"/>
        <sz val="14"/>
        <color theme="0"/>
        <name val="Garamond"/>
        <scheme val="none"/>
      </font>
      <fill>
        <patternFill patternType="none">
          <fgColor indexed="64"/>
          <bgColor auto="1"/>
        </patternFill>
      </fill>
      <alignment vertical="center" textRotation="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Garamond"/>
        <scheme val="none"/>
      </font>
      <fill>
        <patternFill patternType="none">
          <fgColor indexed="64"/>
          <bgColor indexed="65"/>
        </patternFill>
      </fill>
      <alignment horizontal="left" vertical="bottom" textRotation="0" wrapText="0" indent="0" justifyLastLine="0" shrinkToFit="0" readingOrder="0"/>
      <protection locked="1" hidden="0"/>
    </dxf>
    <dxf>
      <font>
        <b/>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2"/>
        <color auto="1"/>
        <name val="Garamond"/>
        <scheme val="none"/>
      </font>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1" hidden="0"/>
    </dxf>
    <dxf>
      <font>
        <strike val="0"/>
        <outline val="0"/>
        <shadow val="0"/>
        <u val="none"/>
        <vertAlign val="baseline"/>
        <sz val="14"/>
        <color theme="0"/>
        <name val="Garamond"/>
        <scheme val="none"/>
      </font>
      <fill>
        <patternFill patternType="none">
          <fgColor indexed="64"/>
          <bgColor auto="1"/>
        </patternFill>
      </fill>
      <alignment horizontal="center" vertical="center" textRotation="0" indent="0" justifyLastLine="0" shrinkToFit="0" readingOrder="0"/>
      <protection locked="1" hidden="0"/>
    </dxf>
    <dxf>
      <font>
        <strike val="0"/>
        <outline val="0"/>
        <shadow val="0"/>
        <u val="none"/>
        <vertAlign val="baseline"/>
        <sz val="12"/>
        <color auto="1"/>
        <name val="Garamond"/>
        <scheme val="none"/>
      </font>
      <numFmt numFmtId="19" formatCode="d/m/yyyy"/>
      <fill>
        <patternFill patternType="none">
          <fgColor indexed="64"/>
          <bgColor auto="1"/>
        </patternFill>
      </fill>
      <protection locked="0" hidden="0"/>
    </dxf>
    <dxf>
      <font>
        <b/>
        <i val="0"/>
        <strike val="0"/>
        <condense val="0"/>
        <extend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2"/>
        <color auto="1"/>
        <name val="Garamond"/>
        <scheme val="none"/>
      </font>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67" formatCode="0.##\ &quot;Lt&quot;;;\ &quot;&quot;"/>
      <fill>
        <patternFill patternType="none">
          <fgColor indexed="64"/>
          <bgColor indexed="65"/>
        </patternFill>
      </fill>
      <alignment horizontal="center" vertical="bottom" textRotation="0" wrapText="0" indent="0" justifyLastLine="0" shrinkToFit="0" readingOrder="0"/>
      <protection locked="1" hidden="0"/>
    </dxf>
    <dxf>
      <font>
        <strike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67" formatCode="0.##\ &quot;Lt&quot;;;\ &quot;&quo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67" formatCode="0.##\ &quot;Lt&quot;;;\ &quot;&quo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2"/>
        <color auto="1"/>
        <name val="Garamond"/>
        <scheme val="none"/>
      </font>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2"/>
        <color auto="1"/>
        <name val="Garamond"/>
        <scheme val="none"/>
      </font>
      <fill>
        <patternFill patternType="none">
          <fgColor indexed="64"/>
          <bgColor auto="1"/>
        </patternFill>
      </fill>
      <alignment horizontal="left" vertical="center" textRotation="0" wrapText="0" indent="0" justifyLastLine="0" shrinkToFit="0" readingOrder="0"/>
      <protection locked="1" hidden="0"/>
    </dxf>
    <dxf>
      <font>
        <strike val="0"/>
        <outline val="0"/>
        <shadow val="0"/>
        <u val="none"/>
        <vertAlign val="baseline"/>
        <sz val="12"/>
        <color auto="1"/>
        <name val="Garamond"/>
        <scheme val="none"/>
      </font>
      <numFmt numFmtId="19" formatCode="d/m/yyyy"/>
      <fill>
        <patternFill patternType="none">
          <fgColor indexed="64"/>
          <bgColor auto="1"/>
        </patternFill>
      </fill>
      <protection locked="1" hidden="0"/>
    </dxf>
    <dxf>
      <font>
        <b/>
        <i val="0"/>
        <strike val="0"/>
        <condense val="0"/>
        <extend val="0"/>
        <outline val="0"/>
        <shadow val="0"/>
        <u val="none"/>
        <vertAlign val="baseline"/>
        <sz val="14"/>
        <color theme="0"/>
        <name val="Garamond"/>
        <scheme val="none"/>
      </font>
      <numFmt numFmtId="19" formatCode="d/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i val="0"/>
        <strike val="0"/>
        <outline val="0"/>
        <shadow val="0"/>
        <u val="none"/>
        <vertAlign val="baseline"/>
        <sz val="12"/>
        <name val="Garamond"/>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Garamond"/>
        <scheme val="none"/>
      </font>
      <numFmt numFmtId="19" formatCode="d/m/yyyy"/>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Garamond"/>
        <scheme val="none"/>
      </font>
      <numFmt numFmtId="171" formatCode="dd/mm/yyyy"/>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i val="0"/>
        <strike val="0"/>
        <outline val="0"/>
        <shadow val="0"/>
        <u val="none"/>
        <vertAlign val="baseline"/>
        <sz val="12"/>
        <name val="Garamond"/>
        <scheme val="none"/>
      </font>
      <numFmt numFmtId="171" formatCode="dd/mm/yyyy"/>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i val="0"/>
        <strike val="0"/>
        <outline val="0"/>
        <shadow val="0"/>
        <u val="none"/>
        <vertAlign val="baseline"/>
        <sz val="12"/>
        <name val="Garamond"/>
        <scheme val="none"/>
      </font>
      <numFmt numFmtId="171" formatCode="dd/mm/yyyy"/>
      <fill>
        <patternFill patternType="none">
          <fgColor indexed="64"/>
          <bgColor auto="1"/>
        </patternFill>
      </fill>
      <alignment horizontal="center" vertical="center" textRotation="0" indent="0" justifyLastLine="0" shrinkToFit="0" readingOrder="0"/>
      <protection locked="1"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i val="0"/>
        <strike val="0"/>
        <outline val="0"/>
        <shadow val="0"/>
        <u val="none"/>
        <vertAlign val="baseline"/>
        <sz val="12"/>
        <name val="Garamond"/>
        <scheme val="none"/>
      </font>
      <numFmt numFmtId="0" formatCode="General"/>
      <fill>
        <patternFill patternType="none">
          <fgColor indexed="64"/>
          <bgColor auto="1"/>
        </patternFill>
      </fill>
      <alignment horizontal="center" vertical="center" textRotation="0" indent="0" justifyLastLine="0" shrinkToFit="0" readingOrder="0"/>
      <protection locked="1"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i val="0"/>
        <strike val="0"/>
        <outline val="0"/>
        <shadow val="0"/>
        <u val="none"/>
        <vertAlign val="baseline"/>
        <sz val="12"/>
        <name val="Garamond"/>
        <scheme val="none"/>
      </font>
      <numFmt numFmtId="0" formatCode="General"/>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i val="0"/>
        <strike val="0"/>
        <outline val="0"/>
        <shadow val="0"/>
        <u val="none"/>
        <vertAlign val="baseline"/>
        <sz val="12"/>
        <name val="Garamond"/>
        <scheme val="none"/>
      </font>
      <numFmt numFmtId="166" formatCode=";;;"/>
      <fill>
        <patternFill patternType="none">
          <fgColor indexed="64"/>
          <bgColor auto="1"/>
        </patternFill>
      </fill>
      <alignment horizontal="center" vertical="center" textRotation="0" indent="0" justifyLastLine="0" shrinkToFit="0" readingOrder="0"/>
      <protection locked="1" hidden="0"/>
    </dxf>
    <dxf>
      <font>
        <i val="0"/>
        <strike val="0"/>
        <outline val="0"/>
        <shadow val="0"/>
        <u val="none"/>
        <vertAlign val="baseline"/>
        <sz val="12"/>
        <name val="Garamond"/>
        <scheme val="none"/>
      </font>
      <numFmt numFmtId="0" formatCode="General"/>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ont>
        <i val="0"/>
        <strike val="0"/>
        <outline val="0"/>
        <shadow val="0"/>
        <u val="none"/>
        <vertAlign val="baseline"/>
        <sz val="12"/>
        <name val="Garamond"/>
        <scheme val="none"/>
      </font>
      <fill>
        <patternFill patternType="none">
          <fgColor indexed="64"/>
          <bgColor auto="1"/>
        </patternFill>
      </fill>
      <alignment horizontal="left" vertical="center" textRotation="0" indent="0" justifyLastLine="0" shrinkToFit="0" readingOrder="0"/>
      <protection locked="1"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i val="0"/>
        <strike val="0"/>
        <outline val="0"/>
        <shadow val="0"/>
        <u val="none"/>
        <vertAlign val="baseline"/>
        <sz val="12"/>
        <name val="Garamond"/>
        <scheme val="none"/>
      </font>
      <fill>
        <patternFill patternType="none">
          <fgColor indexed="64"/>
          <bgColor auto="1"/>
        </patternFill>
      </fill>
      <alignment horizontal="center" vertical="center" textRotation="0" indent="0" justifyLastLine="0" shrinkToFit="0" readingOrder="0"/>
      <protection locked="1" hidden="0"/>
    </dxf>
    <dxf>
      <font>
        <b/>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border>
    </dxf>
    <dxf>
      <font>
        <i val="0"/>
        <strike val="0"/>
        <outline val="0"/>
        <shadow val="0"/>
        <u val="none"/>
        <vertAlign val="baseline"/>
        <sz val="12"/>
        <name val="Garamond"/>
        <scheme val="none"/>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dxf>
    <dxf>
      <font>
        <i val="0"/>
        <strike val="0"/>
        <outline val="0"/>
        <shadow val="0"/>
        <u val="none"/>
        <vertAlign val="baseline"/>
        <sz val="12"/>
        <name val="Garamond"/>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i val="0"/>
        <strike val="0"/>
        <outline val="0"/>
        <shadow val="0"/>
        <u val="none"/>
        <vertAlign val="baseline"/>
        <sz val="12"/>
        <name val="Garamond"/>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Garamond"/>
        <scheme val="none"/>
      </font>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1"/>
        <name val="Garamond"/>
        <scheme val="none"/>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2"/>
        <color theme="1"/>
        <name val="Garamond"/>
        <scheme val="none"/>
      </font>
      <fill>
        <patternFill patternType="none">
          <fgColor indexed="64"/>
          <bgColor indexed="65"/>
        </patternFill>
      </fill>
      <alignment horizontal="left" vertical="center" textRotation="0" wrapText="1" indent="0" justifyLastLine="0" shrinkToFit="0" readingOrder="0"/>
    </dxf>
    <dxf>
      <border>
        <top style="thin">
          <color indexed="64"/>
        </top>
      </border>
    </dxf>
    <dxf>
      <font>
        <i val="0"/>
        <strike val="0"/>
        <outline val="0"/>
        <shadow val="0"/>
        <u val="none"/>
        <vertAlign val="baseline"/>
        <sz val="12"/>
        <name val="Garamond"/>
        <scheme val="none"/>
      </font>
      <alignment horizontal="center" vertical="center" textRotation="0" indent="0" justifyLastLine="0" shrinkToFit="0" readingOrder="0"/>
      <border diagonalUp="0" diagonalDown="0" outline="0">
        <left style="thin">
          <color indexed="64"/>
        </left>
        <right style="thin">
          <color indexed="64"/>
        </right>
        <top/>
        <bottom/>
      </border>
    </dxf>
    <dxf>
      <font>
        <i val="0"/>
        <strike val="0"/>
        <outline val="0"/>
        <shadow val="0"/>
        <u val="none"/>
        <vertAlign val="baseline"/>
        <sz val="12"/>
        <name val="Garamond"/>
        <scheme val="none"/>
      </font>
      <fill>
        <patternFill patternType="none">
          <fgColor indexed="64"/>
          <bgColor auto="1"/>
        </patternFill>
      </fill>
      <alignment horizontal="center" vertical="center" textRotation="0" indent="0" justifyLastLine="0" shrinkToFit="0" readingOrder="0"/>
    </dxf>
    <dxf>
      <font>
        <b/>
        <i/>
        <strike val="0"/>
        <outline val="0"/>
        <shadow val="0"/>
        <u val="none"/>
        <vertAlign val="baseline"/>
        <sz val="14"/>
        <color theme="0"/>
        <name val="Garamond"/>
        <scheme val="none"/>
      </font>
      <fill>
        <patternFill patternType="solid">
          <fgColor indexed="64"/>
          <bgColor rgb="FF0070C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vertAlign val="baseline"/>
        <sz val="12"/>
        <name val="Garamond"/>
        <scheme val="none"/>
      </font>
      <fill>
        <patternFill patternType="none">
          <fgColor indexed="64"/>
          <bgColor auto="1"/>
        </patternFill>
      </fill>
      <alignment horizontal="center" vertical="center" textRotation="0" wrapText="0" indent="0" justifyLastLine="0" shrinkToFit="0" readingOrder="0"/>
      <protection locked="1" hidden="0"/>
    </dxf>
    <dxf>
      <font>
        <strike val="0"/>
        <outline val="0"/>
        <shadow val="0"/>
        <vertAlign val="baseline"/>
        <sz val="12"/>
        <name val="Garamond"/>
        <scheme val="none"/>
      </font>
      <fill>
        <patternFill patternType="none">
          <fgColor indexed="64"/>
          <bgColor auto="1"/>
        </patternFill>
      </fill>
      <alignment horizontal="center" vertical="center" textRotation="0" wrapText="1" indent="0" justifyLastLine="0" shrinkToFit="0" readingOrder="0"/>
      <protection locked="0" hidden="0"/>
    </dxf>
    <dxf>
      <font>
        <strike val="0"/>
        <outline val="0"/>
        <shadow val="0"/>
        <vertAlign val="baseline"/>
        <sz val="12"/>
        <name val="Garamond"/>
        <scheme val="none"/>
      </font>
      <fill>
        <patternFill patternType="none">
          <fgColor indexed="64"/>
          <bgColor auto="1"/>
        </patternFill>
      </fill>
      <alignment horizontal="center" vertical="center" textRotation="0" wrapText="1" indent="0" justifyLastLine="0" shrinkToFit="0" readingOrder="0"/>
      <protection locked="1" hidden="0"/>
    </dxf>
    <dxf>
      <font>
        <strike val="0"/>
        <outline val="0"/>
        <shadow val="0"/>
        <vertAlign val="baseline"/>
        <sz val="12"/>
        <name val="Garamond"/>
        <scheme val="none"/>
      </font>
      <numFmt numFmtId="0" formatCode="General"/>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auto="1"/>
        <name val="Garamond"/>
        <scheme val="none"/>
      </font>
      <numFmt numFmtId="19" formatCode="d/m/yyyy"/>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auto="1"/>
        <name val="Garamond"/>
        <scheme val="none"/>
      </font>
      <numFmt numFmtId="19" formatCode="d/m/yyyy"/>
      <fill>
        <patternFill patternType="none">
          <fgColor indexed="64"/>
          <bgColor indexed="65"/>
        </patternFill>
      </fill>
      <alignment horizontal="center" vertical="center" textRotation="0" wrapText="0" indent="0" justifyLastLine="0" shrinkToFit="0" readingOrder="0"/>
      <protection locked="1" hidden="0"/>
    </dxf>
    <dxf>
      <font>
        <b/>
        <strike val="0"/>
        <outline val="0"/>
        <shadow val="0"/>
        <u val="none"/>
        <vertAlign val="baseline"/>
        <sz val="12"/>
        <color auto="1"/>
        <name val="Garamond"/>
        <scheme val="none"/>
      </font>
      <fill>
        <patternFill patternType="none">
          <fgColor indexed="64"/>
          <bgColor auto="1"/>
        </patternFill>
      </fill>
      <alignment horizontal="left" vertical="center" textRotation="0" wrapText="1" indent="0" justifyLastLine="0" shrinkToFit="0" readingOrder="0"/>
      <protection locked="1" hidden="0"/>
    </dxf>
    <dxf>
      <font>
        <strike val="0"/>
        <outline val="0"/>
        <shadow val="0"/>
        <vertAlign val="baseline"/>
        <sz val="12"/>
        <name val="Garamond"/>
        <scheme val="none"/>
      </font>
      <fill>
        <patternFill patternType="none">
          <fgColor indexed="64"/>
          <bgColor auto="1"/>
        </patternFill>
      </fill>
      <alignment vertical="center" textRotation="0" indent="0" justifyLastLine="0" shrinkToFit="0" readingOrder="0"/>
      <protection locked="1" hidden="0"/>
    </dxf>
    <dxf>
      <font>
        <b/>
        <i val="0"/>
        <strike val="0"/>
        <condense val="0"/>
        <extend val="0"/>
        <outline val="0"/>
        <shadow val="0"/>
        <u val="none"/>
        <vertAlign val="baseline"/>
        <sz val="14"/>
        <color theme="0"/>
        <name val="Garamond"/>
        <scheme val="none"/>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numFmt numFmtId="0" formatCode="General"/>
      <alignment vertical="center" textRotation="0" wrapText="1" indent="0" justifyLastLine="0" shrinkToFit="0" readingOrder="0"/>
    </dxf>
    <dxf>
      <font>
        <strike val="0"/>
        <outline val="0"/>
        <shadow val="0"/>
        <u val="none"/>
        <vertAlign val="baseline"/>
        <sz val="12"/>
        <color theme="1"/>
        <name val="Garamond"/>
        <scheme val="none"/>
      </font>
      <alignment vertical="center" textRotation="0" wrapText="1" indent="0" justifyLastLine="0" shrinkToFit="0" readingOrder="0"/>
    </dxf>
    <dxf>
      <font>
        <strike val="0"/>
        <outline val="0"/>
        <shadow val="0"/>
        <u val="none"/>
        <vertAlign val="baseline"/>
        <sz val="14"/>
        <color theme="1"/>
        <name val="Garamond"/>
        <scheme val="none"/>
      </font>
      <alignment horizontal="center" vertical="center" textRotation="0" wrapText="1" indent="0" justifyLastLine="0" shrinkToFit="0" readingOrder="0"/>
    </dxf>
    <dxf>
      <font>
        <b/>
        <color theme="1"/>
      </font>
      <border diagonalUp="0" diagonalDown="0">
        <left/>
        <right/>
        <top/>
        <bottom/>
        <vertical/>
        <horizontal/>
      </border>
    </dxf>
    <dxf>
      <font>
        <color theme="1"/>
      </font>
      <fill>
        <patternFill>
          <bgColor rgb="FF0070C0"/>
        </patternFill>
      </fill>
      <border diagonalUp="0" diagonalDown="0">
        <left/>
        <right/>
        <top/>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9" xr9:uid="{00000000-0011-0000-FFFF-FFFF00000000}">
      <tableStyleElement type="wholeTable" dxfId="251"/>
    </tableStyle>
    <tableStyle name="SlicerStyleLight1 3" pivot="0" table="0" count="10" xr9:uid="{00000000-0011-0000-FFFF-FFFF01000000}">
      <tableStyleElement type="wholeTable" dxfId="250"/>
      <tableStyleElement type="headerRow" dxfId="249"/>
    </tableStyle>
  </tableStyles>
  <colors>
    <mruColors>
      <color rgb="FFB482DA"/>
      <color rgb="FF934BC9"/>
      <color rgb="FFFF66FF"/>
      <color rgb="FFF14DCE"/>
      <color rgb="FF77095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drawings/drawing1.xml><?xml version="1.0" encoding="utf-8"?>
<xdr:wsDr xmlns:xdr="http://schemas.openxmlformats.org/drawingml/2006/spreadsheetDrawing" xmlns:a="http://schemas.openxmlformats.org/drawingml/2006/main">
  <xdr:twoCellAnchor editAs="absolute">
    <xdr:from>
      <xdr:col>0</xdr:col>
      <xdr:colOff>301487</xdr:colOff>
      <xdr:row>0</xdr:row>
      <xdr:rowOff>0</xdr:rowOff>
    </xdr:from>
    <xdr:to>
      <xdr:col>0</xdr:col>
      <xdr:colOff>2229513</xdr:colOff>
      <xdr:row>3</xdr:row>
      <xdr:rowOff>9525</xdr:rowOff>
    </xdr:to>
    <mc:AlternateContent xmlns:mc="http://schemas.openxmlformats.org/markup-compatibility/2006" xmlns:sle15="http://schemas.microsoft.com/office/drawing/2012/slicer">
      <mc:Choice Requires="sle15">
        <xdr:graphicFrame macro="">
          <xdr:nvGraphicFramePr>
            <xdr:cNvPr id="3" name="Acción">
              <a:extLst>
                <a:ext uri="{FF2B5EF4-FFF2-40B4-BE49-F238E27FC236}">
                  <a16:creationId xmlns:a16="http://schemas.microsoft.com/office/drawing/2014/main" id="{8020F192-6DBE-45A0-8098-65A69FCBBC5F}"/>
                </a:ext>
              </a:extLst>
            </xdr:cNvPr>
            <xdr:cNvGraphicFramePr/>
          </xdr:nvGraphicFramePr>
          <xdr:xfrm>
            <a:off x="0" y="0"/>
            <a:ext cx="0" cy="0"/>
          </xdr:xfrm>
          <a:graphic>
            <a:graphicData uri="http://schemas.microsoft.com/office/drawing/2010/slicer">
              <sle:slicer xmlns:sle="http://schemas.microsoft.com/office/drawing/2010/slicer" name="Acción"/>
            </a:graphicData>
          </a:graphic>
        </xdr:graphicFrame>
      </mc:Choice>
      <mc:Fallback xmlns="">
        <xdr:sp macro="" textlink="">
          <xdr:nvSpPr>
            <xdr:cNvPr id="0" name=""/>
            <xdr:cNvSpPr>
              <a:spLocks noTextEdit="1"/>
            </xdr:cNvSpPr>
          </xdr:nvSpPr>
          <xdr:spPr>
            <a:xfrm>
              <a:off x="301487" y="0"/>
              <a:ext cx="1928026" cy="581025"/>
            </a:xfrm>
            <a:prstGeom prst="rect">
              <a:avLst/>
            </a:prstGeom>
            <a:solidFill>
              <a:prstClr val="white"/>
            </a:solidFill>
            <a:ln w="1">
              <a:solidFill>
                <a:prstClr val="green"/>
              </a:solidFill>
            </a:ln>
          </xdr:spPr>
          <xdr:txBody>
            <a:bodyPr vertOverflow="clip" horzOverflow="clip"/>
            <a:lstStyle/>
            <a:p>
              <a:r>
                <a:rPr lang="es-A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1562099</xdr:colOff>
      <xdr:row>0</xdr:row>
      <xdr:rowOff>19052</xdr:rowOff>
    </xdr:from>
    <xdr:to>
      <xdr:col>4</xdr:col>
      <xdr:colOff>503474</xdr:colOff>
      <xdr:row>3</xdr:row>
      <xdr:rowOff>5494</xdr:rowOff>
    </xdr:to>
    <mc:AlternateContent xmlns:mc="http://schemas.openxmlformats.org/markup-compatibility/2006" xmlns:sle15="http://schemas.microsoft.com/office/drawing/2012/slicer">
      <mc:Choice Requires="sle15">
        <xdr:graphicFrame macro="">
          <xdr:nvGraphicFramePr>
            <xdr:cNvPr id="4" name="Sedronar">
              <a:extLst>
                <a:ext uri="{FF2B5EF4-FFF2-40B4-BE49-F238E27FC236}">
                  <a16:creationId xmlns:a16="http://schemas.microsoft.com/office/drawing/2014/main" id="{C89EC747-E5DD-4CB0-99E4-F0726CCEFDA9}"/>
                </a:ext>
              </a:extLst>
            </xdr:cNvPr>
            <xdr:cNvGraphicFramePr/>
          </xdr:nvGraphicFramePr>
          <xdr:xfrm>
            <a:off x="0" y="0"/>
            <a:ext cx="0" cy="0"/>
          </xdr:xfrm>
          <a:graphic>
            <a:graphicData uri="http://schemas.microsoft.com/office/drawing/2010/slicer">
              <sle:slicer xmlns:sle="http://schemas.microsoft.com/office/drawing/2010/slicer" name="Sedronar"/>
            </a:graphicData>
          </a:graphic>
        </xdr:graphicFrame>
      </mc:Choice>
      <mc:Fallback xmlns="">
        <xdr:sp macro="" textlink="">
          <xdr:nvSpPr>
            <xdr:cNvPr id="0" name=""/>
            <xdr:cNvSpPr>
              <a:spLocks noTextEdit="1"/>
            </xdr:cNvSpPr>
          </xdr:nvSpPr>
          <xdr:spPr>
            <a:xfrm>
              <a:off x="4371974" y="19052"/>
              <a:ext cx="1856025" cy="557942"/>
            </a:xfrm>
            <a:prstGeom prst="rect">
              <a:avLst/>
            </a:prstGeom>
            <a:solidFill>
              <a:prstClr val="white"/>
            </a:solidFill>
            <a:ln w="1">
              <a:solidFill>
                <a:prstClr val="green"/>
              </a:solidFill>
            </a:ln>
          </xdr:spPr>
          <xdr:txBody>
            <a:bodyPr vertOverflow="clip" horzOverflow="clip"/>
            <a:lstStyle/>
            <a:p>
              <a:r>
                <a:rPr lang="es-A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33</xdr:col>
      <xdr:colOff>381000</xdr:colOff>
      <xdr:row>10</xdr:row>
      <xdr:rowOff>85725</xdr:rowOff>
    </xdr:from>
    <xdr:to>
      <xdr:col>36</xdr:col>
      <xdr:colOff>381000</xdr:colOff>
      <xdr:row>22</xdr:row>
      <xdr:rowOff>0</xdr:rowOff>
    </xdr:to>
    <mc:AlternateContent xmlns:mc="http://schemas.openxmlformats.org/markup-compatibility/2006" xmlns:sle15="http://schemas.microsoft.com/office/drawing/2012/slicer">
      <mc:Choice Requires="sle15">
        <xdr:graphicFrame macro="">
          <xdr:nvGraphicFramePr>
            <xdr:cNvPr id="2" name="Planilla">
              <a:extLst>
                <a:ext uri="{FF2B5EF4-FFF2-40B4-BE49-F238E27FC236}">
                  <a16:creationId xmlns:a16="http://schemas.microsoft.com/office/drawing/2014/main" id="{F36F0CD7-9811-48BD-9AB7-DDB4711EF4F6}"/>
                </a:ext>
              </a:extLst>
            </xdr:cNvPr>
            <xdr:cNvGraphicFramePr/>
          </xdr:nvGraphicFramePr>
          <xdr:xfrm>
            <a:off x="0" y="0"/>
            <a:ext cx="0" cy="0"/>
          </xdr:xfrm>
          <a:graphic>
            <a:graphicData uri="http://schemas.microsoft.com/office/drawing/2010/slicer">
              <sle:slicer xmlns:sle="http://schemas.microsoft.com/office/drawing/2010/slicer" name="Planilla"/>
            </a:graphicData>
          </a:graphic>
        </xdr:graphicFrame>
      </mc:Choice>
      <mc:Fallback xmlns="">
        <xdr:sp macro="" textlink="">
          <xdr:nvSpPr>
            <xdr:cNvPr id="0" name=""/>
            <xdr:cNvSpPr>
              <a:spLocks noTextEdit="1"/>
            </xdr:cNvSpPr>
          </xdr:nvSpPr>
          <xdr:spPr>
            <a:xfrm>
              <a:off x="30641925" y="2733675"/>
              <a:ext cx="1828800" cy="2714625"/>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xdr:twoCellAnchor>
  <xdr:twoCellAnchor editAs="absolute">
    <xdr:from>
      <xdr:col>4</xdr:col>
      <xdr:colOff>990599</xdr:colOff>
      <xdr:row>0</xdr:row>
      <xdr:rowOff>9525</xdr:rowOff>
    </xdr:from>
    <xdr:to>
      <xdr:col>14</xdr:col>
      <xdr:colOff>29102</xdr:colOff>
      <xdr:row>2</xdr:row>
      <xdr:rowOff>163819</xdr:rowOff>
    </xdr:to>
    <mc:AlternateContent xmlns:mc="http://schemas.openxmlformats.org/markup-compatibility/2006" xmlns:sle15="http://schemas.microsoft.com/office/drawing/2012/slicer">
      <mc:Choice Requires="sle15">
        <xdr:graphicFrame macro="">
          <xdr:nvGraphicFramePr>
            <xdr:cNvPr id="5" name="Planilla 1">
              <a:extLst>
                <a:ext uri="{FF2B5EF4-FFF2-40B4-BE49-F238E27FC236}">
                  <a16:creationId xmlns:a16="http://schemas.microsoft.com/office/drawing/2014/main" id="{D0A81897-8001-4A39-9ACB-B96333168BC1}"/>
                </a:ext>
              </a:extLst>
            </xdr:cNvPr>
            <xdr:cNvGraphicFramePr/>
          </xdr:nvGraphicFramePr>
          <xdr:xfrm>
            <a:off x="0" y="0"/>
            <a:ext cx="0" cy="0"/>
          </xdr:xfrm>
          <a:graphic>
            <a:graphicData uri="http://schemas.microsoft.com/office/drawing/2010/slicer">
              <sle:slicer xmlns:sle="http://schemas.microsoft.com/office/drawing/2010/slicer" name="Planilla 1"/>
            </a:graphicData>
          </a:graphic>
        </xdr:graphicFrame>
      </mc:Choice>
      <mc:Fallback xmlns="">
        <xdr:sp macro="" textlink="">
          <xdr:nvSpPr>
            <xdr:cNvPr id="0" name=""/>
            <xdr:cNvSpPr>
              <a:spLocks noTextEdit="1"/>
            </xdr:cNvSpPr>
          </xdr:nvSpPr>
          <xdr:spPr>
            <a:xfrm>
              <a:off x="6715124" y="9525"/>
              <a:ext cx="8306328" cy="554344"/>
            </a:xfrm>
            <a:prstGeom prst="rect">
              <a:avLst/>
            </a:prstGeom>
            <a:solidFill>
              <a:prstClr val="white"/>
            </a:solidFill>
            <a:ln w="1">
              <a:solidFill>
                <a:prstClr val="green"/>
              </a:solidFill>
            </a:ln>
          </xdr:spPr>
          <xdr:txBody>
            <a:bodyPr vertOverflow="clip" horzOverflow="clip"/>
            <a:lstStyle/>
            <a:p>
              <a:r>
                <a:rPr lang="es-A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ión" xr10:uid="{00000000-0013-0000-FFFF-FFFF01000000}" sourceName="Acción">
  <extLst>
    <x:ext xmlns:x15="http://schemas.microsoft.com/office/spreadsheetml/2010/11/main" uri="{2F2917AC-EB37-4324-AD4E-5DD8C200BD13}">
      <x15:tableSlicerCache tableId="3"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dronar" xr10:uid="{00000000-0013-0000-FFFF-FFFF02000000}" sourceName="Sedronar">
  <extLst>
    <x:ext xmlns:x15="http://schemas.microsoft.com/office/spreadsheetml/2010/11/main" uri="{2F2917AC-EB37-4324-AD4E-5DD8C200BD13}">
      <x15:tableSlicerCache tableId="3"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nilla" xr10:uid="{00000000-0013-0000-FFFF-FFFF03000000}" sourceName="Planilla">
  <extLst>
    <x:ext xmlns:x15="http://schemas.microsoft.com/office/spreadsheetml/2010/11/main" uri="{2F2917AC-EB37-4324-AD4E-5DD8C200BD13}">
      <x15:tableSlicerCache tableId="3"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ión" xr10:uid="{00000000-0014-0000-FFFF-FFFF01000000}" cache="Slicer_Acción" caption="Acción" columnCount="2" showCaption="0" style="SlicerStyleLight1 3" rowHeight="180000"/>
  <slicer name="Sedronar" xr10:uid="{00000000-0014-0000-FFFF-FFFF02000000}" cache="Slicer_Sedronar" caption="Sedronar" columnCount="2" showCaption="0" style="SlicerStyleLight1 3" rowHeight="180000"/>
  <slicer name="Planilla" xr10:uid="{00000000-0014-0000-FFFF-FFFF03000000}" cache="Slicer_Planilla" caption="Planilla" rowHeight="241300"/>
  <slicer name="Planilla 1" xr10:uid="{00000000-0014-0000-FFFF-FFFF04000000}" cache="Slicer_Planilla" caption="Planilla" columnCount="6" showCaption="0" style="SlicerStyleLight1 3"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0000000}" name="Table14" displayName="Table14" ref="A1:Q130" totalsRowShown="0" headerRowDxfId="248" dataDxfId="247">
  <autoFilter ref="A1:Q130" xr:uid="{00000000-0009-0000-0100-00000E000000}"/>
  <tableColumns count="17">
    <tableColumn id="2" xr3:uid="{00000000-0010-0000-0000-000002000000}" name="Solidos mas usados" dataDxfId="246">
      <calculatedColumnFormula>IF(ROWS('Insumos a comprar'!$B$5:B5)&lt;=COUNTIF(Insumos_a_comprar[Planilla],A$1),INDEX(Insumos_a_comprar[Insumo],_xlfn.AGGREGATE(15,6,(Insumos_a_comprar[Planilla]=A$1)/(Insumos_a_comprar[Planilla]=A$1)*ROW(Insumos_a_comprar[Planilla])-ROW(Insumos_a_comprar[[#Headers],[Planilla]]),ROWS('Insumos a comprar'!$B$5:B5))),"")</calculatedColumnFormula>
    </tableColumn>
    <tableColumn id="3" xr3:uid="{00000000-0010-0000-0000-000003000000}" name="Solidos menos usados" dataDxfId="245">
      <calculatedColumnFormula>IF(ROWS('Insumos a comprar'!$B$5:B5)&lt;=COUNTIF(Insumos_a_comprar[Planilla],B$1),INDEX(Insumos_a_comprar[Insumo],_xlfn.AGGREGATE(15,6,(Insumos_a_comprar[Planilla]=B$1)/(Insumos_a_comprar[Planilla]=B$1)*ROW(Insumos_a_comprar[Planilla])-ROW(Insumos_a_comprar[[#Headers],[Planilla]]),ROWS('Insumos a comprar'!$B$5:B5))),"")</calculatedColumnFormula>
    </tableColumn>
    <tableColumn id="4" xr3:uid="{00000000-0010-0000-0000-000004000000}" name="Solidos heladera" dataDxfId="244">
      <calculatedColumnFormula>IF(ROWS('Insumos a comprar'!$B$5:E5)&lt;=COUNTIF(Insumos_a_comprar[Planilla],C$1),INDEX(Insumos_a_comprar[Insumo],_xlfn.AGGREGATE(15,6,(Insumos_a_comprar[Planilla]=C$1)/(Insumos_a_comprar[Planilla]=C$1)*ROW(Insumos_a_comprar[Planilla])-ROW(Insumos_a_comprar[[#Headers],[Planilla]]),ROWS('Insumos a comprar'!$B$5:E5))),"")</calculatedColumnFormula>
    </tableColumn>
    <tableColumn id="5" xr3:uid="{00000000-0010-0000-0000-000005000000}" name="Solventes" dataDxfId="243">
      <calculatedColumnFormula>IF(ROWS('Insumos a comprar'!$B$5:F5)&lt;=COUNTIF(Insumos_a_comprar[Planilla],D$1),INDEX(Insumos_a_comprar[Insumo],_xlfn.AGGREGATE(15,6,(Insumos_a_comprar[Planilla]=D$1)/(Insumos_a_comprar[Planilla]=D$1)*ROW(Insumos_a_comprar[Planilla])-ROW(Insumos_a_comprar[[#Headers],[Planilla]]),ROWS('Insumos a comprar'!$B$5:F5))),"")</calculatedColumnFormula>
    </tableColumn>
    <tableColumn id="6" xr3:uid="{00000000-0010-0000-0000-000006000000}" name="Reactivos HACH" dataDxfId="242">
      <calculatedColumnFormula>IF(ROWS('Insumos a comprar'!$B$5:G5)&lt;=COUNTIF(Insumos_a_comprar[Planilla],E$1),INDEX(Insumos_a_comprar[Insumo],_xlfn.AGGREGATE(15,6,(Insumos_a_comprar[Planilla]=E$1)/(Insumos_a_comprar[Planilla]=E$1)*ROW(Insumos_a_comprar[Planilla])-ROW(Insumos_a_comprar[[#Headers],[Planilla]]),ROWS('Insumos a comprar'!$B$5:G5))),"")</calculatedColumnFormula>
    </tableColumn>
    <tableColumn id="7" xr3:uid="{00000000-0010-0000-0000-000007000000}" name="Acidos bases y otros liquidos" dataDxfId="241">
      <calculatedColumnFormula>IF(ROWS('Insumos a comprar'!$B$5:H5)&lt;=COUNTIF(Insumos_a_comprar[Planilla],F$1),INDEX(Insumos_a_comprar[Insumo],_xlfn.AGGREGATE(15,6,(Insumos_a_comprar[Planilla]=F$1)/(Insumos_a_comprar[Planilla]=F$1)*ROW(Insumos_a_comprar[Planilla])-ROW(Insumos_a_comprar[[#Headers],[Planilla]]),ROWS('Insumos a comprar'!$B$5:H5))),"")</calculatedColumnFormula>
    </tableColumn>
    <tableColumn id="8" xr3:uid="{00000000-0010-0000-0000-000008000000}" name="Gases comprimidos" dataDxfId="240">
      <calculatedColumnFormula>IF(ROWS('Insumos a comprar'!$B$5:I5)&lt;=COUNTIF(Insumos_a_comprar[Planilla],G$1),INDEX(Insumos_a_comprar[Insumo],_xlfn.AGGREGATE(15,6,(Insumos_a_comprar[Planilla]=G$1)/(Insumos_a_comprar[Planilla]=G$1)*ROW(Insumos_a_comprar[Planilla])-ROW(Insumos_a_comprar[[#Headers],[Planilla]]),ROWS('Insumos a comprar'!$B$5:I5))),"")</calculatedColumnFormula>
    </tableColumn>
    <tableColumn id="9" xr3:uid="{00000000-0010-0000-0000-000009000000}" name="Material de vidrio" dataDxfId="239">
      <calculatedColumnFormula>IF(ROWS('Insumos a comprar'!$B$5:I5)&lt;=COUNTIF(Insumos_a_comprar[Planilla],H$1),INDEX(Insumos_a_comprar[Insumo],_xlfn.AGGREGATE(15,6,(Insumos_a_comprar[Planilla]=H$1)/(Insumos_a_comprar[Planilla]=H$1)*ROW(Insumos_a_comprar[Planilla])-ROW(Insumos_a_comprar[[#Headers],[Planilla]]),ROWS('Insumos a comprar'!$B$5:I5))),"")</calculatedColumnFormula>
    </tableColumn>
    <tableColumn id="10" xr3:uid="{00000000-0010-0000-0000-00000A000000}" name="Guantes e insumos generales" dataDxfId="238">
      <calculatedColumnFormula>IF(ROWS('Insumos a comprar'!$B$5:I5)&lt;=COUNTIF(Insumos_a_comprar[Planilla],I$1),INDEX(Insumos_a_comprar[Insumo],_xlfn.AGGREGATE(15,6,(Insumos_a_comprar[Planilla]=I$1)/(Insumos_a_comprar[Planilla]=I$1)*ROW(Insumos_a_comprar[Planilla])-ROW(Insumos_a_comprar[[#Headers],[Planilla]]),ROWS('Insumos a comprar'!$B$5:I5))),"")</calculatedColumnFormula>
    </tableColumn>
    <tableColumn id="11" xr3:uid="{00000000-0010-0000-0000-00000B000000}" name="CG" dataDxfId="237">
      <calculatedColumnFormula>IF(ROWS('Insumos a comprar'!$B$5:I5)&lt;=COUNTIF(Insumos_a_comprar[Planilla],J$1),INDEX(Insumos_a_comprar[Insumo],_xlfn.AGGREGATE(15,6,(Insumos_a_comprar[Planilla]=J$1)/(Insumos_a_comprar[Planilla]=J$1)*ROW(Insumos_a_comprar[Planilla])-ROW(Insumos_a_comprar[[#Headers],[Planilla]]),ROWS('Insumos a comprar'!$B$5:I5))),"")</calculatedColumnFormula>
    </tableColumn>
    <tableColumn id="12" xr3:uid="{00000000-0010-0000-0000-00000C000000}" name="Lamparas AA" dataDxfId="236">
      <calculatedColumnFormula>IF(ROWS('Insumos a comprar'!$B$5:I5)&lt;=COUNTIF(Insumos_a_comprar[Planilla],K$1),INDEX(Insumos_a_comprar[Insumo],_xlfn.AGGREGATE(15,6,(Insumos_a_comprar[Planilla]=K$1)/(Insumos_a_comprar[Planilla]=K$1)*ROW(Insumos_a_comprar[Planilla])-ROW(Insumos_a_comprar[[#Headers],[Planilla]]),ROWS('Insumos a comprar'!$B$5:I5))),"")</calculatedColumnFormula>
    </tableColumn>
    <tableColumn id="13" xr3:uid="{00000000-0010-0000-0000-00000D000000}" name="Botiquin" dataDxfId="235">
      <calculatedColumnFormula>IF(ROWS('Insumos a comprar'!$B$5:I5)&lt;=COUNTIF(Insumos_a_comprar[Planilla],L$1),INDEX(Insumos_a_comprar[Insumo],_xlfn.AGGREGATE(15,6,(Insumos_a_comprar[Planilla]=L$1)/(Insumos_a_comprar[Planilla]=L$1)*ROW(Insumos_a_comprar[Planilla])-ROW(Insumos_a_comprar[[#Headers],[Planilla]]),ROWS('Insumos a comprar'!$B$5:I5))),"")</calculatedColumnFormula>
    </tableColumn>
    <tableColumn id="14" xr3:uid="{00000000-0010-0000-0000-00000E000000}" name="Column11" dataDxfId="234"/>
    <tableColumn id="15" xr3:uid="{00000000-0010-0000-0000-00000F000000}" name="Column12" dataDxfId="233"/>
    <tableColumn id="16" xr3:uid="{00000000-0010-0000-0000-000010000000}" name="Column13" dataDxfId="232"/>
    <tableColumn id="17" xr3:uid="{00000000-0010-0000-0000-000011000000}" name="Column14" dataDxfId="231"/>
    <tableColumn id="18" xr3:uid="{00000000-0010-0000-0000-000012000000}" name="Column15" dataDxfId="230"/>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A2:G15" totalsRowShown="0" headerRowDxfId="229" dataDxfId="228" headerRowCellStyle="Normal 2">
  <autoFilter ref="A2:G15" xr:uid="{00000000-0009-0000-0100-00000C000000}"/>
  <sortState xmlns:xlrd2="http://schemas.microsoft.com/office/spreadsheetml/2017/richdata2" ref="A3:G14">
    <sortCondition ref="A3"/>
  </sortState>
  <tableColumns count="7">
    <tableColumn id="1" xr3:uid="{00000000-0010-0000-0100-000001000000}" name="Planilla" dataDxfId="227" dataCellStyle="Hyperlink 2"/>
    <tableColumn id="10" xr3:uid="{00000000-0010-0000-0100-00000A000000}" name="Fecha de actualización" dataDxfId="226" dataCellStyle="Normal 2">
      <calculatedColumnFormula>Solventes!B1</calculatedColumnFormula>
    </tableColumn>
    <tableColumn id="8" xr3:uid="{00000000-0010-0000-0100-000008000000}" name="Días hasta vencer" dataDxfId="225" dataCellStyle="Normal 2">
      <calculatedColumnFormula>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calculatedColumnFormula>
    </tableColumn>
    <tableColumn id="4" xr3:uid="{00000000-0010-0000-0100-000004000000}" name="Acción" dataDxfId="224" dataCellStyle="Normal 2">
      <calculatedColumnFormula>IF(Table12[Días hasta vencer]="N/A","Constante",IF(Table12[Fecha de actualización]&lt;=NOW()-Table12[Días hasta vencer],"Vencido",IF(Table12[Fecha de actualización]&lt;=NOW()-(Table12[Días hasta vencer]-8),"Actualizar","Vigente")))</calculatedColumnFormula>
    </tableColumn>
    <tableColumn id="5" xr3:uid="{00000000-0010-0000-0100-000005000000}" name="Frecuencia de control" dataDxfId="223" dataCellStyle="Normal 2"/>
    <tableColumn id="6" xr3:uid="{00000000-0010-0000-0100-000006000000}" name="Observaciones" dataDxfId="222" dataCellStyle="Normal 2"/>
    <tableColumn id="7" xr3:uid="{00000000-0010-0000-0100-000007000000}" name="Responsables del seguimiento" dataDxfId="221" dataCellStyle="Normal 2"/>
  </tableColumns>
  <tableStyleInfo name="TableStyleMedium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sumos_a_comprar" displayName="Insumos_a_comprar" ref="A4:P467" headerRowDxfId="220" dataDxfId="219" totalsRowDxfId="218" totalsRowBorderDxfId="217">
  <autoFilter ref="A4:P467" xr:uid="{00000000-0009-0000-0100-000003000000}"/>
  <sortState xmlns:xlrd2="http://schemas.microsoft.com/office/spreadsheetml/2017/richdata2" ref="A5:P467">
    <sortCondition ref="A453"/>
  </sortState>
  <tableColumns count="16">
    <tableColumn id="1" xr3:uid="{00000000-0010-0000-0200-000001000000}" name="Insumo" totalsRowLabel="Azul de Toluidina" dataDxfId="216" totalsRowDxfId="215"/>
    <tableColumn id="11" xr3:uid="{00000000-0010-0000-0200-00000B000000}" name="Planilla" totalsRowLabel="Solidos mas usados" dataDxfId="214" totalsRowDxfId="213"/>
    <tableColumn id="14" xr3:uid="{00000000-0010-0000-0200-00000E000000}" name=" " dataDxfId="212" totalsRowDxfId="211">
      <calculatedColumnFormula>HYPERLINK("#'"&amp;Insumos_a_comprar[[#This Row],[Planilla]]&amp;"'!D1","Ir")</calculatedColumnFormula>
    </tableColumn>
    <tableColumn id="8" xr3:uid="{00000000-0010-0000-0200-000008000000}" name="Sedronar" dataDxfId="210" totalsRowDxfId="209"/>
    <tableColumn id="16" xr3:uid="{00000000-0010-0000-0200-000010000000}" name="Uso" dataDxfId="208" totalsRowDxfId="207"/>
    <tableColumn id="2" xr3:uid="{00000000-0010-0000-0200-000002000000}" name="Stock mínimo" dataDxfId="206" totalsRowDxfId="205"/>
    <tableColumn id="3" xr3:uid="{00000000-0010-0000-0200-000003000000}" name="Un" dataDxfId="204" totalsRowDxfId="203"/>
    <tableColumn id="7" xr3:uid="{00000000-0010-0000-0200-000007000000}" name="Stock actual" dataDxfId="202">
      <calculatedColumnFormula>SUMIF(INDIRECT(SUBSTITUTE(B5," ","_")&amp;"[Insumo]"),Insumos_a_comprar[[#This Row],[Insumo]],INDIRECT(SUBSTITUTE(B5," ","_")&amp;"[Stock]"))</calculatedColumnFormula>
    </tableColumn>
    <tableColumn id="9" xr3:uid="{00000000-0010-0000-0200-000009000000}" name="Comprar?" dataDxfId="201" totalsRowDxfId="200">
      <calculatedColumnFormula>IF((Insumos_a_comprar[[#This Row],[Stock actual]]-Insumos_a_comprar[[#This Row],[Stock mínimo]])&lt;0,"Si","No")</calculatedColumnFormula>
    </tableColumn>
    <tableColumn id="5" xr3:uid="{00000000-0010-0000-0200-000005000000}" name="Estado de Stock" dataDxfId="199" totalsRowDxfId="198">
      <calculatedColumnFormula>INDEX(Table12[Acción],MATCH(Insumos_a_comprar[[#This Row],[Planilla]],Table12[Planilla],0))</calculatedColumnFormula>
    </tableColumn>
    <tableColumn id="4" xr3:uid="{00000000-0010-0000-0200-000004000000}" name="Cantidad a comprar" dataDxfId="197" totalsRowDxfId="196"/>
    <tableColumn id="10" xr3:uid="{00000000-0010-0000-0200-00000A000000}" name="Acción" dataDxfId="195" totalsRowDxfId="194">
      <calculatedColumnFormula>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calculatedColumnFormula>
    </tableColumn>
    <tableColumn id="6" xr3:uid="{00000000-0010-0000-0200-000006000000}" name="Fecha relevado" dataDxfId="193" totalsRowDxfId="192"/>
    <tableColumn id="13" xr3:uid="{00000000-0010-0000-0200-00000D000000}" name="Postergado" dataDxfId="191" totalsRowDxfId="190"/>
    <tableColumn id="17" xr3:uid="{00000000-0010-0000-0200-000011000000}" name="Último ingreso" dataDxfId="189" totalsRowDxfId="188"/>
    <tableColumn id="12" xr3:uid="{00000000-0010-0000-0200-00000C000000}" name="Observaciones" dataDxfId="187" totalsRowDxfId="186"/>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Acidos_bases_y_otros_liquidos" displayName="Acidos_bases_y_otros_liquidos" ref="A2:I21" totalsRowShown="0" headerRowDxfId="185" dataDxfId="184" headerRowCellStyle="Normal 2">
  <autoFilter ref="A2:I21" xr:uid="{00000000-0009-0000-0100-000006000000}">
    <filterColumn colId="8">
      <filters blank="1"/>
    </filterColumn>
  </autoFilter>
  <sortState xmlns:xlrd2="http://schemas.microsoft.com/office/spreadsheetml/2017/richdata2" ref="A3:I21">
    <sortCondition ref="A20"/>
  </sortState>
  <tableColumns count="9">
    <tableColumn id="1" xr3:uid="{00000000-0010-0000-0300-000001000000}" name="Insumo" dataDxfId="183" dataCellStyle="Normal 2"/>
    <tableColumn id="3" xr3:uid="{00000000-0010-0000-0300-000003000000}" name="Marca" dataDxfId="182" dataCellStyle="Normal 2"/>
    <tableColumn id="9" xr3:uid="{00000000-0010-0000-0300-000009000000}" name="Stock" dataDxfId="181" dataCellStyle="Normal 2"/>
    <tableColumn id="4" xr3:uid="{00000000-0010-0000-0300-000004000000}" name="Ingreso" dataDxfId="180" dataCellStyle="Normal 2"/>
    <tableColumn id="13" xr3:uid="{00000000-0010-0000-0300-00000D000000}" name="Lote" dataDxfId="179" dataCellStyle="Normal 2"/>
    <tableColumn id="7" xr3:uid="{00000000-0010-0000-0300-000007000000}" name="Cantidad inicial" dataDxfId="178" dataCellStyle="Normal 2"/>
    <tableColumn id="5" xr3:uid="{00000000-0010-0000-0300-000005000000}" name="Vencimiento" dataDxfId="177" dataCellStyle="Normal 2"/>
    <tableColumn id="11" xr3:uid="{00000000-0010-0000-0300-00000B000000}" name="Observaciones" dataDxfId="176" dataCellStyle="Normal 2"/>
    <tableColumn id="2" xr3:uid="{00000000-0010-0000-0300-000002000000}" name="Cierre de insumo" dataDxfId="175"/>
  </tableColumns>
  <tableStyleInfo name="TableStyleMedium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4000000}" name="Botiquin" displayName="Botiquin" ref="A2:G22" totalsRowShown="0" headerRowDxfId="174" dataDxfId="173" dataCellStyle="Normal 2">
  <autoFilter ref="A2:G22" xr:uid="{00000000-0009-0000-0100-00000D000000}">
    <filterColumn colId="6">
      <filters blank="1"/>
    </filterColumn>
  </autoFilter>
  <sortState xmlns:xlrd2="http://schemas.microsoft.com/office/spreadsheetml/2017/richdata2" ref="A4:G22">
    <sortCondition ref="A21:A22"/>
  </sortState>
  <tableColumns count="7">
    <tableColumn id="12" xr3:uid="{00000000-0010-0000-0400-00000C000000}" name="Insumo" dataDxfId="172" dataCellStyle="Normal 2"/>
    <tableColumn id="3" xr3:uid="{00000000-0010-0000-0400-000003000000}" name="Stock" dataDxfId="171" dataCellStyle="Normal 2"/>
    <tableColumn id="5" xr3:uid="{00000000-0010-0000-0400-000005000000}" name="Unidad" dataDxfId="170" dataCellStyle="Normal 2"/>
    <tableColumn id="6" xr3:uid="{00000000-0010-0000-0400-000006000000}" name="Ingreso" dataDxfId="169" dataCellStyle="Normal 2"/>
    <tableColumn id="2" xr3:uid="{00000000-0010-0000-0400-000002000000}" name="Cantidad inicial" dataDxfId="168" dataCellStyle="Normal 2"/>
    <tableColumn id="4" xr3:uid="{00000000-0010-0000-0400-000004000000}" name="Observaciones" dataDxfId="167" dataCellStyle="Normal 2"/>
    <tableColumn id="11" xr3:uid="{00000000-0010-0000-0400-00000B000000}" name="Cierre de insumo" dataDxfId="166" dataCellStyle="Normal 2"/>
  </tableColumns>
  <tableStyleInfo name="TableStyleMedium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G" displayName="CG" ref="A2:J78" totalsRowShown="0" headerRowDxfId="165" dataDxfId="164">
  <autoFilter ref="A2:J78" xr:uid="{00000000-0009-0000-0100-000010000000}"/>
  <sortState xmlns:xlrd2="http://schemas.microsoft.com/office/spreadsheetml/2017/richdata2" ref="A3:K78">
    <sortCondition ref="A67"/>
  </sortState>
  <tableColumns count="10">
    <tableColumn id="1" xr3:uid="{00000000-0010-0000-0500-000001000000}" name="Material" dataDxfId="33" dataCellStyle="Normal 2"/>
    <tableColumn id="2" xr3:uid="{00000000-0010-0000-0500-000002000000}" name="Especificación" dataDxfId="32" dataCellStyle="Normal 2"/>
    <tableColumn id="3" xr3:uid="{00000000-0010-0000-0500-000003000000}" name="Equipo" dataDxfId="31"/>
    <tableColumn id="11" xr3:uid="{00000000-0010-0000-0500-00000B000000}" name="Marca" dataDxfId="30" dataCellStyle="Normal 2"/>
    <tableColumn id="4" xr3:uid="{00000000-0010-0000-0500-000004000000}" name="N°  de catálogo" dataDxfId="28"/>
    <tableColumn id="6" xr3:uid="{00000000-0010-0000-0500-000006000000}" name="Stock" dataDxfId="29"/>
    <tableColumn id="7" xr3:uid="{00000000-0010-0000-0500-000007000000}" name="Unidad" dataDxfId="163"/>
    <tableColumn id="5" xr3:uid="{00000000-0010-0000-0500-000005000000}" name="Observaciones" dataDxfId="162" dataCellStyle="Normal 2"/>
    <tableColumn id="13" xr3:uid="{00000000-0010-0000-0500-00000D000000}" name="Fecha actualización" dataDxfId="161" dataCellStyle="Normal 2"/>
    <tableColumn id="12" xr3:uid="{00000000-0010-0000-0500-00000C000000}" name="Insumo" dataDxfId="160" dataCellStyle="Normal 2">
      <calculatedColumnFormula>CONCATENATE(CG[[#This Row],[Material]]," ",CG[[#This Row],[Especificación]])</calculatedColumnFormula>
    </tableColumn>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Gases_comprimidos" displayName="Gases_comprimidos" ref="A2:J9" totalsRowShown="0" headerRowDxfId="159" dataDxfId="158" headerRowCellStyle="Normal 2" dataCellStyle="Normal 2">
  <autoFilter ref="A2:J9" xr:uid="{00000000-0009-0000-0100-000008000000}"/>
  <sortState xmlns:xlrd2="http://schemas.microsoft.com/office/spreadsheetml/2017/richdata2" ref="A3:J9">
    <sortCondition ref="A4"/>
  </sortState>
  <tableColumns count="10">
    <tableColumn id="1" xr3:uid="{00000000-0010-0000-0600-000001000000}" name="Insumo" dataDxfId="157" dataCellStyle="Normal 2"/>
    <tableColumn id="12" xr3:uid="{00000000-0010-0000-0600-00000C000000}" name="Volumen" dataDxfId="156" dataCellStyle="Normal 2"/>
    <tableColumn id="9" xr3:uid="{00000000-0010-0000-0600-000009000000}" name="Stock" dataDxfId="155" dataCellStyle="Normal 2"/>
    <tableColumn id="8" xr3:uid="{00000000-0010-0000-0600-000008000000}" name="Unidad" dataDxfId="154" dataCellStyle="Normal 2"/>
    <tableColumn id="3" xr3:uid="{00000000-0010-0000-0600-000003000000}" name="Carga inicial" dataDxfId="153" dataCellStyle="Normal 2"/>
    <tableColumn id="2" xr3:uid="{00000000-0010-0000-0600-000002000000}" name="Ingreso" dataDxfId="152" dataCellStyle="Normal 2"/>
    <tableColumn id="4" xr3:uid="{00000000-0010-0000-0600-000004000000}" name="Vencimiento" dataDxfId="151" dataCellStyle="Normal 2"/>
    <tableColumn id="13" xr3:uid="{00000000-0010-0000-0600-00000D000000}" name="Proveedor" dataDxfId="150" dataCellStyle="Normal 2"/>
    <tableColumn id="10" xr3:uid="{00000000-0010-0000-0600-00000A000000}" name="Observaciones" dataDxfId="149" dataCellStyle="Normal 2"/>
    <tableColumn id="7" xr3:uid="{00000000-0010-0000-0600-000007000000}" name="Cierre de insumo" dataDxfId="148" dataCellStyle="Normal 2"/>
  </tableColumns>
  <tableStyleInfo name="TableStyleMedium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Guantes_e_insumos_generales" displayName="Guantes_e_insumos_generales" ref="A2:K58" totalsRowShown="0" headerRowDxfId="147" dataDxfId="146" headerRowCellStyle="Normal 2" dataCellStyle="Normal 2">
  <autoFilter ref="A2:K58" xr:uid="{00000000-0009-0000-0100-000009000000}">
    <filterColumn colId="9">
      <filters blank="1"/>
    </filterColumn>
  </autoFilter>
  <sortState xmlns:xlrd2="http://schemas.microsoft.com/office/spreadsheetml/2017/richdata2" ref="A4:K58">
    <sortCondition ref="A3:A58"/>
    <sortCondition ref="B3:B58"/>
  </sortState>
  <tableColumns count="11">
    <tableColumn id="1" xr3:uid="{00000000-0010-0000-0700-000001000000}" name="Material" dataDxfId="145"/>
    <tableColumn id="3" xr3:uid="{00000000-0010-0000-0700-000003000000}" name="Especificación" dataDxfId="144" dataCellStyle="Normal 2"/>
    <tableColumn id="2" xr3:uid="{00000000-0010-0000-0700-000002000000}" name="Stock en uso" dataDxfId="143" dataCellStyle="Normal 2"/>
    <tableColumn id="8" xr3:uid="{00000000-0010-0000-0700-000008000000}" name="Stock nuevo" dataDxfId="142" dataCellStyle="Normal 2"/>
    <tableColumn id="4" xr3:uid="{00000000-0010-0000-0700-000004000000}" name="Stock" dataDxfId="141" dataCellStyle="Normal 2">
      <calculatedColumnFormula>Guantes_e_insumos_generales[[#This Row],[Stock en uso]]+Guantes_e_insumos_generales[[#This Row],[Stock nuevo]]</calculatedColumnFormula>
    </tableColumn>
    <tableColumn id="5" xr3:uid="{00000000-0010-0000-0700-000005000000}" name="Un" dataDxfId="140" dataCellStyle="Normal 2"/>
    <tableColumn id="11" xr3:uid="{00000000-0010-0000-0700-00000B000000}" name="Ingreso" dataDxfId="139" dataCellStyle="Normal 2"/>
    <tableColumn id="7" xr3:uid="{00000000-0010-0000-0700-000007000000}" name="Cantidad inicial" dataDxfId="138" dataCellStyle="Normal 2"/>
    <tableColumn id="9" xr3:uid="{00000000-0010-0000-0700-000009000000}" name="Observaciones" dataDxfId="137" dataCellStyle="Normal 2"/>
    <tableColumn id="12" xr3:uid="{00000000-0010-0000-0700-00000C000000}" name="Cierre de insumo" dataDxfId="136" dataCellStyle="Normal 2"/>
    <tableColumn id="10" xr3:uid="{00000000-0010-0000-0700-00000A000000}" name="Insumo" dataDxfId="135" dataCellStyle="Normal 2">
      <calculatedColumnFormula>CONCATENATE(Guantes_e_insumos_generales[[#This Row],[Material]]," ",Guantes_e_insumos_generales[[#This Row],[Especificación]])</calculatedColumnFormula>
    </tableColumn>
  </tableColumns>
  <tableStyleInfo name="TableStyleMedium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Lamparas_AA" displayName="Lamparas_AA" ref="A2:G46" totalsRowShown="0" headerRowDxfId="134" dataDxfId="133">
  <autoFilter ref="A2:G46" xr:uid="{00000000-0009-0000-0100-00000B000000}"/>
  <sortState xmlns:xlrd2="http://schemas.microsoft.com/office/spreadsheetml/2017/richdata2" ref="A3:G46">
    <sortCondition ref="A43"/>
  </sortState>
  <tableColumns count="7">
    <tableColumn id="1" xr3:uid="{00000000-0010-0000-0800-000001000000}" name="Insumo" dataDxfId="132" dataCellStyle="Normal 2"/>
    <tableColumn id="2" xr3:uid="{00000000-0010-0000-0800-000002000000}" name="Marca " dataDxfId="131" dataCellStyle="Normal 2"/>
    <tableColumn id="5" xr3:uid="{00000000-0010-0000-0800-000005000000}" name="Stock" dataDxfId="130" dataCellStyle="Normal 2"/>
    <tableColumn id="3" xr3:uid="{00000000-0010-0000-0800-000003000000}" name="Estado" dataDxfId="129" dataCellStyle="Normal 2"/>
    <tableColumn id="4" xr3:uid="{00000000-0010-0000-0800-000004000000}" name="Lote/serial" dataDxfId="128" dataCellStyle="Normal 2"/>
    <tableColumn id="6" xr3:uid="{00000000-0010-0000-0800-000006000000}" name="Fecha actualización" dataDxfId="127" dataCellStyle="Normal 2"/>
    <tableColumn id="7" xr3:uid="{00000000-0010-0000-0800-000007000000}" name="Observaciones" dataDxfId="126"/>
  </tableColumns>
  <tableStyleInfo name="TableStyleMedium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Material_de_vidrio" displayName="Material_de_vidrio" ref="A2:I118" totalsRowShown="0" headerRowDxfId="125" dataDxfId="124" headerRowCellStyle="Normal 2">
  <autoFilter ref="A2:I118" xr:uid="{00000000-0009-0000-0100-00000A000000}"/>
  <sortState xmlns:xlrd2="http://schemas.microsoft.com/office/spreadsheetml/2017/richdata2" ref="A3:I118">
    <sortCondition ref="A12"/>
  </sortState>
  <tableColumns count="9">
    <tableColumn id="1" xr3:uid="{00000000-0010-0000-0900-000001000000}" name="Material" dataDxfId="123" dataCellStyle="Normal 2"/>
    <tableColumn id="11" xr3:uid="{00000000-0010-0000-0900-00000B000000}" name="Especificación" dataDxfId="122" dataCellStyle="Normal 2"/>
    <tableColumn id="3" xr3:uid="{00000000-0010-0000-0900-000003000000}" name="Tamaño" dataDxfId="121" dataCellStyle="Normal 2"/>
    <tableColumn id="6" xr3:uid="{00000000-0010-0000-0900-000006000000}" name="Stock en uso" dataDxfId="120" dataCellStyle="Normal 2"/>
    <tableColumn id="8" xr3:uid="{00000000-0010-0000-0900-000008000000}" name="Stock nuevo" dataDxfId="119" dataCellStyle="Normal 2"/>
    <tableColumn id="5" xr3:uid="{00000000-0010-0000-0900-000005000000}" name="Stock" dataDxfId="118" dataCellStyle="Normal 2">
      <calculatedColumnFormula>Material_de_vidrio[[#This Row],[Stock en uso]]+Material_de_vidrio[[#This Row],[Stock nuevo]]</calculatedColumnFormula>
    </tableColumn>
    <tableColumn id="7" xr3:uid="{00000000-0010-0000-0900-000007000000}" name="Fecha actualización" dataDxfId="117" dataCellStyle="Normal 2"/>
    <tableColumn id="4" xr3:uid="{00000000-0010-0000-0900-000004000000}" name="Observaciones" dataDxfId="116" dataCellStyle="Normal 2"/>
    <tableColumn id="2" xr3:uid="{00000000-0010-0000-0900-000002000000}" name="Insumo" dataDxfId="115" dataCellStyle="Normal 2">
      <calculatedColumnFormula>CONCATENATE(Material_de_vidrio[[#This Row],[Material]]," ",Material_de_vidrio[[#This Row],[Especificación]]," ",Material_de_vidrio[[#This Row],[Tamaño]])</calculatedColumnFormula>
    </tableColumn>
  </tableColumns>
  <tableStyleInfo name="TableStyleMedium1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Reactivos_HACH" displayName="Reactivos_HACH" ref="A2:L43" totalsRowShown="0" headerRowDxfId="114" dataDxfId="113">
  <autoFilter ref="A2:L43" xr:uid="{00000000-0009-0000-0100-000007000000}">
    <filterColumn colId="11">
      <filters blank="1"/>
    </filterColumn>
  </autoFilter>
  <sortState xmlns:xlrd2="http://schemas.microsoft.com/office/spreadsheetml/2017/richdata2" ref="A4:L42">
    <sortCondition ref="A19"/>
  </sortState>
  <tableColumns count="12">
    <tableColumn id="1" xr3:uid="{00000000-0010-0000-0A00-000001000000}" name="Insumo" dataDxfId="112" dataCellStyle="Normal 2"/>
    <tableColumn id="2" xr3:uid="{00000000-0010-0000-0A00-000002000000}" name="N° de cat" dataDxfId="111" dataCellStyle="Normal 2"/>
    <tableColumn id="7" xr3:uid="{00000000-0010-0000-0A00-000007000000}" name="Stock en uso" dataDxfId="110" dataCellStyle="Normal 2"/>
    <tableColumn id="8" xr3:uid="{00000000-0010-0000-0A00-000008000000}" name="Stock nuevo" dataDxfId="109" dataCellStyle="Normal 2"/>
    <tableColumn id="10" xr3:uid="{00000000-0010-0000-0A00-00000A000000}" name="Stock" dataDxfId="108" dataCellStyle="Normal 2">
      <calculatedColumnFormula>Reactivos_HACH[[#This Row],[Stock en uso]]+Reactivos_HACH[[#This Row],[Stock nuevo]]</calculatedColumnFormula>
    </tableColumn>
    <tableColumn id="9" xr3:uid="{00000000-0010-0000-0A00-000009000000}" name="Unidad" dataDxfId="107" dataCellStyle="Normal 2"/>
    <tableColumn id="11" xr3:uid="{00000000-0010-0000-0A00-00000B000000}" name="Ingreso" dataDxfId="106" dataCellStyle="Normal 2"/>
    <tableColumn id="3" xr3:uid="{00000000-0010-0000-0A00-000003000000}" name="Lote" dataDxfId="105" dataCellStyle="Normal 2"/>
    <tableColumn id="5" xr3:uid="{00000000-0010-0000-0A00-000005000000}" name="Cantidad inicial" dataDxfId="104" dataCellStyle="Normal 2"/>
    <tableColumn id="6" xr3:uid="{00000000-0010-0000-0A00-000006000000}" name="Vencimiento" dataDxfId="103" dataCellStyle="Normal 2"/>
    <tableColumn id="14" xr3:uid="{00000000-0010-0000-0A00-00000E000000}" name="Observaciones" dataDxfId="102" dataCellStyle="Normal 2"/>
    <tableColumn id="4" xr3:uid="{00000000-0010-0000-0A00-000004000000}" name="Cierre de insumo" dataDxfId="101"/>
  </tableColumns>
  <tableStyleInfo name="TableStyleMedium1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B000000}" name="Solidos_heladera" displayName="Solidos_heladera" ref="A2:J10" totalsRowShown="0" headerRowDxfId="100" dataDxfId="99">
  <autoFilter ref="A2:J10" xr:uid="{00000000-0009-0000-0100-000004000000}"/>
  <sortState xmlns:xlrd2="http://schemas.microsoft.com/office/spreadsheetml/2017/richdata2" ref="A3:J10">
    <sortCondition ref="B8"/>
  </sortState>
  <tableColumns count="10">
    <tableColumn id="1" xr3:uid="{00000000-0010-0000-0B00-000001000000}" name="Nº" dataDxfId="98"/>
    <tableColumn id="3" xr3:uid="{00000000-0010-0000-0B00-000003000000}" name="Insumo" dataDxfId="97"/>
    <tableColumn id="6" xr3:uid="{00000000-0010-0000-0B00-000006000000}" name="Marca" dataDxfId="96"/>
    <tableColumn id="4" xr3:uid="{00000000-0010-0000-0B00-000004000000}" name="Stock" dataDxfId="95" dataCellStyle="Normal 2"/>
    <tableColumn id="5" xr3:uid="{00000000-0010-0000-0B00-000005000000}" name="Ingreso" dataDxfId="94"/>
    <tableColumn id="10" xr3:uid="{00000000-0010-0000-0B00-00000A000000}" name="lote" dataDxfId="93" dataCellStyle="Normal 2"/>
    <tableColumn id="7" xr3:uid="{00000000-0010-0000-0B00-000007000000}" name="Cantidad inicial" dataDxfId="92"/>
    <tableColumn id="9" xr3:uid="{00000000-0010-0000-0B00-000009000000}" name="Vencimiento" dataDxfId="91"/>
    <tableColumn id="20" xr3:uid="{00000000-0010-0000-0B00-000014000000}" name="Observaciones" dataDxfId="90"/>
    <tableColumn id="2" xr3:uid="{00000000-0010-0000-0B00-000002000000}" name="Cierre de insumo" dataDxfId="89"/>
  </tableColumns>
  <tableStyleInfo name="TableStyleMedium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solidos_mas_usados" displayName="solidos_mas_usados" ref="A2:K105" headerRowDxfId="88" dataDxfId="87" totalsRowDxfId="86">
  <autoFilter ref="A2:K105" xr:uid="{00000000-0009-0000-0100-000001000000}">
    <filterColumn colId="9">
      <filters blank="1"/>
    </filterColumn>
  </autoFilter>
  <sortState xmlns:xlrd2="http://schemas.microsoft.com/office/spreadsheetml/2017/richdata2" ref="A3:K105">
    <sortCondition ref="B102"/>
  </sortState>
  <tableColumns count="11">
    <tableColumn id="1" xr3:uid="{00000000-0010-0000-0C00-000001000000}" name="Nº" totalsRowLabel="Total" dataDxfId="85"/>
    <tableColumn id="3" xr3:uid="{00000000-0010-0000-0C00-000003000000}" name="Insumo" dataDxfId="84"/>
    <tableColumn id="12" xr3:uid="{00000000-0010-0000-0C00-00000C000000}" name="Marca" dataDxfId="83"/>
    <tableColumn id="8" xr3:uid="{00000000-0010-0000-0C00-000008000000}" name="Stock" dataDxfId="82" totalsRowDxfId="81"/>
    <tableColumn id="13" xr3:uid="{00000000-0010-0000-0C00-00000D000000}" name="Ingreso" dataDxfId="80" totalsRowDxfId="79"/>
    <tableColumn id="6" xr3:uid="{00000000-0010-0000-0C00-000006000000}" name="lote" dataDxfId="78" totalsRowDxfId="77"/>
    <tableColumn id="7" xr3:uid="{00000000-0010-0000-0C00-000007000000}" name="Cantidad inicial" dataDxfId="76" totalsRowDxfId="75"/>
    <tableColumn id="10" xr3:uid="{00000000-0010-0000-0C00-00000A000000}" name="Vencimiento" dataDxfId="74" totalsRowDxfId="73"/>
    <tableColumn id="11" xr3:uid="{00000000-0010-0000-0C00-00000B000000}" name="Observaciones" dataDxfId="72"/>
    <tableColumn id="2" xr3:uid="{00000000-0010-0000-0C00-000002000000}" name="Cierre de insumo" dataDxfId="71"/>
    <tableColumn id="4" xr3:uid="{00000000-0010-0000-0C00-000004000000}" name="Hoja2" dataDxfId="70" totalsRowDxfId="69"/>
  </tableColumns>
  <tableStyleInfo name="TableStyleMedium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D000000}" name="Solidos_menos_usados" displayName="Solidos_menos_usados" ref="A2:J75" totalsRowShown="0" headerRowDxfId="68" dataDxfId="67">
  <autoFilter ref="A2:J75" xr:uid="{00000000-0009-0000-0100-000002000000}">
    <filterColumn colId="9">
      <filters blank="1"/>
    </filterColumn>
  </autoFilter>
  <sortState xmlns:xlrd2="http://schemas.microsoft.com/office/spreadsheetml/2017/richdata2" ref="A3:J74">
    <sortCondition ref="A74"/>
  </sortState>
  <tableColumns count="10">
    <tableColumn id="1" xr3:uid="{00000000-0010-0000-0D00-000001000000}" name="Nº" dataDxfId="66"/>
    <tableColumn id="3" xr3:uid="{00000000-0010-0000-0D00-000003000000}" name="Insumo" dataDxfId="65"/>
    <tableColumn id="6" xr3:uid="{00000000-0010-0000-0D00-000006000000}" name="Marca" dataDxfId="64"/>
    <tableColumn id="4" xr3:uid="{00000000-0010-0000-0D00-000004000000}" name="Stock" dataDxfId="63"/>
    <tableColumn id="10" xr3:uid="{00000000-0010-0000-0D00-00000A000000}" name="Ingreso" dataDxfId="62" dataCellStyle="Normal 2"/>
    <tableColumn id="5" xr3:uid="{00000000-0010-0000-0D00-000005000000}" name="lote" dataDxfId="61" dataCellStyle="Normal 2"/>
    <tableColumn id="7" xr3:uid="{00000000-0010-0000-0D00-000007000000}" name="Cantidad inicial" dataDxfId="60"/>
    <tableColumn id="9" xr3:uid="{00000000-0010-0000-0D00-000009000000}" name="Vencimiento" dataDxfId="59"/>
    <tableColumn id="17" xr3:uid="{00000000-0010-0000-0D00-000011000000}" name="Observaciones" dataDxfId="58"/>
    <tableColumn id="2" xr3:uid="{00000000-0010-0000-0D00-000002000000}" name="Cierre de insumo" dataDxfId="57"/>
  </tableColumns>
  <tableStyleInfo name="TableStyleMedium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00000}" name="Solventes" displayName="Solventes" ref="A2:J70" totalsRowShown="0" headerRowDxfId="56" dataDxfId="55">
  <autoFilter ref="A2:J70" xr:uid="{00000000-0009-0000-0100-000005000000}">
    <filterColumn colId="9">
      <filters blank="1"/>
    </filterColumn>
  </autoFilter>
  <sortState xmlns:xlrd2="http://schemas.microsoft.com/office/spreadsheetml/2017/richdata2" ref="A3:J70">
    <sortCondition ref="A62:A70"/>
  </sortState>
  <tableColumns count="10">
    <tableColumn id="1" xr3:uid="{00000000-0010-0000-0E00-000001000000}" name="Insumo" dataDxfId="54"/>
    <tableColumn id="3" xr3:uid="{00000000-0010-0000-0E00-000003000000}" name="Grado" dataDxfId="53" dataCellStyle="Normal 2"/>
    <tableColumn id="15" xr3:uid="{00000000-0010-0000-0E00-00000F000000}" name="Marca" dataDxfId="52" dataCellStyle="Normal 2"/>
    <tableColumn id="16" xr3:uid="{00000000-0010-0000-0E00-000010000000}" name="Stock" dataDxfId="51" dataCellStyle="Normal 2"/>
    <tableColumn id="4" xr3:uid="{00000000-0010-0000-0E00-000004000000}" name="Ingreso" dataDxfId="50" dataCellStyle="Normal 2"/>
    <tableColumn id="17" xr3:uid="{00000000-0010-0000-0E00-000011000000}" name="Lote" dataDxfId="49" dataCellStyle="Normal 2"/>
    <tableColumn id="7" xr3:uid="{00000000-0010-0000-0E00-000007000000}" name="Cantidad inicial" dataDxfId="48" dataCellStyle="Normal 2"/>
    <tableColumn id="6" xr3:uid="{00000000-0010-0000-0E00-000006000000}" name="Vencimiento" dataDxfId="47" dataCellStyle="Normal 2"/>
    <tableColumn id="13" xr3:uid="{00000000-0010-0000-0E00-00000D000000}" name="Observaciones" dataDxfId="46"/>
    <tableColumn id="2" xr3:uid="{00000000-0010-0000-0E00-000002000000}" name="Cierre de insumo" dataDxfId="45" dataCellStyle="Normal 2"/>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130"/>
  <sheetViews>
    <sheetView topLeftCell="C1" workbookViewId="0">
      <selection activeCell="J3" sqref="J3"/>
    </sheetView>
  </sheetViews>
  <sheetFormatPr defaultColWidth="9.140625" defaultRowHeight="15" x14ac:dyDescent="0.25"/>
  <cols>
    <col min="1" max="1" width="33.7109375" style="14" customWidth="1"/>
    <col min="2" max="2" width="39.7109375" style="14" customWidth="1"/>
    <col min="3" max="3" width="31.42578125" style="14" customWidth="1"/>
    <col min="4" max="4" width="34.28515625" style="14" customWidth="1"/>
    <col min="5" max="5" width="23.85546875" style="14" customWidth="1"/>
    <col min="6" max="6" width="22.7109375" style="14" customWidth="1"/>
    <col min="7" max="7" width="20.85546875" style="14" bestFit="1" customWidth="1"/>
    <col min="8" max="8" width="32.5703125" style="14" bestFit="1" customWidth="1"/>
    <col min="9" max="9" width="25.5703125" style="14" customWidth="1"/>
    <col min="10" max="10" width="9.140625" style="14"/>
    <col min="11" max="11" width="12.7109375" style="14" bestFit="1" customWidth="1"/>
    <col min="12" max="12" width="12.28515625" style="14" bestFit="1" customWidth="1"/>
    <col min="13" max="16384" width="9.140625" style="14"/>
  </cols>
  <sheetData>
    <row r="1" spans="1:17" s="27" customFormat="1" ht="37.5" x14ac:dyDescent="0.25">
      <c r="A1" s="28" t="s">
        <v>60</v>
      </c>
      <c r="B1" s="28" t="s">
        <v>392</v>
      </c>
      <c r="C1" s="28" t="s">
        <v>393</v>
      </c>
      <c r="D1" s="28" t="s">
        <v>398</v>
      </c>
      <c r="E1" s="28" t="s">
        <v>400</v>
      </c>
      <c r="F1" s="28" t="s">
        <v>443</v>
      </c>
      <c r="G1" s="28" t="s">
        <v>410</v>
      </c>
      <c r="H1" s="28" t="s">
        <v>440</v>
      </c>
      <c r="I1" s="28" t="s">
        <v>597</v>
      </c>
      <c r="J1" s="28" t="s">
        <v>63</v>
      </c>
      <c r="K1" s="28" t="s">
        <v>594</v>
      </c>
      <c r="L1" s="28" t="s">
        <v>739</v>
      </c>
      <c r="M1" s="28" t="s">
        <v>447</v>
      </c>
      <c r="N1" s="28" t="s">
        <v>448</v>
      </c>
      <c r="O1" s="28" t="s">
        <v>449</v>
      </c>
      <c r="P1" s="28" t="s">
        <v>450</v>
      </c>
      <c r="Q1" s="28" t="s">
        <v>451</v>
      </c>
    </row>
    <row r="2" spans="1:17" ht="47.25" x14ac:dyDescent="0.25">
      <c r="A2" s="29" t="str">
        <f>IF(ROWS('Insumos a comprar'!$B$5:B5)&lt;=COUNTIF(Insumos_a_comprar[Planilla],A$1),INDEX(Insumos_a_comprar[Insumo],_xlfn.AGGREGATE(15,6,(Insumos_a_comprar[Planilla]=A$1)/(Insumos_a_comprar[Planilla]=A$1)*ROW(Insumos_a_comprar[Planilla])-ROW(Insumos_a_comprar[[#Headers],[Planilla]]),ROWS('Insumos a comprar'!$B$5:B5))),"")</f>
        <v>4-aminoantipirina  (4-AAP)</v>
      </c>
      <c r="B2" s="29" t="str">
        <f>IF(ROWS('Insumos a comprar'!$B$5:B5)&lt;=COUNTIF(Insumos_a_comprar[Planilla],B$1),INDEX(Insumos_a_comprar[Insumo],_xlfn.AGGREGATE(15,6,(Insumos_a_comprar[Planilla]=B$1)/(Insumos_a_comprar[Planilla]=B$1)*ROW(Insumos_a_comprar[Planilla])-ROW(Insumos_a_comprar[[#Headers],[Planilla]]),ROWS('Insumos a comprar'!$B$5:B5))),"")</f>
        <v>Acido bórico</v>
      </c>
      <c r="C2" s="29" t="str">
        <f>IF(ROWS('Insumos a comprar'!$B$5:E5)&lt;=COUNTIF(Insumos_a_comprar[Planilla],C$1),INDEX(Insumos_a_comprar[Insumo],_xlfn.AGGREGATE(15,6,(Insumos_a_comprar[Planilla]=C$1)/(Insumos_a_comprar[Planilla]=C$1)*ROW(Insumos_a_comprar[Planilla])-ROW(Insumos_a_comprar[[#Headers],[Planilla]]),ROWS('Insumos a comprar'!$B$5:E5))),"")</f>
        <v xml:space="preserve">Amonio pirrolidinditiocarbamato </v>
      </c>
      <c r="D2" s="29" t="str">
        <f>IF(ROWS('Insumos a comprar'!$B$5:F5)&lt;=COUNTIF(Insumos_a_comprar[Planilla],D$1),INDEX(Insumos_a_comprar[Insumo],_xlfn.AGGREGATE(15,6,(Insumos_a_comprar[Planilla]=D$1)/(Insumos_a_comprar[Planilla]=D$1)*ROW(Insumos_a_comprar[Planilla])-ROW(Insumos_a_comprar[[#Headers],[Planilla]]),ROWS('Insumos a comprar'!$B$5:F5))),"")</f>
        <v>1-Butanol</v>
      </c>
      <c r="E2" s="29" t="str">
        <f>IF(ROWS('Insumos a comprar'!$B$5:G5)&lt;=COUNTIF(Insumos_a_comprar[Planilla],E$1),INDEX(Insumos_a_comprar[Insumo],_xlfn.AGGREGATE(15,6,(Insumos_a_comprar[Planilla]=E$1)/(Insumos_a_comprar[Planilla]=E$1)*ROW(Insumos_a_comprar[Planilla])-ROW(Insumos_a_comprar[[#Headers],[Planilla]]),ROWS('Insumos a comprar'!$B$5:G5))),"")</f>
        <v>Amoniaco (alcohol polivinilico)</v>
      </c>
      <c r="F2" s="29" t="str">
        <f>IF(ROWS('Insumos a comprar'!$B$5:H5)&lt;=COUNTIF(Insumos_a_comprar[Planilla],F$1),INDEX(Insumos_a_comprar[Insumo],_xlfn.AGGREGATE(15,6,(Insumos_a_comprar[Planilla]=F$1)/(Insumos_a_comprar[Planilla]=F$1)*ROW(Insumos_a_comprar[Planilla])-ROW(Insumos_a_comprar[[#Headers],[Planilla]]),ROWS('Insumos a comprar'!$B$5:H5))),"")</f>
        <v>Acido acetico glacial</v>
      </c>
      <c r="G2" s="29" t="str">
        <f>IF(ROWS('Insumos a comprar'!$B$5:I5)&lt;=COUNTIF(Insumos_a_comprar[Planilla],G$1),INDEX(Insumos_a_comprar[Insumo],_xlfn.AGGREGATE(15,6,(Insumos_a_comprar[Planilla]=G$1)/(Insumos_a_comprar[Planilla]=G$1)*ROW(Insumos_a_comprar[Planilla])-ROW(Insumos_a_comprar[[#Headers],[Planilla]]),ROWS('Insumos a comprar'!$B$5:I5))),"")</f>
        <v>Acetileno</v>
      </c>
      <c r="H2" s="29" t="str">
        <f>IF(ROWS('Insumos a comprar'!$B$5:I5)&lt;=COUNTIF(Insumos_a_comprar[Planilla],H$1),INDEX(Insumos_a_comprar[Insumo],_xlfn.AGGREGATE(15,6,(Insumos_a_comprar[Planilla]=H$1)/(Insumos_a_comprar[Planilla]=H$1)*ROW(Insumos_a_comprar[Planilla])-ROW(Insumos_a_comprar[[#Headers],[Planilla]]),ROWS('Insumos a comprar'!$B$5:I5))),"")</f>
        <v xml:space="preserve">Agarraderas de metal  </v>
      </c>
      <c r="I2" s="29" t="str">
        <f>IF(ROWS('Insumos a comprar'!$B$5:I5)&lt;=COUNTIF(Insumos_a_comprar[Planilla],I$1),INDEX(Insumos_a_comprar[Insumo],_xlfn.AGGREGATE(15,6,(Insumos_a_comprar[Planilla]=I$1)/(Insumos_a_comprar[Planilla]=I$1)*ROW(Insumos_a_comprar[Planilla])-ROW(Insumos_a_comprar[[#Headers],[Planilla]]),ROWS('Insumos a comprar'!$B$5:I5))),"")</f>
        <v xml:space="preserve">Alcohol  </v>
      </c>
      <c r="J2" s="29" t="str">
        <f>IF(ROWS('Insumos a comprar'!$B$5:I5)&lt;=COUNTIF(Insumos_a_comprar[Planilla],J$1),INDEX(Insumos_a_comprar[Insumo],_xlfn.AGGREGATE(15,6,(Insumos_a_comprar[Planilla]=J$1)/(Insumos_a_comprar[Planilla]=J$1)*ROW(Insumos_a_comprar[Planilla])-ROW(Insumos_a_comprar[[#Headers],[Planilla]]),ROWS('Insumos a comprar'!$B$5:I5))),"")</f>
        <v>Aceite Ultra grade 15</v>
      </c>
      <c r="K2" s="29" t="str">
        <f>IF(ROWS('Insumos a comprar'!$B$5:I5)&lt;=COUNTIF(Insumos_a_comprar[Planilla],K$1),INDEX(Insumos_a_comprar[Insumo],_xlfn.AGGREGATE(15,6,(Insumos_a_comprar[Planilla]=K$1)/(Insumos_a_comprar[Planilla]=K$1)*ROW(Insumos_a_comprar[Planilla])-ROW(Insumos_a_comprar[[#Headers],[Planilla]]),ROWS('Insumos a comprar'!$B$5:I5))),"")</f>
        <v>Aluminio</v>
      </c>
      <c r="L2" s="29" t="str">
        <f>IF(ROWS('Insumos a comprar'!$B$5:I5)&lt;=COUNTIF(Insumos_a_comprar[Planilla],L$1),INDEX(Insumos_a_comprar[Insumo],_xlfn.AGGREGATE(15,6,(Insumos_a_comprar[Planilla]=L$1)/(Insumos_a_comprar[Planilla]=L$1)*ROW(Insumos_a_comprar[Planilla])-ROW(Insumos_a_comprar[[#Headers],[Planilla]]),ROWS('Insumos a comprar'!$B$5:I5))),"")</f>
        <v>Agua Oxigenada</v>
      </c>
      <c r="M2" s="29"/>
      <c r="N2" s="29"/>
      <c r="O2" s="29"/>
      <c r="P2" s="29"/>
      <c r="Q2" s="29"/>
    </row>
    <row r="3" spans="1:17" ht="47.25" x14ac:dyDescent="0.25">
      <c r="A3" s="29" t="str">
        <f>IF(ROWS('Insumos a comprar'!$B$5:B6)&lt;=COUNTIF(Insumos_a_comprar[Planilla],A$1),INDEX(Insumos_a_comprar[Insumo],_xlfn.AGGREGATE(15,6,(Insumos_a_comprar[Planilla]=A$1)/(Insumos_a_comprar[Planilla]=A$1)*ROW(Insumos_a_comprar[Planilla])-ROW(Insumos_a_comprar[[#Headers],[Planilla]]),ROWS('Insumos a comprar'!$B$5:B6))),"")</f>
        <v>Acido amidosulfúrico (H₂NSO₃H)</v>
      </c>
      <c r="B3" s="29" t="str">
        <f>IF(ROWS('Insumos a comprar'!$B$5:B6)&lt;=COUNTIF(Insumos_a_comprar[Planilla],B$1),INDEX(Insumos_a_comprar[Insumo],_xlfn.AGGREGATE(15,6,(Insumos_a_comprar[Planilla]=B$1)/(Insumos_a_comprar[Planilla]=B$1)*ROW(Insumos_a_comprar[Planilla])-ROW(Insumos_a_comprar[[#Headers],[Planilla]]),ROWS('Insumos a comprar'!$B$5:B6))),"")</f>
        <v>Acido cromotrópico (C10H8O8S2)</v>
      </c>
      <c r="C3" s="29" t="str">
        <f>IF(ROWS('Insumos a comprar'!$B$5:E6)&lt;=COUNTIF(Insumos_a_comprar[Planilla],C$1),INDEX(Insumos_a_comprar[Insumo],_xlfn.AGGREGATE(15,6,(Insumos_a_comprar[Planilla]=C$1)/(Insumos_a_comprar[Planilla]=C$1)*ROW(Insumos_a_comprar[Planilla])-ROW(Insumos_a_comprar[[#Headers],[Planilla]]),ROWS('Insumos a comprar'!$B$5:E6))),"")</f>
        <v xml:space="preserve">Amonio pyrrolidine-1-dithiocarboxylic acid  salt </v>
      </c>
      <c r="D3" s="29" t="str">
        <f>IF(ROWS('Insumos a comprar'!$B$5:F6)&lt;=COUNTIF(Insumos_a_comprar[Planilla],D$1),INDEX(Insumos_a_comprar[Insumo],_xlfn.AGGREGATE(15,6,(Insumos_a_comprar[Planilla]=D$1)/(Insumos_a_comprar[Planilla]=D$1)*ROW(Insumos_a_comprar[Planilla])-ROW(Insumos_a_comprar[[#Headers],[Planilla]]),ROWS('Insumos a comprar'!$B$5:F6))),"")</f>
        <v>1-Metoxi-2-propanol/propilenglicol metil eter</v>
      </c>
      <c r="E3" s="29" t="str">
        <f>IF(ROWS('Insumos a comprar'!$B$5:G6)&lt;=COUNTIF(Insumos_a_comprar[Planilla],E$1),INDEX(Insumos_a_comprar[Insumo],_xlfn.AGGREGATE(15,6,(Insumos_a_comprar[Planilla]=E$1)/(Insumos_a_comprar[Planilla]=E$1)*ROW(Insumos_a_comprar[Planilla])-ROW(Insumos_a_comprar[[#Headers],[Planilla]]),ROWS('Insumos a comprar'!$B$5:G6))),"")</f>
        <v>Amoniaco (estabilizante mineral)</v>
      </c>
      <c r="F3" s="29" t="str">
        <f>IF(ROWS('Insumos a comprar'!$B$5:H6)&lt;=COUNTIF(Insumos_a_comprar[Planilla],F$1),INDEX(Insumos_a_comprar[Insumo],_xlfn.AGGREGATE(15,6,(Insumos_a_comprar[Planilla]=F$1)/(Insumos_a_comprar[Planilla]=F$1)*ROW(Insumos_a_comprar[Planilla])-ROW(Insumos_a_comprar[[#Headers],[Planilla]]),ROWS('Insumos a comprar'!$B$5:H6))),"")</f>
        <v>Acido clorhidrico 37%</v>
      </c>
      <c r="G3" s="29" t="str">
        <f>IF(ROWS('Insumos a comprar'!$B$5:I6)&lt;=COUNTIF(Insumos_a_comprar[Planilla],G$1),INDEX(Insumos_a_comprar[Insumo],_xlfn.AGGREGATE(15,6,(Insumos_a_comprar[Planilla]=G$1)/(Insumos_a_comprar[Planilla]=G$1)*ROW(Insumos_a_comprar[Planilla])-ROW(Insumos_a_comprar[[#Headers],[Planilla]]),ROWS('Insumos a comprar'!$B$5:I6))),"")</f>
        <v>Aire sintetico</v>
      </c>
      <c r="H3" s="29" t="str">
        <f>IF(ROWS('Insumos a comprar'!$B$5:I6)&lt;=COUNTIF(Insumos_a_comprar[Planilla],H$1),INDEX(Insumos_a_comprar[Insumo],_xlfn.AGGREGATE(15,6,(Insumos_a_comprar[Planilla]=H$1)/(Insumos_a_comprar[Planilla]=H$1)*ROW(Insumos_a_comprar[Planilla])-ROW(Insumos_a_comprar[[#Headers],[Planilla]]),ROWS('Insumos a comprar'!$B$5:I6))),"")</f>
        <v>Ampollas extracción  1000 ml</v>
      </c>
      <c r="I3" s="29" t="str">
        <f>IF(ROWS('Insumos a comprar'!$B$5:I6)&lt;=COUNTIF(Insumos_a_comprar[Planilla],I$1),INDEX(Insumos_a_comprar[Insumo],_xlfn.AGGREGATE(15,6,(Insumos_a_comprar[Planilla]=I$1)/(Insumos_a_comprar[Planilla]=I$1)*ROW(Insumos_a_comprar[Planilla])-ROW(Insumos_a_comprar[[#Headers],[Planilla]]),ROWS('Insumos a comprar'!$B$5:I6))),"")</f>
        <v>Bidones Residuos 20 Lt</v>
      </c>
      <c r="J3" s="29" t="str">
        <f>IF(ROWS('Insumos a comprar'!$B$5:I6)&lt;=COUNTIF(Insumos_a_comprar[Planilla],J$1),INDEX(Insumos_a_comprar[Insumo],_xlfn.AGGREGATE(15,6,(Insumos_a_comprar[Planilla]=J$1)/(Insumos_a_comprar[Planilla]=J$1)*ROW(Insumos_a_comprar[Planilla])-ROW(Insumos_a_comprar[[#Headers],[Planilla]]),ROWS('Insumos a comprar'!$B$5:I6))),"")</f>
        <v xml:space="preserve">Adaptadores de columna </v>
      </c>
      <c r="K3" s="29" t="str">
        <f>IF(ROWS('Insumos a comprar'!$B$5:I6)&lt;=COUNTIF(Insumos_a_comprar[Planilla],K$1),INDEX(Insumos_a_comprar[Insumo],_xlfn.AGGREGATE(15,6,(Insumos_a_comprar[Planilla]=K$1)/(Insumos_a_comprar[Planilla]=K$1)*ROW(Insumos_a_comprar[Planilla])-ROW(Insumos_a_comprar[[#Headers],[Planilla]]),ROWS('Insumos a comprar'!$B$5:I6))),"")</f>
        <v>Antimonio</v>
      </c>
      <c r="L3" s="29" t="str">
        <f>IF(ROWS('Insumos a comprar'!$B$5:I6)&lt;=COUNTIF(Insumos_a_comprar[Planilla],L$1),INDEX(Insumos_a_comprar[Insumo],_xlfn.AGGREGATE(15,6,(Insumos_a_comprar[Planilla]=L$1)/(Insumos_a_comprar[Planilla]=L$1)*ROW(Insumos_a_comprar[Planilla])-ROW(Insumos_a_comprar[[#Headers],[Planilla]]),ROWS('Insumos a comprar'!$B$5:I6))),"")</f>
        <v>Aspirina</v>
      </c>
      <c r="M3" s="29"/>
      <c r="N3" s="29"/>
      <c r="O3" s="29"/>
      <c r="P3" s="29"/>
      <c r="Q3" s="29"/>
    </row>
    <row r="4" spans="1:17" ht="47.25" x14ac:dyDescent="0.25">
      <c r="A4" s="29" t="str">
        <f>IF(ROWS('Insumos a comprar'!$B$5:B7)&lt;=COUNTIF(Insumos_a_comprar[Planilla],A$1),INDEX(Insumos_a_comprar[Insumo],_xlfn.AGGREGATE(15,6,(Insumos_a_comprar[Planilla]=A$1)/(Insumos_a_comprar[Planilla]=A$1)*ROW(Insumos_a_comprar[Planilla])-ROW(Insumos_a_comprar[[#Headers],[Planilla]]),ROWS('Insumos a comprar'!$B$5:B7))),"")</f>
        <v>Acido sulfámico</v>
      </c>
      <c r="B4" s="29" t="str">
        <f>IF(ROWS('Insumos a comprar'!$B$5:B7)&lt;=COUNTIF(Insumos_a_comprar[Planilla],B$1),INDEX(Insumos_a_comprar[Insumo],_xlfn.AGGREGATE(15,6,(Insumos_a_comprar[Planilla]=B$1)/(Insumos_a_comprar[Planilla]=B$1)*ROW(Insumos_a_comprar[Planilla])-ROW(Insumos_a_comprar[[#Headers],[Planilla]]),ROWS('Insumos a comprar'!$B$5:B7))),"")</f>
        <v>Acido esteárico (C18H36O2)</v>
      </c>
      <c r="C4" s="29" t="str">
        <f>IF(ROWS('Insumos a comprar'!$B$5:E7)&lt;=COUNTIF(Insumos_a_comprar[Planilla],C$1),INDEX(Insumos_a_comprar[Insumo],_xlfn.AGGREGATE(15,6,(Insumos_a_comprar[Planilla]=C$1)/(Insumos_a_comprar[Planilla]=C$1)*ROW(Insumos_a_comprar[Planilla])-ROW(Insumos_a_comprar[[#Headers],[Planilla]]),ROWS('Insumos a comprar'!$B$5:E7))),"")</f>
        <v>Kit Microcistinas</v>
      </c>
      <c r="D4" s="29" t="str">
        <f>IF(ROWS('Insumos a comprar'!$B$5:F7)&lt;=COUNTIF(Insumos_a_comprar[Planilla],D$1),INDEX(Insumos_a_comprar[Insumo],_xlfn.AGGREGATE(15,6,(Insumos_a_comprar[Planilla]=D$1)/(Insumos_a_comprar[Planilla]=D$1)*ROW(Insumos_a_comprar[Planilla])-ROW(Insumos_a_comprar[[#Headers],[Planilla]]),ROWS('Insumos a comprar'!$B$5:F7))),"")</f>
        <v>1-Octanol</v>
      </c>
      <c r="E4" s="29" t="str">
        <f>IF(ROWS('Insumos a comprar'!$B$5:G7)&lt;=COUNTIF(Insumos_a_comprar[Planilla],E$1),INDEX(Insumos_a_comprar[Insumo],_xlfn.AGGREGATE(15,6,(Insumos_a_comprar[Planilla]=E$1)/(Insumos_a_comprar[Planilla]=E$1)*ROW(Insumos_a_comprar[Planilla])-ROW(Insumos_a_comprar[[#Headers],[Planilla]]),ROWS('Insumos a comprar'!$B$5:G7))),"")</f>
        <v>Amoniaco (Nessler)</v>
      </c>
      <c r="F4" s="29" t="str">
        <f>IF(ROWS('Insumos a comprar'!$B$5:H7)&lt;=COUNTIF(Insumos_a_comprar[Planilla],F$1),INDEX(Insumos_a_comprar[Insumo],_xlfn.AGGREGATE(15,6,(Insumos_a_comprar[Planilla]=F$1)/(Insumos_a_comprar[Planilla]=F$1)*ROW(Insumos_a_comprar[Planilla])-ROW(Insumos_a_comprar[[#Headers],[Planilla]]),ROWS('Insumos a comprar'!$B$5:H7))),"")</f>
        <v>Acido fluorhídrico</v>
      </c>
      <c r="G4" s="29" t="str">
        <f>IF(ROWS('Insumos a comprar'!$B$5:I7)&lt;=COUNTIF(Insumos_a_comprar[Planilla],G$1),INDEX(Insumos_a_comprar[Insumo],_xlfn.AGGREGATE(15,6,(Insumos_a_comprar[Planilla]=G$1)/(Insumos_a_comprar[Planilla]=G$1)*ROW(Insumos_a_comprar[Planilla])-ROW(Insumos_a_comprar[[#Headers],[Planilla]]),ROWS('Insumos a comprar'!$B$5:I7))),"")</f>
        <v>Helio 5,0</v>
      </c>
      <c r="H4" s="29" t="str">
        <f>IF(ROWS('Insumos a comprar'!$B$5:I7)&lt;=COUNTIF(Insumos_a_comprar[Planilla],H$1),INDEX(Insumos_a_comprar[Insumo],_xlfn.AGGREGATE(15,6,(Insumos_a_comprar[Planilla]=H$1)/(Insumos_a_comprar[Planilla]=H$1)*ROW(Insumos_a_comprar[Planilla])-ROW(Insumos_a_comprar[[#Headers],[Planilla]]),ROWS('Insumos a comprar'!$B$5:I7))),"")</f>
        <v>Ampollas extracción  2000 ml</v>
      </c>
      <c r="I4" s="29" t="str">
        <f>IF(ROWS('Insumos a comprar'!$B$5:I7)&lt;=COUNTIF(Insumos_a_comprar[Planilla],I$1),INDEX(Insumos_a_comprar[Insumo],_xlfn.AGGREGATE(15,6,(Insumos_a_comprar[Planilla]=I$1)/(Insumos_a_comprar[Planilla]=I$1)*ROW(Insumos_a_comprar[Planilla])-ROW(Insumos_a_comprar[[#Headers],[Planilla]]),ROWS('Insumos a comprar'!$B$5:I7))),"")</f>
        <v>Bidones Residuos Chicos</v>
      </c>
      <c r="J4" s="29" t="str">
        <f>IF(ROWS('Insumos a comprar'!$B$5:I7)&lt;=COUNTIF(Insumos_a_comprar[Planilla],J$1),INDEX(Insumos_a_comprar[Insumo],_xlfn.AGGREGATE(15,6,(Insumos_a_comprar[Planilla]=J$1)/(Insumos_a_comprar[Planilla]=J$1)*ROW(Insumos_a_comprar[Planilla])-ROW(Insumos_a_comprar[[#Headers],[Planilla]]),ROWS('Insumos a comprar'!$B$5:I7))),"")</f>
        <v xml:space="preserve">Capilares </v>
      </c>
      <c r="K4" s="29" t="str">
        <f>IF(ROWS('Insumos a comprar'!$B$5:I7)&lt;=COUNTIF(Insumos_a_comprar[Planilla],K$1),INDEX(Insumos_a_comprar[Insumo],_xlfn.AGGREGATE(15,6,(Insumos_a_comprar[Planilla]=K$1)/(Insumos_a_comprar[Planilla]=K$1)*ROW(Insumos_a_comprar[Planilla])-ROW(Insumos_a_comprar[[#Headers],[Planilla]]),ROWS('Insumos a comprar'!$B$5:I7))),"")</f>
        <v>Arsenico</v>
      </c>
      <c r="L4" s="29" t="str">
        <f>IF(ROWS('Insumos a comprar'!$B$5:I7)&lt;=COUNTIF(Insumos_a_comprar[Planilla],L$1),INDEX(Insumos_a_comprar[Insumo],_xlfn.AGGREGATE(15,6,(Insumos_a_comprar[Planilla]=L$1)/(Insumos_a_comprar[Planilla]=L$1)*ROW(Insumos_a_comprar[Planilla])-ROW(Insumos_a_comprar[[#Headers],[Planilla]]),ROWS('Insumos a comprar'!$B$5:I7))),"")</f>
        <v>Cinta Adhesiva Ancha</v>
      </c>
      <c r="M4" s="29"/>
      <c r="N4" s="29"/>
      <c r="O4" s="29"/>
      <c r="P4" s="29"/>
      <c r="Q4" s="29"/>
    </row>
    <row r="5" spans="1:17" ht="47.25" x14ac:dyDescent="0.25">
      <c r="A5" s="29" t="str">
        <f>IF(ROWS('Insumos a comprar'!$B$5:B8)&lt;=COUNTIF(Insumos_a_comprar[Planilla],A$1),INDEX(Insumos_a_comprar[Insumo],_xlfn.AGGREGATE(15,6,(Insumos_a_comprar[Planilla]=A$1)/(Insumos_a_comprar[Planilla]=A$1)*ROW(Insumos_a_comprar[Planilla])-ROW(Insumos_a_comprar[[#Headers],[Planilla]]),ROWS('Insumos a comprar'!$B$5:B8))),"")</f>
        <v>Almidón</v>
      </c>
      <c r="B5" s="29" t="str">
        <f>IF(ROWS('Insumos a comprar'!$B$5:B8)&lt;=COUNTIF(Insumos_a_comprar[Planilla],B$1),INDEX(Insumos_a_comprar[Insumo],_xlfn.AGGREGATE(15,6,(Insumos_a_comprar[Planilla]=B$1)/(Insumos_a_comprar[Planilla]=B$1)*ROW(Insumos_a_comprar[Planilla])-ROW(Insumos_a_comprar[[#Headers],[Planilla]]),ROWS('Insumos a comprar'!$B$5:B8))),"")</f>
        <v>Acido L-glutámico</v>
      </c>
      <c r="C5" s="29" t="str">
        <f>IF(ROWS('Insumos a comprar'!$B$5:E8)&lt;=COUNTIF(Insumos_a_comprar[Planilla],C$1),INDEX(Insumos_a_comprar[Insumo],_xlfn.AGGREGATE(15,6,(Insumos_a_comprar[Planilla]=C$1)/(Insumos_a_comprar[Planilla]=C$1)*ROW(Insumos_a_comprar[Planilla])-ROW(Insumos_a_comprar[[#Headers],[Planilla]]),ROWS('Insumos a comprar'!$B$5:E8))),"")</f>
        <v>Plata dietil ditiocarbamato</v>
      </c>
      <c r="D5" s="29" t="str">
        <f>IF(ROWS('Insumos a comprar'!$B$5:F8)&lt;=COUNTIF(Insumos_a_comprar[Planilla],D$1),INDEX(Insumos_a_comprar[Insumo],_xlfn.AGGREGATE(15,6,(Insumos_a_comprar[Planilla]=D$1)/(Insumos_a_comprar[Planilla]=D$1)*ROW(Insumos_a_comprar[Planilla])-ROW(Insumos_a_comprar[[#Headers],[Planilla]]),ROWS('Insumos a comprar'!$B$5:F8))),"")</f>
        <v>2,2,4-trimetil pentano</v>
      </c>
      <c r="E5" s="29" t="str">
        <f>IF(ROWS('Insumos a comprar'!$B$5:G8)&lt;=COUNTIF(Insumos_a_comprar[Planilla],E$1),INDEX(Insumos_a_comprar[Insumo],_xlfn.AGGREGATE(15,6,(Insumos_a_comprar[Planilla]=E$1)/(Insumos_a_comprar[Planilla]=E$1)*ROW(Insumos_a_comprar[Planilla])-ROW(Insumos_a_comprar[[#Headers],[Planilla]]),ROWS('Insumos a comprar'!$B$5:G8))),"")</f>
        <v>Boro (Borover)</v>
      </c>
      <c r="F5" s="29" t="str">
        <f>IF(ROWS('Insumos a comprar'!$B$5:H8)&lt;=COUNTIF(Insumos_a_comprar[Planilla],F$1),INDEX(Insumos_a_comprar[Insumo],_xlfn.AGGREGATE(15,6,(Insumos_a_comprar[Planilla]=F$1)/(Insumos_a_comprar[Planilla]=F$1)*ROW(Insumos_a_comprar[Planilla])-ROW(Insumos_a_comprar[[#Headers],[Planilla]]),ROWS('Insumos a comprar'!$B$5:H8))),"")</f>
        <v>Acido Fosfórico 85%</v>
      </c>
      <c r="G5" s="29" t="str">
        <f>IF(ROWS('Insumos a comprar'!$B$5:I8)&lt;=COUNTIF(Insumos_a_comprar[Planilla],G$1),INDEX(Insumos_a_comprar[Insumo],_xlfn.AGGREGATE(15,6,(Insumos_a_comprar[Planilla]=G$1)/(Insumos_a_comprar[Planilla]=G$1)*ROW(Insumos_a_comprar[Planilla])-ROW(Insumos_a_comprar[[#Headers],[Planilla]]),ROWS('Insumos a comprar'!$B$5:I8))),"")</f>
        <v>Hidrógeno 5,0</v>
      </c>
      <c r="H5" s="29" t="str">
        <f>IF(ROWS('Insumos a comprar'!$B$5:I8)&lt;=COUNTIF(Insumos_a_comprar[Planilla],H$1),INDEX(Insumos_a_comprar[Insumo],_xlfn.AGGREGATE(15,6,(Insumos_a_comprar[Planilla]=H$1)/(Insumos_a_comprar[Planilla]=H$1)*ROW(Insumos_a_comprar[Planilla])-ROW(Insumos_a_comprar[[#Headers],[Planilla]]),ROWS('Insumos a comprar'!$B$5:I8))),"")</f>
        <v>Ampollas extracción  250 ml</v>
      </c>
      <c r="I5" s="29" t="str">
        <f>IF(ROWS('Insumos a comprar'!$B$5:I8)&lt;=COUNTIF(Insumos_a_comprar[Planilla],I$1),INDEX(Insumos_a_comprar[Insumo],_xlfn.AGGREGATE(15,6,(Insumos_a_comprar[Planilla]=I$1)/(Insumos_a_comprar[Planilla]=I$1)*ROW(Insumos_a_comprar[Planilla])-ROW(Insumos_a_comprar[[#Headers],[Planilla]]),ROWS('Insumos a comprar'!$B$5:I8))),"")</f>
        <v>Bolsas Amarillas Chicas</v>
      </c>
      <c r="J5" s="29" t="str">
        <f>IF(ROWS('Insumos a comprar'!$B$5:I8)&lt;=COUNTIF(Insumos_a_comprar[Planilla],J$1),INDEX(Insumos_a_comprar[Insumo],_xlfn.AGGREGATE(15,6,(Insumos_a_comprar[Planilla]=J$1)/(Insumos_a_comprar[Planilla]=J$1)*ROW(Insumos_a_comprar[Planilla])-ROW(Insumos_a_comprar[[#Headers],[Planilla]]),ROWS('Insumos a comprar'!$B$5:I8))),"")</f>
        <v xml:space="preserve">Cinta amarilla </v>
      </c>
      <c r="K5" s="29" t="str">
        <f>IF(ROWS('Insumos a comprar'!$B$5:I8)&lt;=COUNTIF(Insumos_a_comprar[Planilla],K$1),INDEX(Insumos_a_comprar[Insumo],_xlfn.AGGREGATE(15,6,(Insumos_a_comprar[Planilla]=K$1)/(Insumos_a_comprar[Planilla]=K$1)*ROW(Insumos_a_comprar[Planilla])-ROW(Insumos_a_comprar[[#Headers],[Planilla]]),ROWS('Insumos a comprar'!$B$5:I8))),"")</f>
        <v>Bario</v>
      </c>
      <c r="L5" s="29" t="str">
        <f>IF(ROWS('Insumos a comprar'!$B$5:I8)&lt;=COUNTIF(Insumos_a_comprar[Planilla],L$1),INDEX(Insumos_a_comprar[Insumo],_xlfn.AGGREGATE(15,6,(Insumos_a_comprar[Planilla]=L$1)/(Insumos_a_comprar[Planilla]=L$1)*ROW(Insumos_a_comprar[Planilla])-ROW(Insumos_a_comprar[[#Headers],[Planilla]]),ROWS('Insumos a comprar'!$B$5:I8))),"")</f>
        <v>Cinta Adhesiva Angosta</v>
      </c>
      <c r="M5" s="29"/>
      <c r="N5" s="29"/>
      <c r="O5" s="29"/>
      <c r="P5" s="29"/>
      <c r="Q5" s="29"/>
    </row>
    <row r="6" spans="1:17" ht="47.25" x14ac:dyDescent="0.25">
      <c r="A6" s="29" t="str">
        <f>IF(ROWS('Insumos a comprar'!$B$5:B9)&lt;=COUNTIF(Insumos_a_comprar[Planilla],A$1),INDEX(Insumos_a_comprar[Insumo],_xlfn.AGGREGATE(15,6,(Insumos_a_comprar[Planilla]=A$1)/(Insumos_a_comprar[Planilla]=A$1)*ROW(Insumos_a_comprar[Planilla])-ROW(Insumos_a_comprar[[#Headers],[Planilla]]),ROWS('Insumos a comprar'!$B$5:B9))),"")</f>
        <v>Amonio cloruro (NH4Cl)</v>
      </c>
      <c r="B6" s="29" t="str">
        <f>IF(ROWS('Insumos a comprar'!$B$5:B9)&lt;=COUNTIF(Insumos_a_comprar[Planilla],B$1),INDEX(Insumos_a_comprar[Insumo],_xlfn.AGGREGATE(15,6,(Insumos_a_comprar[Planilla]=B$1)/(Insumos_a_comprar[Planilla]=B$1)*ROW(Insumos_a_comprar[Planilla])-ROW(Insumos_a_comprar[[#Headers],[Planilla]]),ROWS('Insumos a comprar'!$B$5:B9))),"")</f>
        <v>Aluminio cloruro</v>
      </c>
      <c r="C6" s="29" t="str">
        <f>IF(ROWS('Insumos a comprar'!$B$5:E9)&lt;=COUNTIF(Insumos_a_comprar[Planilla],C$1),INDEX(Insumos_a_comprar[Insumo],_xlfn.AGGREGATE(15,6,(Insumos_a_comprar[Planilla]=C$1)/(Insumos_a_comprar[Planilla]=C$1)*ROW(Insumos_a_comprar[Planilla])-ROW(Insumos_a_comprar[[#Headers],[Planilla]]),ROWS('Insumos a comprar'!$B$5:E9))),"")</f>
        <v>p-Rosanilina</v>
      </c>
      <c r="D6" s="29" t="str">
        <f>IF(ROWS('Insumos a comprar'!$B$5:F9)&lt;=COUNTIF(Insumos_a_comprar[Planilla],D$1),INDEX(Insumos_a_comprar[Insumo],_xlfn.AGGREGATE(15,6,(Insumos_a_comprar[Planilla]=D$1)/(Insumos_a_comprar[Planilla]=D$1)*ROW(Insumos_a_comprar[Planilla])-ROW(Insumos_a_comprar[[#Headers],[Planilla]]),ROWS('Insumos a comprar'!$B$5:F9))),"")</f>
        <v>2-Propanol/isopropanol/alcohol isopropilico</v>
      </c>
      <c r="E6" s="29" t="str">
        <f>IF(ROWS('Insumos a comprar'!$B$5:G9)&lt;=COUNTIF(Insumos_a_comprar[Planilla],E$1),INDEX(Insumos_a_comprar[Insumo],_xlfn.AGGREGATE(15,6,(Insumos_a_comprar[Planilla]=E$1)/(Insumos_a_comprar[Planilla]=E$1)*ROW(Insumos_a_comprar[Planilla])-ROW(Insumos_a_comprar[[#Headers],[Planilla]]),ROWS('Insumos a comprar'!$B$5:G9))),"")</f>
        <v>Cianuro (Cianiver 3 )</v>
      </c>
      <c r="F6" s="29" t="str">
        <f>IF(ROWS('Insumos a comprar'!$B$5:H9)&lt;=COUNTIF(Insumos_a_comprar[Planilla],F$1),INDEX(Insumos_a_comprar[Insumo],_xlfn.AGGREGATE(15,6,(Insumos_a_comprar[Planilla]=F$1)/(Insumos_a_comprar[Planilla]=F$1)*ROW(Insumos_a_comprar[Planilla])-ROW(Insumos_a_comprar[[#Headers],[Planilla]]),ROWS('Insumos a comprar'!$B$5:H9))),"")</f>
        <v>Acido lactico</v>
      </c>
      <c r="G6" s="29" t="str">
        <f>IF(ROWS('Insumos a comprar'!$B$5:I9)&lt;=COUNTIF(Insumos_a_comprar[Planilla],G$1),INDEX(Insumos_a_comprar[Insumo],_xlfn.AGGREGATE(15,6,(Insumos_a_comprar[Planilla]=G$1)/(Insumos_a_comprar[Planilla]=G$1)*ROW(Insumos_a_comprar[Planilla])-ROW(Insumos_a_comprar[[#Headers],[Planilla]]),ROWS('Insumos a comprar'!$B$5:I9))),"")</f>
        <v>Nitrógeno 5,0</v>
      </c>
      <c r="H6" s="29" t="str">
        <f>IF(ROWS('Insumos a comprar'!$B$5:I9)&lt;=COUNTIF(Insumos_a_comprar[Planilla],H$1),INDEX(Insumos_a_comprar[Insumo],_xlfn.AGGREGATE(15,6,(Insumos_a_comprar[Planilla]=H$1)/(Insumos_a_comprar[Planilla]=H$1)*ROW(Insumos_a_comprar[Planilla])-ROW(Insumos_a_comprar[[#Headers],[Planilla]]),ROWS('Insumos a comprar'!$B$5:I9))),"")</f>
        <v>Ampollas extracción  30 ml</v>
      </c>
      <c r="I6" s="29" t="str">
        <f>IF(ROWS('Insumos a comprar'!$B$5:I9)&lt;=COUNTIF(Insumos_a_comprar[Planilla],I$1),INDEX(Insumos_a_comprar[Insumo],_xlfn.AGGREGATE(15,6,(Insumos_a_comprar[Planilla]=I$1)/(Insumos_a_comprar[Planilla]=I$1)*ROW(Insumos_a_comprar[Planilla])-ROW(Insumos_a_comprar[[#Headers],[Planilla]]),ROWS('Insumos a comprar'!$B$5:I9))),"")</f>
        <v>Bolsas Amarillas Grandes</v>
      </c>
      <c r="J6" s="29" t="str">
        <f>IF(ROWS('Insumos a comprar'!$B$5:I9)&lt;=COUNTIF(Insumos_a_comprar[Planilla],J$1),INDEX(Insumos_a_comprar[Insumo],_xlfn.AGGREGATE(15,6,(Insumos_a_comprar[Planilla]=J$1)/(Insumos_a_comprar[Planilla]=J$1)*ROW(Insumos_a_comprar[Planilla])-ROW(Insumos_a_comprar[[#Headers],[Planilla]]),ROWS('Insumos a comprar'!$B$5:I9))),"")</f>
        <v xml:space="preserve">Cinta antiestática </v>
      </c>
      <c r="K6" s="29" t="str">
        <f>IF(ROWS('Insumos a comprar'!$B$5:I9)&lt;=COUNTIF(Insumos_a_comprar[Planilla],K$1),INDEX(Insumos_a_comprar[Insumo],_xlfn.AGGREGATE(15,6,(Insumos_a_comprar[Planilla]=K$1)/(Insumos_a_comprar[Planilla]=K$1)*ROW(Insumos_a_comprar[Planilla])-ROW(Insumos_a_comprar[[#Headers],[Planilla]]),ROWS('Insumos a comprar'!$B$5:I9))),"")</f>
        <v>Cadmio</v>
      </c>
      <c r="L6" s="29" t="str">
        <f>IF(ROWS('Insumos a comprar'!$B$5:I9)&lt;=COUNTIF(Insumos_a_comprar[Planilla],L$1),INDEX(Insumos_a_comprar[Insumo],_xlfn.AGGREGATE(15,6,(Insumos_a_comprar[Planilla]=L$1)/(Insumos_a_comprar[Planilla]=L$1)*ROW(Insumos_a_comprar[Planilla])-ROW(Insumos_a_comprar[[#Headers],[Planilla]]),ROWS('Insumos a comprar'!$B$5:I9))),"")</f>
        <v>Curitas</v>
      </c>
      <c r="M6" s="29"/>
      <c r="N6" s="29"/>
      <c r="O6" s="29"/>
      <c r="P6" s="29"/>
      <c r="Q6" s="29"/>
    </row>
    <row r="7" spans="1:17" ht="47.25" x14ac:dyDescent="0.25">
      <c r="A7" s="29" t="str">
        <f>IF(ROWS('Insumos a comprar'!$B$5:B10)&lt;=COUNTIF(Insumos_a_comprar[Planilla],A$1),INDEX(Insumos_a_comprar[Insumo],_xlfn.AGGREGATE(15,6,(Insumos_a_comprar[Planilla]=A$1)/(Insumos_a_comprar[Planilla]=A$1)*ROW(Insumos_a_comprar[Planilla])-ROW(Insumos_a_comprar[[#Headers],[Planilla]]),ROWS('Insumos a comprar'!$B$5:B10))),"")</f>
        <v>Amonio fosfato dibásico (NH4)2HPO4</v>
      </c>
      <c r="B7" s="29" t="str">
        <f>IF(ROWS('Insumos a comprar'!$B$5:B10)&lt;=COUNTIF(Insumos_a_comprar[Planilla],B$1),INDEX(Insumos_a_comprar[Insumo],_xlfn.AGGREGATE(15,6,(Insumos_a_comprar[Planilla]=B$1)/(Insumos_a_comprar[Planilla]=B$1)*ROW(Insumos_a_comprar[Planilla])-ROW(Insumos_a_comprar[[#Headers],[Planilla]]),ROWS('Insumos a comprar'!$B$5:B10))),"")</f>
        <v>Aluminio sulfato  ((Al2SO4)3.18H2O)</v>
      </c>
      <c r="C7" s="29" t="str">
        <f>IF(ROWS('Insumos a comprar'!$B$5:E10)&lt;=COUNTIF(Insumos_a_comprar[Planilla],C$1),INDEX(Insumos_a_comprar[Insumo],_xlfn.AGGREGATE(15,6,(Insumos_a_comprar[Planilla]=C$1)/(Insumos_a_comprar[Planilla]=C$1)*ROW(Insumos_a_comprar[Planilla])-ROW(Insumos_a_comprar[[#Headers],[Planilla]]),ROWS('Insumos a comprar'!$B$5:E10))),"")</f>
        <v>Sodio fosfato dibasico. 7 agua (Na2HPO4.7H2O)</v>
      </c>
      <c r="D7" s="29" t="str">
        <f>IF(ROWS('Insumos a comprar'!$B$5:F10)&lt;=COUNTIF(Insumos_a_comprar[Planilla],D$1),INDEX(Insumos_a_comprar[Insumo],_xlfn.AGGREGATE(15,6,(Insumos_a_comprar[Planilla]=D$1)/(Insumos_a_comprar[Planilla]=D$1)*ROW(Insumos_a_comprar[Planilla])-ROW(Insumos_a_comprar[[#Headers],[Planilla]]),ROWS('Insumos a comprar'!$B$5:F10))),"")</f>
        <v>Acetato de 2-etoxietilo</v>
      </c>
      <c r="E7" s="29" t="str">
        <f>IF(ROWS('Insumos a comprar'!$B$5:G10)&lt;=COUNTIF(Insumos_a_comprar[Planilla],E$1),INDEX(Insumos_a_comprar[Insumo],_xlfn.AGGREGATE(15,6,(Insumos_a_comprar[Planilla]=E$1)/(Insumos_a_comprar[Planilla]=E$1)*ROW(Insumos_a_comprar[Planilla])-ROW(Insumos_a_comprar[[#Headers],[Planilla]]),ROWS('Insumos a comprar'!$B$5:G10))),"")</f>
        <v>Cianuro (Cianiver 4)</v>
      </c>
      <c r="F7" s="29" t="str">
        <f>IF(ROWS('Insumos a comprar'!$B$5:H10)&lt;=COUNTIF(Insumos_a_comprar[Planilla],F$1),INDEX(Insumos_a_comprar[Insumo],_xlfn.AGGREGATE(15,6,(Insumos_a_comprar[Planilla]=F$1)/(Insumos_a_comprar[Planilla]=F$1)*ROW(Insumos_a_comprar[Planilla])-ROW(Insumos_a_comprar[[#Headers],[Planilla]]),ROWS('Insumos a comprar'!$B$5:H10))),"")</f>
        <v>Acido nitrico 65%</v>
      </c>
      <c r="G7" s="29" t="str">
        <f>IF(ROWS('Insumos a comprar'!$B$5:I10)&lt;=COUNTIF(Insumos_a_comprar[Planilla],G$1),INDEX(Insumos_a_comprar[Insumo],_xlfn.AGGREGATE(15,6,(Insumos_a_comprar[Planilla]=G$1)/(Insumos_a_comprar[Planilla]=G$1)*ROW(Insumos_a_comprar[Planilla])-ROW(Insumos_a_comprar[[#Headers],[Planilla]]),ROWS('Insumos a comprar'!$B$5:I10))),"")</f>
        <v>Oxido nitroso A.A</v>
      </c>
      <c r="H7" s="29" t="str">
        <f>IF(ROWS('Insumos a comprar'!$B$5:I10)&lt;=COUNTIF(Insumos_a_comprar[Planilla],H$1),INDEX(Insumos_a_comprar[Insumo],_xlfn.AGGREGATE(15,6,(Insumos_a_comprar[Planilla]=H$1)/(Insumos_a_comprar[Planilla]=H$1)*ROW(Insumos_a_comprar[Planilla])-ROW(Insumos_a_comprar[[#Headers],[Planilla]]),ROWS('Insumos a comprar'!$B$5:I10))),"")</f>
        <v xml:space="preserve">Ampollas extracción  500 ml </v>
      </c>
      <c r="I7" s="29" t="str">
        <f>IF(ROWS('Insumos a comprar'!$B$5:I10)&lt;=COUNTIF(Insumos_a_comprar[Planilla],I$1),INDEX(Insumos_a_comprar[Insumo],_xlfn.AGGREGATE(15,6,(Insumos_a_comprar[Planilla]=I$1)/(Insumos_a_comprar[Planilla]=I$1)*ROW(Insumos_a_comprar[Planilla])-ROW(Insumos_a_comprar[[#Headers],[Planilla]]),ROWS('Insumos a comprar'!$B$5:I10))),"")</f>
        <v>Cartucho Osmoion Resina</v>
      </c>
      <c r="J7" s="29" t="str">
        <f>IF(ROWS('Insumos a comprar'!$B$5:I10)&lt;=COUNTIF(Insumos_a_comprar[Planilla],J$1),INDEX(Insumos_a_comprar[Insumo],_xlfn.AGGREGATE(15,6,(Insumos_a_comprar[Planilla]=J$1)/(Insumos_a_comprar[Planilla]=J$1)*ROW(Insumos_a_comprar[Planilla])-ROW(Insumos_a_comprar[[#Headers],[Planilla]]),ROWS('Insumos a comprar'!$B$5:I10))),"")</f>
        <v>Columna HP-5 MS UI</v>
      </c>
      <c r="K7" s="29" t="str">
        <f>IF(ROWS('Insumos a comprar'!$B$5:I10)&lt;=COUNTIF(Insumos_a_comprar[Planilla],K$1),INDEX(Insumos_a_comprar[Insumo],_xlfn.AGGREGATE(15,6,(Insumos_a_comprar[Planilla]=K$1)/(Insumos_a_comprar[Planilla]=K$1)*ROW(Insumos_a_comprar[Planilla])-ROW(Insumos_a_comprar[[#Headers],[Planilla]]),ROWS('Insumos a comprar'!$B$5:I10))),"")</f>
        <v>Calcio</v>
      </c>
      <c r="L7" s="29" t="str">
        <f>IF(ROWS('Insumos a comprar'!$B$5:I10)&lt;=COUNTIF(Insumos_a_comprar[Planilla],L$1),INDEX(Insumos_a_comprar[Insumo],_xlfn.AGGREGATE(15,6,(Insumos_a_comprar[Planilla]=L$1)/(Insumos_a_comprar[Planilla]=L$1)*ROW(Insumos_a_comprar[Planilla])-ROW(Insumos_a_comprar[[#Headers],[Planilla]]),ROWS('Insumos a comprar'!$B$5:I10))),"")</f>
        <v>Gasa Esteril</v>
      </c>
      <c r="M7" s="29"/>
      <c r="N7" s="29"/>
      <c r="O7" s="29"/>
      <c r="P7" s="29"/>
      <c r="Q7" s="29"/>
    </row>
    <row r="8" spans="1:17" ht="63" x14ac:dyDescent="0.25">
      <c r="A8" s="29" t="str">
        <f>IF(ROWS('Insumos a comprar'!$B$5:B11)&lt;=COUNTIF(Insumos_a_comprar[Planilla],A$1),INDEX(Insumos_a_comprar[Insumo],_xlfn.AGGREGATE(15,6,(Insumos_a_comprar[Planilla]=A$1)/(Insumos_a_comprar[Planilla]=A$1)*ROW(Insumos_a_comprar[Planilla])-ROW(Insumos_a_comprar[[#Headers],[Planilla]]),ROWS('Insumos a comprar'!$B$5:B11))),"")</f>
        <v>Amonio fosfato monobasico (NH4)H2PO4</v>
      </c>
      <c r="B8" s="29" t="str">
        <f>IF(ROWS('Insumos a comprar'!$B$5:B11)&lt;=COUNTIF(Insumos_a_comprar[Planilla],B$1),INDEX(Insumos_a_comprar[Insumo],_xlfn.AGGREGATE(15,6,(Insumos_a_comprar[Planilla]=B$1)/(Insumos_a_comprar[Planilla]=B$1)*ROW(Insumos_a_comprar[Planilla])-ROW(Insumos_a_comprar[[#Headers],[Planilla]]),ROWS('Insumos a comprar'!$B$5:B11))),"")</f>
        <v>Amonio acetato  (CH3COONH4)</v>
      </c>
      <c r="C8" s="29" t="str">
        <f>IF(ROWS('Insumos a comprar'!$B$5:E11)&lt;=COUNTIF(Insumos_a_comprar[Planilla],C$1),INDEX(Insumos_a_comprar[Insumo],_xlfn.AGGREGATE(15,6,(Insumos_a_comprar[Planilla]=C$1)/(Insumos_a_comprar[Planilla]=C$1)*ROW(Insumos_a_comprar[Planilla])-ROW(Insumos_a_comprar[[#Headers],[Planilla]]),ROWS('Insumos a comprar'!$B$5:E11))),"")</f>
        <v/>
      </c>
      <c r="D8" s="29" t="str">
        <f>IF(ROWS('Insumos a comprar'!$B$5:F11)&lt;=COUNTIF(Insumos_a_comprar[Planilla],D$1),INDEX(Insumos_a_comprar[Insumo],_xlfn.AGGREGATE(15,6,(Insumos_a_comprar[Planilla]=D$1)/(Insumos_a_comprar[Planilla]=D$1)*ROW(Insumos_a_comprar[Planilla])-ROW(Insumos_a_comprar[[#Headers],[Planilla]]),ROWS('Insumos a comprar'!$B$5:F11))),"")</f>
        <v>Acetato de etilo</v>
      </c>
      <c r="E8" s="29" t="str">
        <f>IF(ROWS('Insumos a comprar'!$B$5:G11)&lt;=COUNTIF(Insumos_a_comprar[Planilla],E$1),INDEX(Insumos_a_comprar[Insumo],_xlfn.AGGREGATE(15,6,(Insumos_a_comprar[Planilla]=E$1)/(Insumos_a_comprar[Planilla]=E$1)*ROW(Insumos_a_comprar[Planilla])-ROW(Insumos_a_comprar[[#Headers],[Planilla]]),ROWS('Insumos a comprar'!$B$5:G11))),"")</f>
        <v>Cianuro (Cianiver 5)</v>
      </c>
      <c r="F8" s="29" t="str">
        <f>IF(ROWS('Insumos a comprar'!$B$5:H11)&lt;=COUNTIF(Insumos_a_comprar[Planilla],F$1),INDEX(Insumos_a_comprar[Insumo],_xlfn.AGGREGATE(15,6,(Insumos_a_comprar[Planilla]=F$1)/(Insumos_a_comprar[Planilla]=F$1)*ROW(Insumos_a_comprar[Planilla])-ROW(Insumos_a_comprar[[#Headers],[Planilla]]),ROWS('Insumos a comprar'!$B$5:H11))),"")</f>
        <v>Acido Perclórico</v>
      </c>
      <c r="G8" s="29" t="str">
        <f>IF(ROWS('Insumos a comprar'!$B$5:I11)&lt;=COUNTIF(Insumos_a_comprar[Planilla],G$1),INDEX(Insumos_a_comprar[Insumo],_xlfn.AGGREGATE(15,6,(Insumos_a_comprar[Planilla]=G$1)/(Insumos_a_comprar[Planilla]=G$1)*ROW(Insumos_a_comprar[Planilla])-ROW(Insumos_a_comprar[[#Headers],[Planilla]]),ROWS('Insumos a comprar'!$B$5:I11))),"")</f>
        <v/>
      </c>
      <c r="H8" s="29" t="str">
        <f>IF(ROWS('Insumos a comprar'!$B$5:I11)&lt;=COUNTIF(Insumos_a_comprar[Planilla],H$1),INDEX(Insumos_a_comprar[Insumo],_xlfn.AGGREGATE(15,6,(Insumos_a_comprar[Planilla]=H$1)/(Insumos_a_comprar[Planilla]=H$1)*ROW(Insumos_a_comprar[Planilla])-ROW(Insumos_a_comprar[[#Headers],[Planilla]]),ROWS('Insumos a comprar'!$B$5:I11))),"")</f>
        <v xml:space="preserve">Aros de metal chicos </v>
      </c>
      <c r="I8" s="29" t="str">
        <f>IF(ROWS('Insumos a comprar'!$B$5:I11)&lt;=COUNTIF(Insumos_a_comprar[Planilla],I$1),INDEX(Insumos_a_comprar[Insumo],_xlfn.AGGREGATE(15,6,(Insumos_a_comprar[Planilla]=I$1)/(Insumos_a_comprar[Planilla]=I$1)*ROW(Insumos_a_comprar[Planilla])-ROW(Insumos_a_comprar[[#Headers],[Planilla]]),ROWS('Insumos a comprar'!$B$5:I11))),"")</f>
        <v xml:space="preserve">Detergente No Ionico </v>
      </c>
      <c r="J8" s="29" t="str">
        <f>IF(ROWS('Insumos a comprar'!$B$5:I11)&lt;=COUNTIF(Insumos_a_comprar[Planilla],J$1),INDEX(Insumos_a_comprar[Insumo],_xlfn.AGGREGATE(15,6,(Insumos_a_comprar[Planilla]=J$1)/(Insumos_a_comprar[Planilla]=J$1)*ROW(Insumos_a_comprar[Planilla])-ROW(Insumos_a_comprar[[#Headers],[Planilla]]),ROWS('Insumos a comprar'!$B$5:I11))),"")</f>
        <v>Columna VF-WAX MS</v>
      </c>
      <c r="K8" s="29" t="str">
        <f>IF(ROWS('Insumos a comprar'!$B$5:I11)&lt;=COUNTIF(Insumos_a_comprar[Planilla],K$1),INDEX(Insumos_a_comprar[Insumo],_xlfn.AGGREGATE(15,6,(Insumos_a_comprar[Planilla]=K$1)/(Insumos_a_comprar[Planilla]=K$1)*ROW(Insumos_a_comprar[Planilla])-ROW(Insumos_a_comprar[[#Headers],[Planilla]]),ROWS('Insumos a comprar'!$B$5:I11))),"")</f>
        <v>Cobalto</v>
      </c>
      <c r="L8" s="29" t="str">
        <f>IF(ROWS('Insumos a comprar'!$B$5:I11)&lt;=COUNTIF(Insumos_a_comprar[Planilla],L$1),INDEX(Insumos_a_comprar[Insumo],_xlfn.AGGREGATE(15,6,(Insumos_a_comprar[Planilla]=L$1)/(Insumos_a_comprar[Planilla]=L$1)*ROW(Insumos_a_comprar[Planilla])-ROW(Insumos_a_comprar[[#Headers],[Planilla]]),ROWS('Insumos a comprar'!$B$5:I11))),"")</f>
        <v>Ibuprofeno</v>
      </c>
      <c r="M8" s="29"/>
      <c r="N8" s="29"/>
      <c r="O8" s="29"/>
      <c r="P8" s="29"/>
      <c r="Q8" s="29"/>
    </row>
    <row r="9" spans="1:17" ht="63" x14ac:dyDescent="0.25">
      <c r="A9" s="29" t="str">
        <f>IF(ROWS('Insumos a comprar'!$B$5:B12)&lt;=COUNTIF(Insumos_a_comprar[Planilla],A$1),INDEX(Insumos_a_comprar[Insumo],_xlfn.AGGREGATE(15,6,(Insumos_a_comprar[Planilla]=A$1)/(Insumos_a_comprar[Planilla]=A$1)*ROW(Insumos_a_comprar[Planilla])-ROW(Insumos_a_comprar[[#Headers],[Planilla]]),ROWS('Insumos a comprar'!$B$5:B12))),"")</f>
        <v>Amonio meta-vanadato</v>
      </c>
      <c r="B9" s="29" t="str">
        <f>IF(ROWS('Insumos a comprar'!$B$5:B12)&lt;=COUNTIF(Insumos_a_comprar[Planilla],B$1),INDEX(Insumos_a_comprar[Insumo],_xlfn.AGGREGATE(15,6,(Insumos_a_comprar[Planilla]=B$1)/(Insumos_a_comprar[Planilla]=B$1)*ROW(Insumos_a_comprar[Planilla])-ROW(Insumos_a_comprar[[#Headers],[Planilla]]),ROWS('Insumos a comprar'!$B$5:B12))),"")</f>
        <v>Amonio oxalato  ((NH4)2C2O4)</v>
      </c>
      <c r="C9" s="29" t="str">
        <f>IF(ROWS('Insumos a comprar'!$B$5:E12)&lt;=COUNTIF(Insumos_a_comprar[Planilla],C$1),INDEX(Insumos_a_comprar[Insumo],_xlfn.AGGREGATE(15,6,(Insumos_a_comprar[Planilla]=C$1)/(Insumos_a_comprar[Planilla]=C$1)*ROW(Insumos_a_comprar[Planilla])-ROW(Insumos_a_comprar[[#Headers],[Planilla]]),ROWS('Insumos a comprar'!$B$5:E12))),"")</f>
        <v/>
      </c>
      <c r="D9" s="29" t="str">
        <f>IF(ROWS('Insumos a comprar'!$B$5:F12)&lt;=COUNTIF(Insumos_a_comprar[Planilla],D$1),INDEX(Insumos_a_comprar[Insumo],_xlfn.AGGREGATE(15,6,(Insumos_a_comprar[Planilla]=D$1)/(Insumos_a_comprar[Planilla]=D$1)*ROW(Insumos_a_comprar[Planilla])-ROW(Insumos_a_comprar[[#Headers],[Planilla]]),ROWS('Insumos a comprar'!$B$5:F12))),"")</f>
        <v>Acetato de isopropilo</v>
      </c>
      <c r="E9" s="29" t="str">
        <f>IF(ROWS('Insumos a comprar'!$B$5:G12)&lt;=COUNTIF(Insumos_a_comprar[Planilla],E$1),INDEX(Insumos_a_comprar[Insumo],_xlfn.AGGREGATE(15,6,(Insumos_a_comprar[Planilla]=E$1)/(Insumos_a_comprar[Planilla]=E$1)*ROW(Insumos_a_comprar[Planilla])-ROW(Insumos_a_comprar[[#Headers],[Planilla]]),ROWS('Insumos a comprar'!$B$5:G12))),"")</f>
        <v>Cloro libre (DPD FREE CHLORINE)</v>
      </c>
      <c r="F9" s="29" t="str">
        <f>IF(ROWS('Insumos a comprar'!$B$5:H12)&lt;=COUNTIF(Insumos_a_comprar[Planilla],F$1),INDEX(Insumos_a_comprar[Insumo],_xlfn.AGGREGATE(15,6,(Insumos_a_comprar[Planilla]=F$1)/(Insumos_a_comprar[Planilla]=F$1)*ROW(Insumos_a_comprar[Planilla])-ROW(Insumos_a_comprar[[#Headers],[Planilla]]),ROWS('Insumos a comprar'!$B$5:H12))),"")</f>
        <v>Acido sulfurico 98%</v>
      </c>
      <c r="G9" s="29" t="str">
        <f>IF(ROWS('Insumos a comprar'!$B$5:I12)&lt;=COUNTIF(Insumos_a_comprar[Planilla],G$1),INDEX(Insumos_a_comprar[Insumo],_xlfn.AGGREGATE(15,6,(Insumos_a_comprar[Planilla]=G$1)/(Insumos_a_comprar[Planilla]=G$1)*ROW(Insumos_a_comprar[Planilla])-ROW(Insumos_a_comprar[[#Headers],[Planilla]]),ROWS('Insumos a comprar'!$B$5:I12))),"")</f>
        <v/>
      </c>
      <c r="H9" s="29" t="str">
        <f>IF(ROWS('Insumos a comprar'!$B$5:I12)&lt;=COUNTIF(Insumos_a_comprar[Planilla],H$1),INDEX(Insumos_a_comprar[Insumo],_xlfn.AGGREGATE(15,6,(Insumos_a_comprar[Planilla]=H$1)/(Insumos_a_comprar[Planilla]=H$1)*ROW(Insumos_a_comprar[Planilla])-ROW(Insumos_a_comprar[[#Headers],[Planilla]]),ROWS('Insumos a comprar'!$B$5:I12))),"")</f>
        <v xml:space="preserve">Aros de metal grandes  </v>
      </c>
      <c r="I9" s="29" t="str">
        <f>IF(ROWS('Insumos a comprar'!$B$5:I12)&lt;=COUNTIF(Insumos_a_comprar[Planilla],I$1),INDEX(Insumos_a_comprar[Insumo],_xlfn.AGGREGATE(15,6,(Insumos_a_comprar[Planilla]=I$1)/(Insumos_a_comprar[Planilla]=I$1)*ROW(Insumos_a_comprar[Planilla])-ROW(Insumos_a_comprar[[#Headers],[Planilla]]),ROWS('Insumos a comprar'!$B$5:I12))),"")</f>
        <v>Filtros Osmoion 5 Micrones</v>
      </c>
      <c r="J9" s="29" t="str">
        <f>IF(ROWS('Insumos a comprar'!$B$5:I12)&lt;=COUNTIF(Insumos_a_comprar[Planilla],J$1),INDEX(Insumos_a_comprar[Insumo],_xlfn.AGGREGATE(15,6,(Insumos_a_comprar[Planilla]=J$1)/(Insumos_a_comprar[Planilla]=J$1)*ROW(Insumos_a_comprar[Planilla])-ROW(Insumos_a_comprar[[#Headers],[Planilla]]),ROWS('Insumos a comprar'!$B$5:I12))),"")</f>
        <v>Conector columna Detector</v>
      </c>
      <c r="K9" s="29" t="str">
        <f>IF(ROWS('Insumos a comprar'!$B$5:I12)&lt;=COUNTIF(Insumos_a_comprar[Planilla],K$1),INDEX(Insumos_a_comprar[Insumo],_xlfn.AGGREGATE(15,6,(Insumos_a_comprar[Planilla]=K$1)/(Insumos_a_comprar[Planilla]=K$1)*ROW(Insumos_a_comprar[Planilla])-ROW(Insumos_a_comprar[[#Headers],[Planilla]]),ROWS('Insumos a comprar'!$B$5:I12))),"")</f>
        <v>Cobre</v>
      </c>
      <c r="L9" s="29" t="str">
        <f>IF(ROWS('Insumos a comprar'!$B$5:I12)&lt;=COUNTIF(Insumos_a_comprar[Planilla],L$1),INDEX(Insumos_a_comprar[Insumo],_xlfn.AGGREGATE(15,6,(Insumos_a_comprar[Planilla]=L$1)/(Insumos_a_comprar[Planilla]=L$1)*ROW(Insumos_a_comprar[Planilla])-ROW(Insumos_a_comprar[[#Headers],[Planilla]]),ROWS('Insumos a comprar'!$B$5:I12))),"")</f>
        <v>Iodopovidona</v>
      </c>
      <c r="M9" s="29"/>
      <c r="N9" s="29"/>
      <c r="O9" s="29"/>
      <c r="P9" s="29"/>
      <c r="Q9" s="29"/>
    </row>
    <row r="10" spans="1:17" ht="63" x14ac:dyDescent="0.25">
      <c r="A10" s="29" t="str">
        <f>IF(ROWS('Insumos a comprar'!$B$5:B13)&lt;=COUNTIF(Insumos_a_comprar[Planilla],A$1),INDEX(Insumos_a_comprar[Insumo],_xlfn.AGGREGATE(15,6,(Insumos_a_comprar[Planilla]=A$1)/(Insumos_a_comprar[Planilla]=A$1)*ROW(Insumos_a_comprar[Planilla])-ROW(Insumos_a_comprar[[#Headers],[Planilla]]),ROWS('Insumos a comprar'!$B$5:B13))),"")</f>
        <v>Amonio Molibdato tetrahidrato 99%</v>
      </c>
      <c r="B10" s="29" t="str">
        <f>IF(ROWS('Insumos a comprar'!$B$5:B13)&lt;=COUNTIF(Insumos_a_comprar[Planilla],B$1),INDEX(Insumos_a_comprar[Insumo],_xlfn.AGGREGATE(15,6,(Insumos_a_comprar[Planilla]=B$1)/(Insumos_a_comprar[Planilla]=B$1)*ROW(Insumos_a_comprar[Planilla])-ROW(Insumos_a_comprar[[#Headers],[Planilla]]),ROWS('Insumos a comprar'!$B$5:B13))),"")</f>
        <v>Antimonio metalico</v>
      </c>
      <c r="C10" s="29" t="str">
        <f>IF(ROWS('Insumos a comprar'!$B$5:E13)&lt;=COUNTIF(Insumos_a_comprar[Planilla],C$1),INDEX(Insumos_a_comprar[Insumo],_xlfn.AGGREGATE(15,6,(Insumos_a_comprar[Planilla]=C$1)/(Insumos_a_comprar[Planilla]=C$1)*ROW(Insumos_a_comprar[Planilla])-ROW(Insumos_a_comprar[[#Headers],[Planilla]]),ROWS('Insumos a comprar'!$B$5:E13))),"")</f>
        <v/>
      </c>
      <c r="D10" s="29" t="str">
        <f>IF(ROWS('Insumos a comprar'!$B$5:F13)&lt;=COUNTIF(Insumos_a_comprar[Planilla],D$1),INDEX(Insumos_a_comprar[Insumo],_xlfn.AGGREGATE(15,6,(Insumos_a_comprar[Planilla]=D$1)/(Insumos_a_comprar[Planilla]=D$1)*ROW(Insumos_a_comprar[Planilla])-ROW(Insumos_a_comprar[[#Headers],[Planilla]]),ROWS('Insumos a comprar'!$B$5:F13))),"")</f>
        <v>Acetona</v>
      </c>
      <c r="E10" s="29" t="str">
        <f>IF(ROWS('Insumos a comprar'!$B$5:G13)&lt;=COUNTIF(Insumos_a_comprar[Planilla],E$1),INDEX(Insumos_a_comprar[Insumo],_xlfn.AGGREGATE(15,6,(Insumos_a_comprar[Planilla]=E$1)/(Insumos_a_comprar[Planilla]=E$1)*ROW(Insumos_a_comprar[Planilla])-ROW(Insumos_a_comprar[[#Headers],[Planilla]]),ROWS('Insumos a comprar'!$B$5:G13))),"")</f>
        <v>Cromo (Chromaver)</v>
      </c>
      <c r="F10" s="29" t="str">
        <f>IF(ROWS('Insumos a comprar'!$B$5:H13)&lt;=COUNTIF(Insumos_a_comprar[Planilla],F$1),INDEX(Insumos_a_comprar[Insumo],_xlfn.AGGREGATE(15,6,(Insumos_a_comprar[Planilla]=F$1)/(Insumos_a_comprar[Planilla]=F$1)*ROW(Insumos_a_comprar[Planilla])-ROW(Insumos_a_comprar[[#Headers],[Planilla]]),ROWS('Insumos a comprar'!$B$5:H13))),"")</f>
        <v>Agua oxigenada</v>
      </c>
      <c r="G10" s="29" t="str">
        <f>IF(ROWS('Insumos a comprar'!$B$5:I13)&lt;=COUNTIF(Insumos_a_comprar[Planilla],G$1),INDEX(Insumos_a_comprar[Insumo],_xlfn.AGGREGATE(15,6,(Insumos_a_comprar[Planilla]=G$1)/(Insumos_a_comprar[Planilla]=G$1)*ROW(Insumos_a_comprar[Planilla])-ROW(Insumos_a_comprar[[#Headers],[Planilla]]),ROWS('Insumos a comprar'!$B$5:I13))),"")</f>
        <v/>
      </c>
      <c r="H10" s="29" t="str">
        <f>IF(ROWS('Insumos a comprar'!$B$5:I13)&lt;=COUNTIF(Insumos_a_comprar[Planilla],H$1),INDEX(Insumos_a_comprar[Insumo],_xlfn.AGGREGATE(15,6,(Insumos_a_comprar[Planilla]=H$1)/(Insumos_a_comprar[Planilla]=H$1)*ROW(Insumos_a_comprar[Planilla])-ROW(Insumos_a_comprar[[#Headers],[Planilla]]),ROWS('Insumos a comprar'!$B$5:I13))),"")</f>
        <v>Balones esmerilados  100 ml</v>
      </c>
      <c r="I10" s="29" t="str">
        <f>IF(ROWS('Insumos a comprar'!$B$5:I13)&lt;=COUNTIF(Insumos_a_comprar[Planilla],I$1),INDEX(Insumos_a_comprar[Insumo],_xlfn.AGGREGATE(15,6,(Insumos_a_comprar[Planilla]=I$1)/(Insumos_a_comprar[Planilla]=I$1)*ROW(Insumos_a_comprar[Planilla])-ROW(Insumos_a_comprar[[#Headers],[Planilla]]),ROWS('Insumos a comprar'!$B$5:I13))),"")</f>
        <v>Filtros Osmoion Carbon</v>
      </c>
      <c r="J10" s="29" t="str">
        <f>IF(ROWS('Insumos a comprar'!$B$5:I13)&lt;=COUNTIF(Insumos_a_comprar[Planilla],J$1),INDEX(Insumos_a_comprar[Insumo],_xlfn.AGGREGATE(15,6,(Insumos_a_comprar[Planilla]=J$1)/(Insumos_a_comprar[Planilla]=J$1)*ROW(Insumos_a_comprar[Planilla])-ROW(Insumos_a_comprar[[#Headers],[Planilla]]),ROWS('Insumos a comprar'!$B$5:I13))),"")</f>
        <v>Conector columna Inyector</v>
      </c>
      <c r="K10" s="29" t="str">
        <f>IF(ROWS('Insumos a comprar'!$B$5:I13)&lt;=COUNTIF(Insumos_a_comprar[Planilla],K$1),INDEX(Insumos_a_comprar[Insumo],_xlfn.AGGREGATE(15,6,(Insumos_a_comprar[Planilla]=K$1)/(Insumos_a_comprar[Planilla]=K$1)*ROW(Insumos_a_comprar[Planilla])-ROW(Insumos_a_comprar[[#Headers],[Planilla]]),ROWS('Insumos a comprar'!$B$5:I13))),"")</f>
        <v>Cromo</v>
      </c>
      <c r="L10" s="29" t="str">
        <f>IF(ROWS('Insumos a comprar'!$B$5:I13)&lt;=COUNTIF(Insumos_a_comprar[Planilla],L$1),INDEX(Insumos_a_comprar[Insumo],_xlfn.AGGREGATE(15,6,(Insumos_a_comprar[Planilla]=L$1)/(Insumos_a_comprar[Planilla]=L$1)*ROW(Insumos_a_comprar[Planilla])-ROW(Insumos_a_comprar[[#Headers],[Planilla]]),ROWS('Insumos a comprar'!$B$5:I13))),"")</f>
        <v>Paracetamol</v>
      </c>
      <c r="M10" s="29"/>
      <c r="N10" s="29"/>
      <c r="O10" s="29"/>
      <c r="P10" s="29"/>
      <c r="Q10" s="29"/>
    </row>
    <row r="11" spans="1:17" ht="31.5" x14ac:dyDescent="0.25">
      <c r="A11" s="29" t="str">
        <f>IF(ROWS('Insumos a comprar'!$B$5:B14)&lt;=COUNTIF(Insumos_a_comprar[Planilla],A$1),INDEX(Insumos_a_comprar[Insumo],_xlfn.AGGREGATE(15,6,(Insumos_a_comprar[Planilla]=A$1)/(Insumos_a_comprar[Planilla]=A$1)*ROW(Insumos_a_comprar[Planilla])-ROW(Insumos_a_comprar[[#Headers],[Planilla]]),ROWS('Insumos a comprar'!$B$5:B14))),"")</f>
        <v>Amonio persulfato((NH4)2S2O8)</v>
      </c>
      <c r="B11" s="29" t="str">
        <f>IF(ROWS('Insumos a comprar'!$B$5:B14)&lt;=COUNTIF(Insumos_a_comprar[Planilla],B$1),INDEX(Insumos_a_comprar[Insumo],_xlfn.AGGREGATE(15,6,(Insumos_a_comprar[Planilla]=B$1)/(Insumos_a_comprar[Planilla]=B$1)*ROW(Insumos_a_comprar[Planilla])-ROW(Insumos_a_comprar[[#Headers],[Planilla]]),ROWS('Insumos a comprar'!$B$5:B14))),"")</f>
        <v>Azufre en canutos</v>
      </c>
      <c r="C11" s="29" t="str">
        <f>IF(ROWS('Insumos a comprar'!$B$5:E14)&lt;=COUNTIF(Insumos_a_comprar[Planilla],C$1),INDEX(Insumos_a_comprar[Insumo],_xlfn.AGGREGATE(15,6,(Insumos_a_comprar[Planilla]=C$1)/(Insumos_a_comprar[Planilla]=C$1)*ROW(Insumos_a_comprar[Planilla])-ROW(Insumos_a_comprar[[#Headers],[Planilla]]),ROWS('Insumos a comprar'!$B$5:E14))),"")</f>
        <v/>
      </c>
      <c r="D11" s="29" t="str">
        <f>IF(ROWS('Insumos a comprar'!$B$5:F14)&lt;=COUNTIF(Insumos_a_comprar[Planilla],D$1),INDEX(Insumos_a_comprar[Insumo],_xlfn.AGGREGATE(15,6,(Insumos_a_comprar[Planilla]=D$1)/(Insumos_a_comprar[Planilla]=D$1)*ROW(Insumos_a_comprar[Planilla])-ROW(Insumos_a_comprar[[#Headers],[Planilla]]),ROWS('Insumos a comprar'!$B$5:F14))),"")</f>
        <v>Acetonitrilo</v>
      </c>
      <c r="E11" s="29" t="str">
        <f>IF(ROWS('Insumos a comprar'!$B$5:G14)&lt;=COUNTIF(Insumos_a_comprar[Planilla],E$1),INDEX(Insumos_a_comprar[Insumo],_xlfn.AGGREGATE(15,6,(Insumos_a_comprar[Planilla]=E$1)/(Insumos_a_comprar[Planilla]=E$1)*ROW(Insumos_a_comprar[Planilla])-ROW(Insumos_a_comprar[[#Headers],[Planilla]]),ROWS('Insumos a comprar'!$B$5:G14))),"")</f>
        <v>Fluoruros (SPAND F-)</v>
      </c>
      <c r="F11" s="29" t="str">
        <f>IF(ROWS('Insumos a comprar'!$B$5:H14)&lt;=COUNTIF(Insumos_a_comprar[Planilla],F$1),INDEX(Insumos_a_comprar[Insumo],_xlfn.AGGREGATE(15,6,(Insumos_a_comprar[Planilla]=F$1)/(Insumos_a_comprar[Planilla]=F$1)*ROW(Insumos_a_comprar[Planilla])-ROW(Insumos_a_comprar[[#Headers],[Planilla]]),ROWS('Insumos a comprar'!$B$5:H14))),"")</f>
        <v>Amoniaco sol -amonio hidróxido</v>
      </c>
      <c r="G11" s="29" t="str">
        <f>IF(ROWS('Insumos a comprar'!$B$5:I14)&lt;=COUNTIF(Insumos_a_comprar[Planilla],G$1),INDEX(Insumos_a_comprar[Insumo],_xlfn.AGGREGATE(15,6,(Insumos_a_comprar[Planilla]=G$1)/(Insumos_a_comprar[Planilla]=G$1)*ROW(Insumos_a_comprar[Planilla])-ROW(Insumos_a_comprar[[#Headers],[Planilla]]),ROWS('Insumos a comprar'!$B$5:I14))),"")</f>
        <v/>
      </c>
      <c r="H11" s="29" t="str">
        <f>IF(ROWS('Insumos a comprar'!$B$5:I14)&lt;=COUNTIF(Insumos_a_comprar[Planilla],H$1),INDEX(Insumos_a_comprar[Insumo],_xlfn.AGGREGATE(15,6,(Insumos_a_comprar[Planilla]=H$1)/(Insumos_a_comprar[Planilla]=H$1)*ROW(Insumos_a_comprar[Planilla])-ROW(Insumos_a_comprar[[#Headers],[Planilla]]),ROWS('Insumos a comprar'!$B$5:I14))),"")</f>
        <v>Balones esmerilados  1000 ml</v>
      </c>
      <c r="I11" s="29" t="str">
        <f>IF(ROWS('Insumos a comprar'!$B$5:I14)&lt;=COUNTIF(Insumos_a_comprar[Planilla],I$1),INDEX(Insumos_a_comprar[Insumo],_xlfn.AGGREGATE(15,6,(Insumos_a_comprar[Planilla]=I$1)/(Insumos_a_comprar[Planilla]=I$1)*ROW(Insumos_a_comprar[Planilla])-ROW(Insumos_a_comprar[[#Headers],[Planilla]]),ROWS('Insumos a comprar'!$B$5:I14))),"")</f>
        <v>Filtros Para Jeringa 0,45 µm De Nylon</v>
      </c>
      <c r="J11" s="29" t="str">
        <f>IF(ROWS('Insumos a comprar'!$B$5:I14)&lt;=COUNTIF(Insumos_a_comprar[Planilla],J$1),INDEX(Insumos_a_comprar[Insumo],_xlfn.AGGREGATE(15,6,(Insumos_a_comprar[Planilla]=J$1)/(Insumos_a_comprar[Planilla]=J$1)*ROW(Insumos_a_comprar[Planilla])-ROW(Insumos_a_comprar[[#Headers],[Planilla]]),ROWS('Insumos a comprar'!$B$5:I14))),"")</f>
        <v xml:space="preserve">Corta columna </v>
      </c>
      <c r="K11" s="29" t="str">
        <f>IF(ROWS('Insumos a comprar'!$B$5:I14)&lt;=COUNTIF(Insumos_a_comprar[Planilla],K$1),INDEX(Insumos_a_comprar[Insumo],_xlfn.AGGREGATE(15,6,(Insumos_a_comprar[Planilla]=K$1)/(Insumos_a_comprar[Planilla]=K$1)*ROW(Insumos_a_comprar[Planilla])-ROW(Insumos_a_comprar[[#Headers],[Planilla]]),ROWS('Insumos a comprar'!$B$5:I14))),"")</f>
        <v>Deuterio</v>
      </c>
      <c r="L11" s="29" t="str">
        <f>IF(ROWS('Insumos a comprar'!$B$5:I14)&lt;=COUNTIF(Insumos_a_comprar[Planilla],L$1),INDEX(Insumos_a_comprar[Insumo],_xlfn.AGGREGATE(15,6,(Insumos_a_comprar[Planilla]=L$1)/(Insumos_a_comprar[Planilla]=L$1)*ROW(Insumos_a_comprar[Planilla])-ROW(Insumos_a_comprar[[#Headers],[Planilla]]),ROWS('Insumos a comprar'!$B$5:I14))),"")</f>
        <v>Pervinox</v>
      </c>
      <c r="M11" s="29"/>
      <c r="N11" s="29"/>
      <c r="O11" s="29"/>
      <c r="P11" s="29"/>
      <c r="Q11" s="29"/>
    </row>
    <row r="12" spans="1:17" ht="63" x14ac:dyDescent="0.25">
      <c r="A12" s="29" t="str">
        <f>IF(ROWS('Insumos a comprar'!$B$5:B15)&lt;=COUNTIF(Insumos_a_comprar[Planilla],A$1),INDEX(Insumos_a_comprar[Insumo],_xlfn.AGGREGATE(15,6,(Insumos_a_comprar[Planilla]=A$1)/(Insumos_a_comprar[Planilla]=A$1)*ROW(Insumos_a_comprar[Planilla])-ROW(Insumos_a_comprar[[#Headers],[Planilla]]),ROWS('Insumos a comprar'!$B$5:B15))),"")</f>
        <v>Azul de metileno</v>
      </c>
      <c r="B12" s="29" t="str">
        <f>IF(ROWS('Insumos a comprar'!$B$5:B15)&lt;=COUNTIF(Insumos_a_comprar[Planilla],B$1),INDEX(Insumos_a_comprar[Insumo],_xlfn.AGGREGATE(15,6,(Insumos_a_comprar[Planilla]=B$1)/(Insumos_a_comprar[Planilla]=B$1)*ROW(Insumos_a_comprar[Planilla])-ROW(Insumos_a_comprar[[#Headers],[Planilla]]),ROWS('Insumos a comprar'!$B$5:B15))),"")</f>
        <v>Azufre molido</v>
      </c>
      <c r="C12" s="29" t="str">
        <f>IF(ROWS('Insumos a comprar'!$B$5:E15)&lt;=COUNTIF(Insumos_a_comprar[Planilla],C$1),INDEX(Insumos_a_comprar[Insumo],_xlfn.AGGREGATE(15,6,(Insumos_a_comprar[Planilla]=C$1)/(Insumos_a_comprar[Planilla]=C$1)*ROW(Insumos_a_comprar[Planilla])-ROW(Insumos_a_comprar[[#Headers],[Planilla]]),ROWS('Insumos a comprar'!$B$5:E15))),"")</f>
        <v/>
      </c>
      <c r="D12" s="29" t="str">
        <f>IF(ROWS('Insumos a comprar'!$B$5:F15)&lt;=COUNTIF(Insumos_a_comprar[Planilla],D$1),INDEX(Insumos_a_comprar[Insumo],_xlfn.AGGREGATE(15,6,(Insumos_a_comprar[Planilla]=D$1)/(Insumos_a_comprar[Planilla]=D$1)*ROW(Insumos_a_comprar[Planilla])-ROW(Insumos_a_comprar[[#Headers],[Planilla]]),ROWS('Insumos a comprar'!$B$5:F15))),"")</f>
        <v>Alcohol etilico</v>
      </c>
      <c r="E12" s="29" t="str">
        <f>IF(ROWS('Insumos a comprar'!$B$5:G15)&lt;=COUNTIF(Insumos_a_comprar[Planilla],E$1),INDEX(Insumos_a_comprar[Insumo],_xlfn.AGGREGATE(15,6,(Insumos_a_comprar[Planilla]=E$1)/(Insumos_a_comprar[Planilla]=E$1)*ROW(Insumos_a_comprar[Planilla])-ROW(Insumos_a_comprar[[#Headers],[Planilla]]),ROWS('Insumos a comprar'!$B$5:G15))),"")</f>
        <v>Fosfatos PhosVer 3</v>
      </c>
      <c r="F12" s="29" t="str">
        <f>IF(ROWS('Insumos a comprar'!$B$5:H15)&lt;=COUNTIF(Insumos_a_comprar[Planilla],F$1),INDEX(Insumos_a_comprar[Insumo],_xlfn.AGGREGATE(15,6,(Insumos_a_comprar[Planilla]=F$1)/(Insumos_a_comprar[Planilla]=F$1)*ROW(Insumos_a_comprar[Planilla])-ROW(Insumos_a_comprar[[#Headers],[Planilla]]),ROWS('Insumos a comprar'!$B$5:H15))),"")</f>
        <v/>
      </c>
      <c r="G12" s="29" t="str">
        <f>IF(ROWS('Insumos a comprar'!$B$5:I15)&lt;=COUNTIF(Insumos_a_comprar[Planilla],G$1),INDEX(Insumos_a_comprar[Insumo],_xlfn.AGGREGATE(15,6,(Insumos_a_comprar[Planilla]=G$1)/(Insumos_a_comprar[Planilla]=G$1)*ROW(Insumos_a_comprar[Planilla])-ROW(Insumos_a_comprar[[#Headers],[Planilla]]),ROWS('Insumos a comprar'!$B$5:I15))),"")</f>
        <v/>
      </c>
      <c r="H12" s="29" t="str">
        <f>IF(ROWS('Insumos a comprar'!$B$5:I15)&lt;=COUNTIF(Insumos_a_comprar[Planilla],H$1),INDEX(Insumos_a_comprar[Insumo],_xlfn.AGGREGATE(15,6,(Insumos_a_comprar[Planilla]=H$1)/(Insumos_a_comprar[Planilla]=H$1)*ROW(Insumos_a_comprar[Planilla])-ROW(Insumos_a_comprar[[#Headers],[Planilla]]),ROWS('Insumos a comprar'!$B$5:I15))),"")</f>
        <v>Balones esmerilados  125 ml</v>
      </c>
      <c r="I12" s="29" t="str">
        <f>IF(ROWS('Insumos a comprar'!$B$5:I15)&lt;=COUNTIF(Insumos_a_comprar[Planilla],I$1),INDEX(Insumos_a_comprar[Insumo],_xlfn.AGGREGATE(15,6,(Insumos_a_comprar[Planilla]=I$1)/(Insumos_a_comprar[Planilla]=I$1)*ROW(Insumos_a_comprar[Planilla])-ROW(Insumos_a_comprar[[#Headers],[Planilla]]),ROWS('Insumos a comprar'!$B$5:I15))),"")</f>
        <v xml:space="preserve">Grasa Siliconada </v>
      </c>
      <c r="J12" s="29" t="str">
        <f>IF(ROWS('Insumos a comprar'!$B$5:I15)&lt;=COUNTIF(Insumos_a_comprar[Planilla],J$1),INDEX(Insumos_a_comprar[Insumo],_xlfn.AGGREGATE(15,6,(Insumos_a_comprar[Planilla]=J$1)/(Insumos_a_comprar[Planilla]=J$1)*ROW(Insumos_a_comprar[Planilla])-ROW(Insumos_a_comprar[[#Headers],[Planilla]]),ROWS('Insumos a comprar'!$B$5:I15))),"")</f>
        <v>Corta columna Punta repuesto</v>
      </c>
      <c r="K12" s="29" t="str">
        <f>IF(ROWS('Insumos a comprar'!$B$5:I15)&lt;=COUNTIF(Insumos_a_comprar[Planilla],K$1),INDEX(Insumos_a_comprar[Insumo],_xlfn.AGGREGATE(15,6,(Insumos_a_comprar[Planilla]=K$1)/(Insumos_a_comprar[Planilla]=K$1)*ROW(Insumos_a_comprar[Planilla])-ROW(Insumos_a_comprar[[#Headers],[Planilla]]),ROWS('Insumos a comprar'!$B$5:I15))),"")</f>
        <v>Estaño</v>
      </c>
      <c r="L12" s="29" t="str">
        <f>IF(ROWS('Insumos a comprar'!$B$5:I15)&lt;=COUNTIF(Insumos_a_comprar[Planilla],L$1),INDEX(Insumos_a_comprar[Insumo],_xlfn.AGGREGATE(15,6,(Insumos_a_comprar[Planilla]=L$1)/(Insumos_a_comprar[Planilla]=L$1)*ROW(Insumos_a_comprar[Planilla])-ROW(Insumos_a_comprar[[#Headers],[Planilla]]),ROWS('Insumos a comprar'!$B$5:I15))),"")</f>
        <v>Platsul-A</v>
      </c>
      <c r="M12" s="29"/>
      <c r="N12" s="29"/>
      <c r="O12" s="29"/>
      <c r="P12" s="29"/>
      <c r="Q12" s="29"/>
    </row>
    <row r="13" spans="1:17" ht="63" x14ac:dyDescent="0.25">
      <c r="A13" s="29" t="str">
        <f>IF(ROWS('Insumos a comprar'!$B$5:B16)&lt;=COUNTIF(Insumos_a_comprar[Planilla],A$1),INDEX(Insumos_a_comprar[Insumo],_xlfn.AGGREGATE(15,6,(Insumos_a_comprar[Planilla]=A$1)/(Insumos_a_comprar[Planilla]=A$1)*ROW(Insumos_a_comprar[Planilla])-ROW(Insumos_a_comprar[[#Headers],[Planilla]]),ROWS('Insumos a comprar'!$B$5:B16))),"")</f>
        <v>Azul de Toluidina</v>
      </c>
      <c r="B13" s="29" t="str">
        <f>IF(ROWS('Insumos a comprar'!$B$5:B16)&lt;=COUNTIF(Insumos_a_comprar[Planilla],B$1),INDEX(Insumos_a_comprar[Insumo],_xlfn.AGGREGATE(15,6,(Insumos_a_comprar[Planilla]=B$1)/(Insumos_a_comprar[Planilla]=B$1)*ROW(Insumos_a_comprar[Planilla])-ROW(Insumos_a_comprar[[#Headers],[Planilla]]),ROWS('Insumos a comprar'!$B$5:B16))),"")</f>
        <v>Bario cloruro  (BaCl2.2H2O)</v>
      </c>
      <c r="C13" s="29" t="str">
        <f>IF(ROWS('Insumos a comprar'!$B$5:E16)&lt;=COUNTIF(Insumos_a_comprar[Planilla],C$1),INDEX(Insumos_a_comprar[Insumo],_xlfn.AGGREGATE(15,6,(Insumos_a_comprar[Planilla]=C$1)/(Insumos_a_comprar[Planilla]=C$1)*ROW(Insumos_a_comprar[Planilla])-ROW(Insumos_a_comprar[[#Headers],[Planilla]]),ROWS('Insumos a comprar'!$B$5:E16))),"")</f>
        <v/>
      </c>
      <c r="D13" s="29" t="str">
        <f>IF(ROWS('Insumos a comprar'!$B$5:F16)&lt;=COUNTIF(Insumos_a_comprar[Planilla],D$1),INDEX(Insumos_a_comprar[Insumo],_xlfn.AGGREGATE(15,6,(Insumos_a_comprar[Planilla]=D$1)/(Insumos_a_comprar[Planilla]=D$1)*ROW(Insumos_a_comprar[Planilla])-ROW(Insumos_a_comprar[[#Headers],[Planilla]]),ROWS('Insumos a comprar'!$B$5:F16))),"")</f>
        <v>Alcohol sec-propilico/Secpropanol</v>
      </c>
      <c r="E13" s="29" t="str">
        <f>IF(ROWS('Insumos a comprar'!$B$5:G16)&lt;=COUNTIF(Insumos_a_comprar[Planilla],E$1),INDEX(Insumos_a_comprar[Insumo],_xlfn.AGGREGATE(15,6,(Insumos_a_comprar[Planilla]=E$1)/(Insumos_a_comprar[Planilla]=E$1)*ROW(Insumos_a_comprar[Planilla])-ROW(Insumos_a_comprar[[#Headers],[Planilla]]),ROWS('Insumos a comprar'!$B$5:G16))),"")</f>
        <v>Ion férrico en solucion</v>
      </c>
      <c r="F13" s="29" t="str">
        <f>IF(ROWS('Insumos a comprar'!$B$5:H16)&lt;=COUNTIF(Insumos_a_comprar[Planilla],F$1),INDEX(Insumos_a_comprar[Insumo],_xlfn.AGGREGATE(15,6,(Insumos_a_comprar[Planilla]=F$1)/(Insumos_a_comprar[Planilla]=F$1)*ROW(Insumos_a_comprar[Planilla])-ROW(Insumos_a_comprar[[#Headers],[Planilla]]),ROWS('Insumos a comprar'!$B$5:H16))),"")</f>
        <v/>
      </c>
      <c r="G13" s="29" t="str">
        <f>IF(ROWS('Insumos a comprar'!$B$5:I16)&lt;=COUNTIF(Insumos_a_comprar[Planilla],G$1),INDEX(Insumos_a_comprar[Insumo],_xlfn.AGGREGATE(15,6,(Insumos_a_comprar[Planilla]=G$1)/(Insumos_a_comprar[Planilla]=G$1)*ROW(Insumos_a_comprar[Planilla])-ROW(Insumos_a_comprar[[#Headers],[Planilla]]),ROWS('Insumos a comprar'!$B$5:I16))),"")</f>
        <v/>
      </c>
      <c r="H13" s="29" t="str">
        <f>IF(ROWS('Insumos a comprar'!$B$5:I16)&lt;=COUNTIF(Insumos_a_comprar[Planilla],H$1),INDEX(Insumos_a_comprar[Insumo],_xlfn.AGGREGATE(15,6,(Insumos_a_comprar[Planilla]=H$1)/(Insumos_a_comprar[Planilla]=H$1)*ROW(Insumos_a_comprar[Planilla])-ROW(Insumos_a_comprar[[#Headers],[Planilla]]),ROWS('Insumos a comprar'!$B$5:I16))),"")</f>
        <v>Balones esmerilados  250 ml</v>
      </c>
      <c r="I13" s="29" t="str">
        <f>IF(ROWS('Insumos a comprar'!$B$5:I16)&lt;=COUNTIF(Insumos_a_comprar[Planilla],I$1),INDEX(Insumos_a_comprar[Insumo],_xlfn.AGGREGATE(15,6,(Insumos_a_comprar[Planilla]=I$1)/(Insumos_a_comprar[Planilla]=I$1)*ROW(Insumos_a_comprar[Planilla])-ROW(Insumos_a_comprar[[#Headers],[Planilla]]),ROWS('Insumos a comprar'!$B$5:I16))),"")</f>
        <v>Guantes De Latex Rosa/sin polvo</v>
      </c>
      <c r="J13" s="29" t="str">
        <f>IF(ROWS('Insumos a comprar'!$B$5:I16)&lt;=COUNTIF(Insumos_a_comprar[Planilla],J$1),INDEX(Insumos_a_comprar[Insumo],_xlfn.AGGREGATE(15,6,(Insumos_a_comprar[Planilla]=J$1)/(Insumos_a_comprar[Planilla]=J$1)*ROW(Insumos_a_comprar[Planilla])-ROW(Insumos_a_comprar[[#Headers],[Planilla]]),ROWS('Insumos a comprar'!$B$5:I16))),"")</f>
        <v>Destornilladores  Hexagon 1,5</v>
      </c>
      <c r="K13" s="29" t="str">
        <f>IF(ROWS('Insumos a comprar'!$B$5:I16)&lt;=COUNTIF(Insumos_a_comprar[Planilla],K$1),INDEX(Insumos_a_comprar[Insumo],_xlfn.AGGREGATE(15,6,(Insumos_a_comprar[Planilla]=K$1)/(Insumos_a_comprar[Planilla]=K$1)*ROW(Insumos_a_comprar[Planilla])-ROW(Insumos_a_comprar[[#Headers],[Planilla]]),ROWS('Insumos a comprar'!$B$5:I16))),"")</f>
        <v>Estroncio</v>
      </c>
      <c r="L13" s="29" t="str">
        <f>IF(ROWS('Insumos a comprar'!$B$5:I16)&lt;=COUNTIF(Insumos_a_comprar[Planilla],L$1),INDEX(Insumos_a_comprar[Insumo],_xlfn.AGGREGATE(15,6,(Insumos_a_comprar[Planilla]=L$1)/(Insumos_a_comprar[Planilla]=L$1)*ROW(Insumos_a_comprar[Planilla])-ROW(Insumos_a_comprar[[#Headers],[Planilla]]),ROWS('Insumos a comprar'!$B$5:I16))),"")</f>
        <v>Solucion Fisiológica</v>
      </c>
      <c r="M13" s="29"/>
      <c r="N13" s="29"/>
      <c r="O13" s="29"/>
      <c r="P13" s="29"/>
      <c r="Q13" s="29"/>
    </row>
    <row r="14" spans="1:17" ht="63" x14ac:dyDescent="0.25">
      <c r="A14" s="29" t="str">
        <f>IF(ROWS('Insumos a comprar'!$B$5:B17)&lt;=COUNTIF(Insumos_a_comprar[Planilla],A$1),INDEX(Insumos_a_comprar[Insumo],_xlfn.AGGREGATE(15,6,(Insumos_a_comprar[Planilla]=A$1)/(Insumos_a_comprar[Planilla]=A$1)*ROW(Insumos_a_comprar[Planilla])-ROW(Insumos_a_comprar[[#Headers],[Planilla]]),ROWS('Insumos a comprar'!$B$5:B17))),"")</f>
        <v>Calcio carbonato  (CaCO3)</v>
      </c>
      <c r="B14" s="29" t="str">
        <f>IF(ROWS('Insumos a comprar'!$B$5:B17)&lt;=COUNTIF(Insumos_a_comprar[Planilla],B$1),INDEX(Insumos_a_comprar[Insumo],_xlfn.AGGREGATE(15,6,(Insumos_a_comprar[Planilla]=B$1)/(Insumos_a_comprar[Planilla]=B$1)*ROW(Insumos_a_comprar[Planilla])-ROW(Insumos_a_comprar[[#Headers],[Planilla]]),ROWS('Insumos a comprar'!$B$5:B17))),"")</f>
        <v>Bismuto Nitrato (Bi(NO3)3)</v>
      </c>
      <c r="C14" s="29" t="str">
        <f>IF(ROWS('Insumos a comprar'!$B$5:E17)&lt;=COUNTIF(Insumos_a_comprar[Planilla],C$1),INDEX(Insumos_a_comprar[Insumo],_xlfn.AGGREGATE(15,6,(Insumos_a_comprar[Planilla]=C$1)/(Insumos_a_comprar[Planilla]=C$1)*ROW(Insumos_a_comprar[Planilla])-ROW(Insumos_a_comprar[[#Headers],[Planilla]]),ROWS('Insumos a comprar'!$B$5:E17))),"")</f>
        <v/>
      </c>
      <c r="D14" s="29" t="str">
        <f>IF(ROWS('Insumos a comprar'!$B$5:F17)&lt;=COUNTIF(Insumos_a_comprar[Planilla],D$1),INDEX(Insumos_a_comprar[Insumo],_xlfn.AGGREGATE(15,6,(Insumos_a_comprar[Planilla]=D$1)/(Insumos_a_comprar[Planilla]=D$1)*ROW(Insumos_a_comprar[Planilla])-ROW(Insumos_a_comprar[[#Headers],[Planilla]]),ROWS('Insumos a comprar'!$B$5:F17))),"")</f>
        <v>Anhídrido acético</v>
      </c>
      <c r="E14" s="29" t="str">
        <f>IF(ROWS('Insumos a comprar'!$B$5:G17)&lt;=COUNTIF(Insumos_a_comprar[Planilla],E$1),INDEX(Insumos_a_comprar[Insumo],_xlfn.AGGREGATE(15,6,(Insumos_a_comprar[Planilla]=E$1)/(Insumos_a_comprar[Planilla]=E$1)*ROW(Insumos_a_comprar[Planilla])-ROW(Insumos_a_comprar[[#Headers],[Planilla]]),ROWS('Insumos a comprar'!$B$5:G17))),"")</f>
        <v>Nitratos (Nitraver 5)</v>
      </c>
      <c r="F14" s="29" t="str">
        <f>IF(ROWS('Insumos a comprar'!$B$5:H17)&lt;=COUNTIF(Insumos_a_comprar[Planilla],F$1),INDEX(Insumos_a_comprar[Insumo],_xlfn.AGGREGATE(15,6,(Insumos_a_comprar[Planilla]=F$1)/(Insumos_a_comprar[Planilla]=F$1)*ROW(Insumos_a_comprar[Planilla])-ROW(Insumos_a_comprar[[#Headers],[Planilla]]),ROWS('Insumos a comprar'!$B$5:H17))),"")</f>
        <v/>
      </c>
      <c r="G14" s="29" t="str">
        <f>IF(ROWS('Insumos a comprar'!$B$5:I17)&lt;=COUNTIF(Insumos_a_comprar[Planilla],G$1),INDEX(Insumos_a_comprar[Insumo],_xlfn.AGGREGATE(15,6,(Insumos_a_comprar[Planilla]=G$1)/(Insumos_a_comprar[Planilla]=G$1)*ROW(Insumos_a_comprar[Planilla])-ROW(Insumos_a_comprar[[#Headers],[Planilla]]),ROWS('Insumos a comprar'!$B$5:I17))),"")</f>
        <v/>
      </c>
      <c r="H14" s="29" t="str">
        <f>IF(ROWS('Insumos a comprar'!$B$5:I17)&lt;=COUNTIF(Insumos_a_comprar[Planilla],H$1),INDEX(Insumos_a_comprar[Insumo],_xlfn.AGGREGATE(15,6,(Insumos_a_comprar[Planilla]=H$1)/(Insumos_a_comprar[Planilla]=H$1)*ROW(Insumos_a_comprar[Planilla])-ROW(Insumos_a_comprar[[#Headers],[Planilla]]),ROWS('Insumos a comprar'!$B$5:I17))),"")</f>
        <v xml:space="preserve">Balones esmerilados  500 ml </v>
      </c>
      <c r="I14" s="29" t="str">
        <f>IF(ROWS('Insumos a comprar'!$B$5:I17)&lt;=COUNTIF(Insumos_a_comprar[Planilla],I$1),INDEX(Insumos_a_comprar[Insumo],_xlfn.AGGREGATE(15,6,(Insumos_a_comprar[Planilla]=I$1)/(Insumos_a_comprar[Planilla]=I$1)*ROW(Insumos_a_comprar[Planilla])-ROW(Insumos_a_comprar[[#Headers],[Planilla]]),ROWS('Insumos a comprar'!$B$5:I17))),"")</f>
        <v>Guantes De Nitrilo Talle L Negro</v>
      </c>
      <c r="J14" s="29" t="str">
        <f>IF(ROWS('Insumos a comprar'!$B$5:I17)&lt;=COUNTIF(Insumos_a_comprar[Planilla],J$1),INDEX(Insumos_a_comprar[Insumo],_xlfn.AGGREGATE(15,6,(Insumos_a_comprar[Planilla]=J$1)/(Insumos_a_comprar[Planilla]=J$1)*ROW(Insumos_a_comprar[Planilla])-ROW(Insumos_a_comprar[[#Headers],[Planilla]]),ROWS('Insumos a comprar'!$B$5:I17))),"")</f>
        <v>Destornilladores  Hexagon 4,0</v>
      </c>
      <c r="K14" s="29" t="str">
        <f>IF(ROWS('Insumos a comprar'!$B$5:I17)&lt;=COUNTIF(Insumos_a_comprar[Planilla],K$1),INDEX(Insumos_a_comprar[Insumo],_xlfn.AGGREGATE(15,6,(Insumos_a_comprar[Planilla]=K$1)/(Insumos_a_comprar[Planilla]=K$1)*ROW(Insumos_a_comprar[Planilla])-ROW(Insumos_a_comprar[[#Headers],[Planilla]]),ROWS('Insumos a comprar'!$B$5:I17))),"")</f>
        <v>Hierro</v>
      </c>
      <c r="L14" s="29" t="str">
        <f>IF(ROWS('Insumos a comprar'!$B$5:I17)&lt;=COUNTIF(Insumos_a_comprar[Planilla],L$1),INDEX(Insumos_a_comprar[Insumo],_xlfn.AGGREGATE(15,6,(Insumos_a_comprar[Planilla]=L$1)/(Insumos_a_comprar[Planilla]=L$1)*ROW(Insumos_a_comprar[Planilla])-ROW(Insumos_a_comprar[[#Headers],[Planilla]]),ROWS('Insumos a comprar'!$B$5:I17))),"")</f>
        <v>Sulfadiazina de plata/Lidocaína/Vit. A</v>
      </c>
      <c r="M14" s="29"/>
      <c r="N14" s="29"/>
      <c r="O14" s="29"/>
      <c r="P14" s="29"/>
      <c r="Q14" s="29"/>
    </row>
    <row r="15" spans="1:17" ht="47.25" x14ac:dyDescent="0.25">
      <c r="A15" s="29" t="str">
        <f>IF(ROWS('Insumos a comprar'!$B$5:B18)&lt;=COUNTIF(Insumos_a_comprar[Planilla],A$1),INDEX(Insumos_a_comprar[Insumo],_xlfn.AGGREGATE(15,6,(Insumos_a_comprar[Planilla]=A$1)/(Insumos_a_comprar[Planilla]=A$1)*ROW(Insumos_a_comprar[Planilla])-ROW(Insumos_a_comprar[[#Headers],[Planilla]]),ROWS('Insumos a comprar'!$B$5:B18))),"")</f>
        <v>Carbón activado</v>
      </c>
      <c r="B15" s="29" t="str">
        <f>IF(ROWS('Insumos a comprar'!$B$5:B18)&lt;=COUNTIF(Insumos_a_comprar[Planilla],B$1),INDEX(Insumos_a_comprar[Insumo],_xlfn.AGGREGATE(15,6,(Insumos_a_comprar[Planilla]=B$1)/(Insumos_a_comprar[Planilla]=B$1)*ROW(Insumos_a_comprar[Planilla])-ROW(Insumos_a_comprar[[#Headers],[Planilla]]),ROWS('Insumos a comprar'!$B$5:B18))),"")</f>
        <v>Calcio cloruro dihidrato</v>
      </c>
      <c r="C15" s="29" t="str">
        <f>IF(ROWS('Insumos a comprar'!$B$5:E18)&lt;=COUNTIF(Insumos_a_comprar[Planilla],C$1),INDEX(Insumos_a_comprar[Insumo],_xlfn.AGGREGATE(15,6,(Insumos_a_comprar[Planilla]=C$1)/(Insumos_a_comprar[Planilla]=C$1)*ROW(Insumos_a_comprar[Planilla])-ROW(Insumos_a_comprar[[#Headers],[Planilla]]),ROWS('Insumos a comprar'!$B$5:E18))),"")</f>
        <v/>
      </c>
      <c r="D15" s="29" t="str">
        <f>IF(ROWS('Insumos a comprar'!$B$5:F18)&lt;=COUNTIF(Insumos_a_comprar[Planilla],D$1),INDEX(Insumos_a_comprar[Insumo],_xlfn.AGGREGATE(15,6,(Insumos_a_comprar[Planilla]=D$1)/(Insumos_a_comprar[Planilla]=D$1)*ROW(Insumos_a_comprar[Planilla])-ROW(Insumos_a_comprar[[#Headers],[Planilla]]),ROWS('Insumos a comprar'!$B$5:F18))),"")</f>
        <v>Benceno</v>
      </c>
      <c r="E15" s="29" t="str">
        <f>IF(ROWS('Insumos a comprar'!$B$5:G18)&lt;=COUNTIF(Insumos_a_comprar[Planilla],E$1),INDEX(Insumos_a_comprar[Insumo],_xlfn.AGGREGATE(15,6,(Insumos_a_comprar[Planilla]=E$1)/(Insumos_a_comprar[Planilla]=E$1)*ROW(Insumos_a_comprar[Planilla])-ROW(Insumos_a_comprar[[#Headers],[Planilla]]),ROWS('Insumos a comprar'!$B$5:G18))),"")</f>
        <v>Persulfato de potasio</v>
      </c>
      <c r="F15" s="29" t="str">
        <f>IF(ROWS('Insumos a comprar'!$B$5:H18)&lt;=COUNTIF(Insumos_a_comprar[Planilla],F$1),INDEX(Insumos_a_comprar[Insumo],_xlfn.AGGREGATE(15,6,(Insumos_a_comprar[Planilla]=F$1)/(Insumos_a_comprar[Planilla]=F$1)*ROW(Insumos_a_comprar[Planilla])-ROW(Insumos_a_comprar[[#Headers],[Planilla]]),ROWS('Insumos a comprar'!$B$5:H18))),"")</f>
        <v/>
      </c>
      <c r="G15" s="29" t="str">
        <f>IF(ROWS('Insumos a comprar'!$B$5:I18)&lt;=COUNTIF(Insumos_a_comprar[Planilla],G$1),INDEX(Insumos_a_comprar[Insumo],_xlfn.AGGREGATE(15,6,(Insumos_a_comprar[Planilla]=G$1)/(Insumos_a_comprar[Planilla]=G$1)*ROW(Insumos_a_comprar[Planilla])-ROW(Insumos_a_comprar[[#Headers],[Planilla]]),ROWS('Insumos a comprar'!$B$5:I18))),"")</f>
        <v/>
      </c>
      <c r="H15" s="29" t="str">
        <f>IF(ROWS('Insumos a comprar'!$B$5:I18)&lt;=COUNTIF(Insumos_a_comprar[Planilla],H$1),INDEX(Insumos_a_comprar[Insumo],_xlfn.AGGREGATE(15,6,(Insumos_a_comprar[Planilla]=H$1)/(Insumos_a_comprar[Planilla]=H$1)*ROW(Insumos_a_comprar[Planilla])-ROW(Insumos_a_comprar[[#Headers],[Planilla]]),ROWS('Insumos a comprar'!$B$5:I18))),"")</f>
        <v>Botellas DBO  500ml</v>
      </c>
      <c r="I15" s="29" t="str">
        <f>IF(ROWS('Insumos a comprar'!$B$5:I18)&lt;=COUNTIF(Insumos_a_comprar[Planilla],I$1),INDEX(Insumos_a_comprar[Insumo],_xlfn.AGGREGATE(15,6,(Insumos_a_comprar[Planilla]=I$1)/(Insumos_a_comprar[Planilla]=I$1)*ROW(Insumos_a_comprar[Planilla])-ROW(Insumos_a_comprar[[#Headers],[Planilla]]),ROWS('Insumos a comprar'!$B$5:I18))),"")</f>
        <v>Guantes De Nitrilo Talle L Verde</v>
      </c>
      <c r="J15" s="29" t="str">
        <f>IF(ROWS('Insumos a comprar'!$B$5:I18)&lt;=COUNTIF(Insumos_a_comprar[Planilla],J$1),INDEX(Insumos_a_comprar[Insumo],_xlfn.AGGREGATE(15,6,(Insumos_a_comprar[Planilla]=J$1)/(Insumos_a_comprar[Planilla]=J$1)*ROW(Insumos_a_comprar[Planilla])-ROW(Insumos_a_comprar[[#Headers],[Planilla]]),ROWS('Insumos a comprar'!$B$5:I18))),"")</f>
        <v>Destornilladores  Minus</v>
      </c>
      <c r="K15" s="29" t="str">
        <f>IF(ROWS('Insumos a comprar'!$B$5:I18)&lt;=COUNTIF(Insumos_a_comprar[Planilla],K$1),INDEX(Insumos_a_comprar[Insumo],_xlfn.AGGREGATE(15,6,(Insumos_a_comprar[Planilla]=K$1)/(Insumos_a_comprar[Planilla]=K$1)*ROW(Insumos_a_comprar[Planilla])-ROW(Insumos_a_comprar[[#Headers],[Planilla]]),ROWS('Insumos a comprar'!$B$5:I18))),"")</f>
        <v>Litio</v>
      </c>
      <c r="L15" s="29" t="str">
        <f>IF(ROWS('Insumos a comprar'!$B$5:I18)&lt;=COUNTIF(Insumos_a_comprar[Planilla],L$1),INDEX(Insumos_a_comprar[Insumo],_xlfn.AGGREGATE(15,6,(Insumos_a_comprar[Planilla]=L$1)/(Insumos_a_comprar[Planilla]=L$1)*ROW(Insumos_a_comprar[Planilla])-ROW(Insumos_a_comprar[[#Headers],[Planilla]]),ROWS('Insumos a comprar'!$B$5:I18))),"")</f>
        <v>Vendas</v>
      </c>
      <c r="M15" s="29"/>
      <c r="N15" s="29"/>
      <c r="O15" s="29"/>
      <c r="P15" s="29"/>
      <c r="Q15" s="29"/>
    </row>
    <row r="16" spans="1:17" ht="47.25" x14ac:dyDescent="0.25">
      <c r="A16" s="29" t="str">
        <f>IF(ROWS('Insumos a comprar'!$B$5:B19)&lt;=COUNTIF(Insumos_a_comprar[Planilla],A$1),INDEX(Insumos_a_comprar[Insumo],_xlfn.AGGREGATE(15,6,(Insumos_a_comprar[Planilla]=A$1)/(Insumos_a_comprar[Planilla]=A$1)*ROW(Insumos_a_comprar[Planilla])-ROW(Insumos_a_comprar[[#Headers],[Planilla]]),ROWS('Insumos a comprar'!$B$5:B19))),"")</f>
        <v>Cinc Acetato (Zn(CH3CO2)2.2H2O)</v>
      </c>
      <c r="B16" s="29" t="str">
        <f>IF(ROWS('Insumos a comprar'!$B$5:B19)&lt;=COUNTIF(Insumos_a_comprar[Planilla],B$1),INDEX(Insumos_a_comprar[Insumo],_xlfn.AGGREGATE(15,6,(Insumos_a_comprar[Planilla]=B$1)/(Insumos_a_comprar[Planilla]=B$1)*ROW(Insumos_a_comprar[Planilla])-ROW(Insumos_a_comprar[[#Headers],[Planilla]]),ROWS('Insumos a comprar'!$B$5:B19))),"")</f>
        <v>Calcio hidróxido</v>
      </c>
      <c r="C16" s="29" t="str">
        <f>IF(ROWS('Insumos a comprar'!$B$5:E19)&lt;=COUNTIF(Insumos_a_comprar[Planilla],C$1),INDEX(Insumos_a_comprar[Insumo],_xlfn.AGGREGATE(15,6,(Insumos_a_comprar[Planilla]=C$1)/(Insumos_a_comprar[Planilla]=C$1)*ROW(Insumos_a_comprar[Planilla])-ROW(Insumos_a_comprar[[#Headers],[Planilla]]),ROWS('Insumos a comprar'!$B$5:E19))),"")</f>
        <v/>
      </c>
      <c r="D16" s="29" t="str">
        <f>IF(ROWS('Insumos a comprar'!$B$5:F19)&lt;=COUNTIF(Insumos_a_comprar[Planilla],D$1),INDEX(Insumos_a_comprar[Insumo],_xlfn.AGGREGATE(15,6,(Insumos_a_comprar[Planilla]=D$1)/(Insumos_a_comprar[Planilla]=D$1)*ROW(Insumos_a_comprar[Planilla])-ROW(Insumos_a_comprar[[#Headers],[Planilla]]),ROWS('Insumos a comprar'!$B$5:F19))),"")</f>
        <v>Ciclohexano</v>
      </c>
      <c r="E16" s="29" t="str">
        <f>IF(ROWS('Insumos a comprar'!$B$5:G19)&lt;=COUNTIF(Insumos_a_comprar[Planilla],E$1),INDEX(Insumos_a_comprar[Insumo],_xlfn.AGGREGATE(15,6,(Insumos_a_comprar[Planilla]=E$1)/(Insumos_a_comprar[Planilla]=E$1)*ROW(Insumos_a_comprar[Planilla])-ROW(Insumos_a_comprar[[#Headers],[Planilla]]),ROWS('Insumos a comprar'!$B$5:G19))),"")</f>
        <v>Silica 1</v>
      </c>
      <c r="F16" s="29" t="str">
        <f>IF(ROWS('Insumos a comprar'!$B$5:H19)&lt;=COUNTIF(Insumos_a_comprar[Planilla],F$1),INDEX(Insumos_a_comprar[Insumo],_xlfn.AGGREGATE(15,6,(Insumos_a_comprar[Planilla]=F$1)/(Insumos_a_comprar[Planilla]=F$1)*ROW(Insumos_a_comprar[Planilla])-ROW(Insumos_a_comprar[[#Headers],[Planilla]]),ROWS('Insumos a comprar'!$B$5:H19))),"")</f>
        <v/>
      </c>
      <c r="G16" s="29" t="str">
        <f>IF(ROWS('Insumos a comprar'!$B$5:I19)&lt;=COUNTIF(Insumos_a_comprar[Planilla],G$1),INDEX(Insumos_a_comprar[Insumo],_xlfn.AGGREGATE(15,6,(Insumos_a_comprar[Planilla]=G$1)/(Insumos_a_comprar[Planilla]=G$1)*ROW(Insumos_a_comprar[Planilla])-ROW(Insumos_a_comprar[[#Headers],[Planilla]]),ROWS('Insumos a comprar'!$B$5:I19))),"")</f>
        <v/>
      </c>
      <c r="H16" s="29" t="str">
        <f>IF(ROWS('Insumos a comprar'!$B$5:I19)&lt;=COUNTIF(Insumos_a_comprar[Planilla],H$1),INDEX(Insumos_a_comprar[Insumo],_xlfn.AGGREGATE(15,6,(Insumos_a_comprar[Planilla]=H$1)/(Insumos_a_comprar[Planilla]=H$1)*ROW(Insumos_a_comprar[Planilla])-ROW(Insumos_a_comprar[[#Headers],[Planilla]]),ROWS('Insumos a comprar'!$B$5:I19))),"")</f>
        <v>Buretas  10 ml</v>
      </c>
      <c r="I16" s="29" t="str">
        <f>IF(ROWS('Insumos a comprar'!$B$5:I19)&lt;=COUNTIF(Insumos_a_comprar[Planilla],I$1),INDEX(Insumos_a_comprar[Insumo],_xlfn.AGGREGATE(15,6,(Insumos_a_comprar[Planilla]=I$1)/(Insumos_a_comprar[Planilla]=I$1)*ROW(Insumos_a_comprar[Planilla])-ROW(Insumos_a_comprar[[#Headers],[Planilla]]),ROWS('Insumos a comprar'!$B$5:I19))),"")</f>
        <v>Guantes De Nitrilo Talle L Violeta</v>
      </c>
      <c r="J16" s="29" t="str">
        <f>IF(ROWS('Insumos a comprar'!$B$5:I19)&lt;=COUNTIF(Insumos_a_comprar[Planilla],J$1),INDEX(Insumos_a_comprar[Insumo],_xlfn.AGGREGATE(15,6,(Insumos_a_comprar[Planilla]=J$1)/(Insumos_a_comprar[Planilla]=J$1)*ROW(Insumos_a_comprar[Planilla])-ROW(Insumos_a_comprar[[#Headers],[Planilla]]),ROWS('Insumos a comprar'!$B$5:I19))),"")</f>
        <v>Destornilladores  Phillips</v>
      </c>
      <c r="K16" s="29" t="str">
        <f>IF(ROWS('Insumos a comprar'!$B$5:I19)&lt;=COUNTIF(Insumos_a_comprar[Planilla],K$1),INDEX(Insumos_a_comprar[Insumo],_xlfn.AGGREGATE(15,6,(Insumos_a_comprar[Planilla]=K$1)/(Insumos_a_comprar[Planilla]=K$1)*ROW(Insumos_a_comprar[Planilla])-ROW(Insumos_a_comprar[[#Headers],[Planilla]]),ROWS('Insumos a comprar'!$B$5:I19))),"")</f>
        <v>Magnesio</v>
      </c>
      <c r="L16" s="29" t="str">
        <f>IF(ROWS('Insumos a comprar'!$B$5:I19)&lt;=COUNTIF(Insumos_a_comprar[Planilla],L$1),INDEX(Insumos_a_comprar[Insumo],_xlfn.AGGREGATE(15,6,(Insumos_a_comprar[Planilla]=L$1)/(Insumos_a_comprar[Planilla]=L$1)*ROW(Insumos_a_comprar[Planilla])-ROW(Insumos_a_comprar[[#Headers],[Planilla]]),ROWS('Insumos a comprar'!$B$5:I19))),"")</f>
        <v/>
      </c>
      <c r="M16" s="29"/>
      <c r="N16" s="29"/>
      <c r="O16" s="29"/>
      <c r="P16" s="29"/>
      <c r="Q16" s="29"/>
    </row>
    <row r="17" spans="1:17" ht="47.25" x14ac:dyDescent="0.25">
      <c r="A17" s="29" t="str">
        <f>IF(ROWS('Insumos a comprar'!$B$5:B20)&lt;=COUNTIF(Insumos_a_comprar[Planilla],A$1),INDEX(Insumos_a_comprar[Insumo],_xlfn.AGGREGATE(15,6,(Insumos_a_comprar[Planilla]=A$1)/(Insumos_a_comprar[Planilla]=A$1)*ROW(Insumos_a_comprar[Planilla])-ROW(Insumos_a_comprar[[#Headers],[Planilla]]),ROWS('Insumos a comprar'!$B$5:B20))),"")</f>
        <v>Cinc malla 20</v>
      </c>
      <c r="B17" s="29" t="str">
        <f>IF(ROWS('Insumos a comprar'!$B$5:B20)&lt;=COUNTIF(Insumos_a_comprar[Planilla],B$1),INDEX(Insumos_a_comprar[Insumo],_xlfn.AGGREGATE(15,6,(Insumos_a_comprar[Planilla]=B$1)/(Insumos_a_comprar[Planilla]=B$1)*ROW(Insumos_a_comprar[Planilla])-ROW(Insumos_a_comprar[[#Headers],[Planilla]]),ROWS('Insumos a comprar'!$B$5:B20))),"")</f>
        <v>Calcio oxido- cal viva (CaO)</v>
      </c>
      <c r="C17" s="29" t="str">
        <f>IF(ROWS('Insumos a comprar'!$B$5:E20)&lt;=COUNTIF(Insumos_a_comprar[Planilla],C$1),INDEX(Insumos_a_comprar[Insumo],_xlfn.AGGREGATE(15,6,(Insumos_a_comprar[Planilla]=C$1)/(Insumos_a_comprar[Planilla]=C$1)*ROW(Insumos_a_comprar[Planilla])-ROW(Insumos_a_comprar[[#Headers],[Planilla]]),ROWS('Insumos a comprar'!$B$5:E20))),"")</f>
        <v/>
      </c>
      <c r="D17" s="29" t="str">
        <f>IF(ROWS('Insumos a comprar'!$B$5:F20)&lt;=COUNTIF(Insumos_a_comprar[Planilla],D$1),INDEX(Insumos_a_comprar[Insumo],_xlfn.AGGREGATE(15,6,(Insumos_a_comprar[Planilla]=D$1)/(Insumos_a_comprar[Planilla]=D$1)*ROW(Insumos_a_comprar[Planilla])-ROW(Insumos_a_comprar[[#Headers],[Planilla]]),ROWS('Insumos a comprar'!$B$5:F20))),"")</f>
        <v>Ciclohexanona</v>
      </c>
      <c r="E17" s="29" t="str">
        <f>IF(ROWS('Insumos a comprar'!$B$5:G20)&lt;=COUNTIF(Insumos_a_comprar[Planilla],E$1),INDEX(Insumos_a_comprar[Insumo],_xlfn.AGGREGATE(15,6,(Insumos_a_comprar[Planilla]=E$1)/(Insumos_a_comprar[Planilla]=E$1)*ROW(Insumos_a_comprar[Planilla])-ROW(Insumos_a_comprar[[#Headers],[Planilla]]),ROWS('Insumos a comprar'!$B$5:G20))),"")</f>
        <v>Silica 2</v>
      </c>
      <c r="F17" s="29" t="str">
        <f>IF(ROWS('Insumos a comprar'!$B$5:H20)&lt;=COUNTIF(Insumos_a_comprar[Planilla],F$1),INDEX(Insumos_a_comprar[Insumo],_xlfn.AGGREGATE(15,6,(Insumos_a_comprar[Planilla]=F$1)/(Insumos_a_comprar[Planilla]=F$1)*ROW(Insumos_a_comprar[Planilla])-ROW(Insumos_a_comprar[[#Headers],[Planilla]]),ROWS('Insumos a comprar'!$B$5:H20))),"")</f>
        <v/>
      </c>
      <c r="G17" s="29" t="str">
        <f>IF(ROWS('Insumos a comprar'!$B$5:I20)&lt;=COUNTIF(Insumos_a_comprar[Planilla],G$1),INDEX(Insumos_a_comprar[Insumo],_xlfn.AGGREGATE(15,6,(Insumos_a_comprar[Planilla]=G$1)/(Insumos_a_comprar[Planilla]=G$1)*ROW(Insumos_a_comprar[Planilla])-ROW(Insumos_a_comprar[[#Headers],[Planilla]]),ROWS('Insumos a comprar'!$B$5:I20))),"")</f>
        <v/>
      </c>
      <c r="H17" s="29" t="str">
        <f>IF(ROWS('Insumos a comprar'!$B$5:I20)&lt;=COUNTIF(Insumos_a_comprar[Planilla],H$1),INDEX(Insumos_a_comprar[Insumo],_xlfn.AGGREGATE(15,6,(Insumos_a_comprar[Planilla]=H$1)/(Insumos_a_comprar[Planilla]=H$1)*ROW(Insumos_a_comprar[Planilla])-ROW(Insumos_a_comprar[[#Headers],[Planilla]]),ROWS('Insumos a comprar'!$B$5:I20))),"")</f>
        <v>Buretas  25 ml</v>
      </c>
      <c r="I17" s="29" t="str">
        <f>IF(ROWS('Insumos a comprar'!$B$5:I20)&lt;=COUNTIF(Insumos_a_comprar[Planilla],I$1),INDEX(Insumos_a_comprar[Insumo],_xlfn.AGGREGATE(15,6,(Insumos_a_comprar[Planilla]=I$1)/(Insumos_a_comprar[Planilla]=I$1)*ROW(Insumos_a_comprar[Planilla])-ROW(Insumos_a_comprar[[#Headers],[Planilla]]),ROWS('Insumos a comprar'!$B$5:I20))),"")</f>
        <v>Guantes De Nitrilo Talle M Negro</v>
      </c>
      <c r="J17" s="29" t="str">
        <f>IF(ROWS('Insumos a comprar'!$B$5:I20)&lt;=COUNTIF(Insumos_a_comprar[Planilla],J$1),INDEX(Insumos_a_comprar[Insumo],_xlfn.AGGREGATE(15,6,(Insumos_a_comprar[Planilla]=J$1)/(Insumos_a_comprar[Planilla]=J$1)*ROW(Insumos_a_comprar[Planilla])-ROW(Insumos_a_comprar[[#Headers],[Planilla]]),ROWS('Insumos a comprar'!$B$5:I20))),"")</f>
        <v>Destornilladror  JIG IS</v>
      </c>
      <c r="K17" s="29" t="str">
        <f>IF(ROWS('Insumos a comprar'!$B$5:I20)&lt;=COUNTIF(Insumos_a_comprar[Planilla],K$1),INDEX(Insumos_a_comprar[Insumo],_xlfn.AGGREGATE(15,6,(Insumos_a_comprar[Planilla]=K$1)/(Insumos_a_comprar[Planilla]=K$1)*ROW(Insumos_a_comprar[Planilla])-ROW(Insumos_a_comprar[[#Headers],[Planilla]]),ROWS('Insumos a comprar'!$B$5:I20))),"")</f>
        <v>Manganeso</v>
      </c>
      <c r="L17" s="29" t="str">
        <f>IF(ROWS('Insumos a comprar'!$B$5:I20)&lt;=COUNTIF(Insumos_a_comprar[Planilla],L$1),INDEX(Insumos_a_comprar[Insumo],_xlfn.AGGREGATE(15,6,(Insumos_a_comprar[Planilla]=L$1)/(Insumos_a_comprar[Planilla]=L$1)*ROW(Insumos_a_comprar[Planilla])-ROW(Insumos_a_comprar[[#Headers],[Planilla]]),ROWS('Insumos a comprar'!$B$5:I20))),"")</f>
        <v/>
      </c>
      <c r="M17" s="29"/>
      <c r="N17" s="29"/>
      <c r="O17" s="29"/>
      <c r="P17" s="29"/>
      <c r="Q17" s="29"/>
    </row>
    <row r="18" spans="1:17" ht="31.5" x14ac:dyDescent="0.25">
      <c r="A18" s="29" t="str">
        <f>IF(ROWS('Insumos a comprar'!$B$5:B21)&lt;=COUNTIF(Insumos_a_comprar[Planilla],A$1),INDEX(Insumos_a_comprar[Insumo],_xlfn.AGGREGATE(15,6,(Insumos_a_comprar[Planilla]=A$1)/(Insumos_a_comprar[Planilla]=A$1)*ROW(Insumos_a_comprar[Planilla])-ROW(Insumos_a_comprar[[#Headers],[Planilla]]),ROWS('Insumos a comprar'!$B$5:B21))),"")</f>
        <v>Cobre (II) sulfato (CuSO4.5H2O)</v>
      </c>
      <c r="B18" s="29" t="str">
        <f>IF(ROWS('Insumos a comprar'!$B$5:B21)&lt;=COUNTIF(Insumos_a_comprar[Planilla],B$1),INDEX(Insumos_a_comprar[Insumo],_xlfn.AGGREGATE(15,6,(Insumos_a_comprar[Planilla]=B$1)/(Insumos_a_comprar[Planilla]=B$1)*ROW(Insumos_a_comprar[Planilla])-ROW(Insumos_a_comprar[[#Headers],[Planilla]]),ROWS('Insumos a comprar'!$B$5:B21))),"")</f>
        <v>Cinc en polvo</v>
      </c>
      <c r="C18" s="29" t="str">
        <f>IF(ROWS('Insumos a comprar'!$B$5:E21)&lt;=COUNTIF(Insumos_a_comprar[Planilla],C$1),INDEX(Insumos_a_comprar[Insumo],_xlfn.AGGREGATE(15,6,(Insumos_a_comprar[Planilla]=C$1)/(Insumos_a_comprar[Planilla]=C$1)*ROW(Insumos_a_comprar[Planilla])-ROW(Insumos_a_comprar[[#Headers],[Planilla]]),ROWS('Insumos a comprar'!$B$5:E21))),"")</f>
        <v/>
      </c>
      <c r="D18" s="29" t="str">
        <f>IF(ROWS('Insumos a comprar'!$B$5:F21)&lt;=COUNTIF(Insumos_a_comprar[Planilla],D$1),INDEX(Insumos_a_comprar[Insumo],_xlfn.AGGREGATE(15,6,(Insumos_a_comprar[Planilla]=D$1)/(Insumos_a_comprar[Planilla]=D$1)*ROW(Insumos_a_comprar[Planilla])-ROW(Insumos_a_comprar[[#Headers],[Planilla]]),ROWS('Insumos a comprar'!$B$5:F21))),"")</f>
        <v>Clorobenceno</v>
      </c>
      <c r="E18" s="29" t="str">
        <f>IF(ROWS('Insumos a comprar'!$B$5:G21)&lt;=COUNTIF(Insumos_a_comprar[Planilla],E$1),INDEX(Insumos_a_comprar[Insumo],_xlfn.AGGREGATE(15,6,(Insumos_a_comprar[Planilla]=E$1)/(Insumos_a_comprar[Planilla]=E$1)*ROW(Insumos_a_comprar[Planilla])-ROW(Insumos_a_comprar[[#Headers],[Planilla]]),ROWS('Insumos a comprar'!$B$5:G21))),"")</f>
        <v>Silica 3</v>
      </c>
      <c r="F18" s="29" t="str">
        <f>IF(ROWS('Insumos a comprar'!$B$5:H21)&lt;=COUNTIF(Insumos_a_comprar[Planilla],F$1),INDEX(Insumos_a_comprar[Insumo],_xlfn.AGGREGATE(15,6,(Insumos_a_comprar[Planilla]=F$1)/(Insumos_a_comprar[Planilla]=F$1)*ROW(Insumos_a_comprar[Planilla])-ROW(Insumos_a_comprar[[#Headers],[Planilla]]),ROWS('Insumos a comprar'!$B$5:H21))),"")</f>
        <v/>
      </c>
      <c r="G18" s="29" t="str">
        <f>IF(ROWS('Insumos a comprar'!$B$5:I21)&lt;=COUNTIF(Insumos_a_comprar[Planilla],G$1),INDEX(Insumos_a_comprar[Insumo],_xlfn.AGGREGATE(15,6,(Insumos_a_comprar[Planilla]=G$1)/(Insumos_a_comprar[Planilla]=G$1)*ROW(Insumos_a_comprar[Planilla])-ROW(Insumos_a_comprar[[#Headers],[Planilla]]),ROWS('Insumos a comprar'!$B$5:I21))),"")</f>
        <v/>
      </c>
      <c r="H18" s="29" t="str">
        <f>IF(ROWS('Insumos a comprar'!$B$5:I21)&lt;=COUNTIF(Insumos_a_comprar[Planilla],H$1),INDEX(Insumos_a_comprar[Insumo],_xlfn.AGGREGATE(15,6,(Insumos_a_comprar[Planilla]=H$1)/(Insumos_a_comprar[Planilla]=H$1)*ROW(Insumos_a_comprar[Planilla])-ROW(Insumos_a_comprar[[#Headers],[Planilla]]),ROWS('Insumos a comprar'!$B$5:I21))),"")</f>
        <v>Buretas  50 ml</v>
      </c>
      <c r="I18" s="29" t="str">
        <f>IF(ROWS('Insumos a comprar'!$B$5:I21)&lt;=COUNTIF(Insumos_a_comprar[Planilla],I$1),INDEX(Insumos_a_comprar[Insumo],_xlfn.AGGREGATE(15,6,(Insumos_a_comprar[Planilla]=I$1)/(Insumos_a_comprar[Planilla]=I$1)*ROW(Insumos_a_comprar[Planilla])-ROW(Insumos_a_comprar[[#Headers],[Planilla]]),ROWS('Insumos a comprar'!$B$5:I21))),"")</f>
        <v>Guantes De Nitrilo Talle M Verde</v>
      </c>
      <c r="J18" s="29" t="str">
        <f>IF(ROWS('Insumos a comprar'!$B$5:I21)&lt;=COUNTIF(Insumos_a_comprar[Planilla],J$1),INDEX(Insumos_a_comprar[Insumo],_xlfn.AGGREGATE(15,6,(Insumos_a_comprar[Planilla]=J$1)/(Insumos_a_comprar[Planilla]=J$1)*ROW(Insumos_a_comprar[Planilla])-ROW(Insumos_a_comprar[[#Headers],[Planilla]]),ROWS('Insumos a comprar'!$B$5:I21))),"")</f>
        <v>Ferrules 0,4 mm</v>
      </c>
      <c r="K18" s="29" t="str">
        <f>IF(ROWS('Insumos a comprar'!$B$5:I21)&lt;=COUNTIF(Insumos_a_comprar[Planilla],K$1),INDEX(Insumos_a_comprar[Insumo],_xlfn.AGGREGATE(15,6,(Insumos_a_comprar[Planilla]=K$1)/(Insumos_a_comprar[Planilla]=K$1)*ROW(Insumos_a_comprar[Planilla])-ROW(Insumos_a_comprar[[#Headers],[Planilla]]),ROWS('Insumos a comprar'!$B$5:I21))),"")</f>
        <v>Mercurio</v>
      </c>
      <c r="L18" s="29" t="str">
        <f>IF(ROWS('Insumos a comprar'!$B$5:I21)&lt;=COUNTIF(Insumos_a_comprar[Planilla],L$1),INDEX(Insumos_a_comprar[Insumo],_xlfn.AGGREGATE(15,6,(Insumos_a_comprar[Planilla]=L$1)/(Insumos_a_comprar[Planilla]=L$1)*ROW(Insumos_a_comprar[Planilla])-ROW(Insumos_a_comprar[[#Headers],[Planilla]]),ROWS('Insumos a comprar'!$B$5:I21))),"")</f>
        <v/>
      </c>
      <c r="M18" s="29"/>
      <c r="N18" s="29"/>
      <c r="O18" s="29"/>
      <c r="P18" s="29"/>
      <c r="Q18" s="29"/>
    </row>
    <row r="19" spans="1:17" ht="31.5" x14ac:dyDescent="0.25">
      <c r="A19" s="29" t="str">
        <f>IF(ROWS('Insumos a comprar'!$B$5:B22)&lt;=COUNTIF(Insumos_a_comprar[Planilla],A$1),INDEX(Insumos_a_comprar[Insumo],_xlfn.AGGREGATE(15,6,(Insumos_a_comprar[Planilla]=A$1)/(Insumos_a_comprar[Planilla]=A$1)*ROW(Insumos_a_comprar[Planilla])-ROW(Insumos_a_comprar[[#Headers],[Planilla]]),ROWS('Insumos a comprar'!$B$5:B22))),"")</f>
        <v>EDTA disódico</v>
      </c>
      <c r="B19" s="29" t="str">
        <f>IF(ROWS('Insumos a comprar'!$B$5:B22)&lt;=COUNTIF(Insumos_a_comprar[Planilla],B$1),INDEX(Insumos_a_comprar[Insumo],_xlfn.AGGREGATE(15,6,(Insumos_a_comprar[Planilla]=B$1)/(Insumos_a_comprar[Planilla]=B$1)*ROW(Insumos_a_comprar[Planilla])-ROW(Insumos_a_comprar[[#Headers],[Planilla]]),ROWS('Insumos a comprar'!$B$5:B22))),"")</f>
        <v>Cinc sulfato (ZnSO4.7H2O)</v>
      </c>
      <c r="C19" s="29" t="str">
        <f>IF(ROWS('Insumos a comprar'!$B$5:E22)&lt;=COUNTIF(Insumos_a_comprar[Planilla],C$1),INDEX(Insumos_a_comprar[Insumo],_xlfn.AGGREGATE(15,6,(Insumos_a_comprar[Planilla]=C$1)/(Insumos_a_comprar[Planilla]=C$1)*ROW(Insumos_a_comprar[Planilla])-ROW(Insumos_a_comprar[[#Headers],[Planilla]]),ROWS('Insumos a comprar'!$B$5:E22))),"")</f>
        <v/>
      </c>
      <c r="D19" s="29" t="str">
        <f>IF(ROWS('Insumos a comprar'!$B$5:F22)&lt;=COUNTIF(Insumos_a_comprar[Planilla],D$1),INDEX(Insumos_a_comprar[Insumo],_xlfn.AGGREGATE(15,6,(Insumos_a_comprar[Planilla]=D$1)/(Insumos_a_comprar[Planilla]=D$1)*ROW(Insumos_a_comprar[Planilla])-ROW(Insumos_a_comprar[[#Headers],[Planilla]]),ROWS('Insumos a comprar'!$B$5:F22))),"")</f>
        <v>Cloroformo</v>
      </c>
      <c r="E19" s="29" t="str">
        <f>IF(ROWS('Insumos a comprar'!$B$5:G22)&lt;=COUNTIF(Insumos_a_comprar[Planilla],E$1),INDEX(Insumos_a_comprar[Insumo],_xlfn.AGGREGATE(15,6,(Insumos_a_comprar[Planilla]=E$1)/(Insumos_a_comprar[Planilla]=E$1)*ROW(Insumos_a_comprar[Planilla])-ROW(Insumos_a_comprar[[#Headers],[Planilla]]),ROWS('Insumos a comprar'!$B$5:G22))),"")</f>
        <v>Sulfatos (Sulfaver)</v>
      </c>
      <c r="F19" s="29" t="str">
        <f>IF(ROWS('Insumos a comprar'!$B$5:H22)&lt;=COUNTIF(Insumos_a_comprar[Planilla],F$1),INDEX(Insumos_a_comprar[Insumo],_xlfn.AGGREGATE(15,6,(Insumos_a_comprar[Planilla]=F$1)/(Insumos_a_comprar[Planilla]=F$1)*ROW(Insumos_a_comprar[Planilla])-ROW(Insumos_a_comprar[[#Headers],[Planilla]]),ROWS('Insumos a comprar'!$B$5:H22))),"")</f>
        <v/>
      </c>
      <c r="G19" s="29" t="str">
        <f>IF(ROWS('Insumos a comprar'!$B$5:I22)&lt;=COUNTIF(Insumos_a_comprar[Planilla],G$1),INDEX(Insumos_a_comprar[Insumo],_xlfn.AGGREGATE(15,6,(Insumos_a_comprar[Planilla]=G$1)/(Insumos_a_comprar[Planilla]=G$1)*ROW(Insumos_a_comprar[Planilla])-ROW(Insumos_a_comprar[[#Headers],[Planilla]]),ROWS('Insumos a comprar'!$B$5:I22))),"")</f>
        <v/>
      </c>
      <c r="H19" s="29" t="str">
        <f>IF(ROWS('Insumos a comprar'!$B$5:I22)&lt;=COUNTIF(Insumos_a_comprar[Planilla],H$1),INDEX(Insumos_a_comprar[Insumo],_xlfn.AGGREGATE(15,6,(Insumos_a_comprar[Planilla]=H$1)/(Insumos_a_comprar[Planilla]=H$1)*ROW(Insumos_a_comprar[Planilla])-ROW(Insumos_a_comprar[[#Headers],[Planilla]]),ROWS('Insumos a comprar'!$B$5:I22))),"")</f>
        <v xml:space="preserve">Buzos chicos </v>
      </c>
      <c r="I19" s="29" t="str">
        <f>IF(ROWS('Insumos a comprar'!$B$5:I22)&lt;=COUNTIF(Insumos_a_comprar[Planilla],I$1),INDEX(Insumos_a_comprar[Insumo],_xlfn.AGGREGATE(15,6,(Insumos_a_comprar[Planilla]=I$1)/(Insumos_a_comprar[Planilla]=I$1)*ROW(Insumos_a_comprar[Planilla])-ROW(Insumos_a_comprar[[#Headers],[Planilla]]),ROWS('Insumos a comprar'!$B$5:I22))),"")</f>
        <v>Guantes De Nitrilo Talle M Violeta</v>
      </c>
      <c r="J19" s="29" t="str">
        <f>IF(ROWS('Insumos a comprar'!$B$5:I22)&lt;=COUNTIF(Insumos_a_comprar[Planilla],J$1),INDEX(Insumos_a_comprar[Insumo],_xlfn.AGGREGATE(15,6,(Insumos_a_comprar[Planilla]=J$1)/(Insumos_a_comprar[Planilla]=J$1)*ROW(Insumos_a_comprar[Planilla])-ROW(Insumos_a_comprar[[#Headers],[Planilla]]),ROWS('Insumos a comprar'!$B$5:I22))),"")</f>
        <v>Ferrules G-05</v>
      </c>
      <c r="K19" s="29" t="str">
        <f>IF(ROWS('Insumos a comprar'!$B$5:I22)&lt;=COUNTIF(Insumos_a_comprar[Planilla],K$1),INDEX(Insumos_a_comprar[Insumo],_xlfn.AGGREGATE(15,6,(Insumos_a_comprar[Planilla]=K$1)/(Insumos_a_comprar[Planilla]=K$1)*ROW(Insumos_a_comprar[Planilla])-ROW(Insumos_a_comprar[[#Headers],[Planilla]]),ROWS('Insumos a comprar'!$B$5:I22))),"")</f>
        <v>Molibdeno</v>
      </c>
      <c r="L19" s="29" t="str">
        <f>IF(ROWS('Insumos a comprar'!$B$5:I22)&lt;=COUNTIF(Insumos_a_comprar[Planilla],L$1),INDEX(Insumos_a_comprar[Insumo],_xlfn.AGGREGATE(15,6,(Insumos_a_comprar[Planilla]=L$1)/(Insumos_a_comprar[Planilla]=L$1)*ROW(Insumos_a_comprar[Planilla])-ROW(Insumos_a_comprar[[#Headers],[Planilla]]),ROWS('Insumos a comprar'!$B$5:I22))),"")</f>
        <v/>
      </c>
      <c r="M19" s="29"/>
      <c r="N19" s="29"/>
      <c r="O19" s="29"/>
      <c r="P19" s="29"/>
      <c r="Q19" s="29"/>
    </row>
    <row r="20" spans="1:17" ht="47.25" x14ac:dyDescent="0.25">
      <c r="A20" s="29" t="str">
        <f>IF(ROWS('Insumos a comprar'!$B$5:B23)&lt;=COUNTIF(Insumos_a_comprar[Planilla],A$1),INDEX(Insumos_a_comprar[Insumo],_xlfn.AGGREGATE(15,6,(Insumos_a_comprar[Planilla]=A$1)/(Insumos_a_comprar[Planilla]=A$1)*ROW(Insumos_a_comprar[Planilla])-ROW(Insumos_a_comprar[[#Headers],[Planilla]]),ROWS('Insumos a comprar'!$B$5:B23))),"")</f>
        <v>Estannoso cloruro (SnCl2.2H2O)</v>
      </c>
      <c r="B20" s="29" t="str">
        <f>IF(ROWS('Insumos a comprar'!$B$5:B23)&lt;=COUNTIF(Insumos_a_comprar[Planilla],B$1),INDEX(Insumos_a_comprar[Insumo],_xlfn.AGGREGATE(15,6,(Insumos_a_comprar[Planilla]=B$1)/(Insumos_a_comprar[Planilla]=B$1)*ROW(Insumos_a_comprar[Planilla])-ROW(Insumos_a_comprar[[#Headers],[Planilla]]),ROWS('Insumos a comprar'!$B$5:B23))),"")</f>
        <v>Cobato cloruro   (CoCl2.6H2O)</v>
      </c>
      <c r="C20" s="29" t="str">
        <f>IF(ROWS('Insumos a comprar'!$B$5:E23)&lt;=COUNTIF(Insumos_a_comprar[Planilla],C$1),INDEX(Insumos_a_comprar[Insumo],_xlfn.AGGREGATE(15,6,(Insumos_a_comprar[Planilla]=C$1)/(Insumos_a_comprar[Planilla]=C$1)*ROW(Insumos_a_comprar[Planilla])-ROW(Insumos_a_comprar[[#Headers],[Planilla]]),ROWS('Insumos a comprar'!$B$5:E23))),"")</f>
        <v/>
      </c>
      <c r="D20" s="29" t="str">
        <f>IF(ROWS('Insumos a comprar'!$B$5:F23)&lt;=COUNTIF(Insumos_a_comprar[Planilla],D$1),INDEX(Insumos_a_comprar[Insumo],_xlfn.AGGREGATE(15,6,(Insumos_a_comprar[Planilla]=D$1)/(Insumos_a_comprar[Planilla]=D$1)*ROW(Insumos_a_comprar[Planilla])-ROW(Insumos_a_comprar[[#Headers],[Planilla]]),ROWS('Insumos a comprar'!$B$5:F23))),"")</f>
        <v>Diclorometano/ cloruro de metileno</v>
      </c>
      <c r="E20" s="29" t="str">
        <f>IF(ROWS('Insumos a comprar'!$B$5:G23)&lt;=COUNTIF(Insumos_a_comprar[Planilla],E$1),INDEX(Insumos_a_comprar[Insumo],_xlfn.AGGREGATE(15,6,(Insumos_a_comprar[Planilla]=E$1)/(Insumos_a_comprar[Planilla]=E$1)*ROW(Insumos_a_comprar[Planilla])-ROW(Insumos_a_comprar[[#Headers],[Planilla]]),ROWS('Insumos a comprar'!$B$5:G23))),"")</f>
        <v>Tiocianato de mercurio</v>
      </c>
      <c r="F20" s="29" t="str">
        <f>IF(ROWS('Insumos a comprar'!$B$5:H23)&lt;=COUNTIF(Insumos_a_comprar[Planilla],F$1),INDEX(Insumos_a_comprar[Insumo],_xlfn.AGGREGATE(15,6,(Insumos_a_comprar[Planilla]=F$1)/(Insumos_a_comprar[Planilla]=F$1)*ROW(Insumos_a_comprar[Planilla])-ROW(Insumos_a_comprar[[#Headers],[Planilla]]),ROWS('Insumos a comprar'!$B$5:H23))),"")</f>
        <v/>
      </c>
      <c r="G20" s="29" t="str">
        <f>IF(ROWS('Insumos a comprar'!$B$5:I23)&lt;=COUNTIF(Insumos_a_comprar[Planilla],G$1),INDEX(Insumos_a_comprar[Insumo],_xlfn.AGGREGATE(15,6,(Insumos_a_comprar[Planilla]=G$1)/(Insumos_a_comprar[Planilla]=G$1)*ROW(Insumos_a_comprar[Planilla])-ROW(Insumos_a_comprar[[#Headers],[Planilla]]),ROWS('Insumos a comprar'!$B$5:I23))),"")</f>
        <v/>
      </c>
      <c r="H20" s="29" t="str">
        <f>IF(ROWS('Insumos a comprar'!$B$5:I23)&lt;=COUNTIF(Insumos_a_comprar[Planilla],H$1),INDEX(Insumos_a_comprar[Insumo],_xlfn.AGGREGATE(15,6,(Insumos_a_comprar[Planilla]=H$1)/(Insumos_a_comprar[Planilla]=H$1)*ROW(Insumos_a_comprar[Planilla])-ROW(Insumos_a_comprar[[#Headers],[Planilla]]),ROWS('Insumos a comprar'!$B$5:I23))),"")</f>
        <v xml:space="preserve">Buzos grandes  </v>
      </c>
      <c r="I20" s="29" t="str">
        <f>IF(ROWS('Insumos a comprar'!$B$5:I23)&lt;=COUNTIF(Insumos_a_comprar[Planilla],I$1),INDEX(Insumos_a_comprar[Insumo],_xlfn.AGGREGATE(15,6,(Insumos_a_comprar[Planilla]=I$1)/(Insumos_a_comprar[Planilla]=I$1)*ROW(Insumos_a_comprar[Planilla])-ROW(Insumos_a_comprar[[#Headers],[Planilla]]),ROWS('Insumos a comprar'!$B$5:I23))),"")</f>
        <v>Guantes De Nitrilo Talle S Negro</v>
      </c>
      <c r="J20" s="29" t="str">
        <f>IF(ROWS('Insumos a comprar'!$B$5:I23)&lt;=COUNTIF(Insumos_a_comprar[Planilla],J$1),INDEX(Insumos_a_comprar[Insumo],_xlfn.AGGREGATE(15,6,(Insumos_a_comprar[Planilla]=J$1)/(Insumos_a_comprar[Planilla]=J$1)*ROW(Insumos_a_comprar[Planilla])-ROW(Insumos_a_comprar[[#Headers],[Planilla]]),ROWS('Insumos a comprar'!$B$5:I23))),"")</f>
        <v>Ferrules GVF16-004</v>
      </c>
      <c r="K20" s="29" t="str">
        <f>IF(ROWS('Insumos a comprar'!$B$5:I23)&lt;=COUNTIF(Insumos_a_comprar[Planilla],K$1),INDEX(Insumos_a_comprar[Insumo],_xlfn.AGGREGATE(15,6,(Insumos_a_comprar[Planilla]=K$1)/(Insumos_a_comprar[Planilla]=K$1)*ROW(Insumos_a_comprar[Planilla])-ROW(Insumos_a_comprar[[#Headers],[Planilla]]),ROWS('Insumos a comprar'!$B$5:I23))),"")</f>
        <v>Niquel</v>
      </c>
      <c r="L20" s="29" t="str">
        <f>IF(ROWS('Insumos a comprar'!$B$5:I23)&lt;=COUNTIF(Insumos_a_comprar[Planilla],L$1),INDEX(Insumos_a_comprar[Insumo],_xlfn.AGGREGATE(15,6,(Insumos_a_comprar[Planilla]=L$1)/(Insumos_a_comprar[Planilla]=L$1)*ROW(Insumos_a_comprar[Planilla])-ROW(Insumos_a_comprar[[#Headers],[Planilla]]),ROWS('Insumos a comprar'!$B$5:I23))),"")</f>
        <v/>
      </c>
      <c r="M20" s="29"/>
      <c r="N20" s="29"/>
      <c r="O20" s="29"/>
      <c r="P20" s="29"/>
      <c r="Q20" s="29"/>
    </row>
    <row r="21" spans="1:17" ht="31.5" x14ac:dyDescent="0.25">
      <c r="A21" s="29" t="str">
        <f>IF(ROWS('Insumos a comprar'!$B$5:B24)&lt;=COUNTIF(Insumos_a_comprar[Planilla],A$1),INDEX(Insumos_a_comprar[Insumo],_xlfn.AGGREGATE(15,6,(Insumos_a_comprar[Planilla]=A$1)/(Insumos_a_comprar[Planilla]=A$1)*ROW(Insumos_a_comprar[Planilla])-ROW(Insumos_a_comprar[[#Headers],[Planilla]]),ROWS('Insumos a comprar'!$B$5:B24))),"")</f>
        <v>Fenolftaleína</v>
      </c>
      <c r="B21" s="29" t="str">
        <f>IF(ROWS('Insumos a comprar'!$B$5:B24)&lt;=COUNTIF(Insumos_a_comprar[Planilla],B$1),INDEX(Insumos_a_comprar[Insumo],_xlfn.AGGREGATE(15,6,(Insumos_a_comprar[Planilla]=B$1)/(Insumos_a_comprar[Planilla]=B$1)*ROW(Insumos_a_comprar[Planilla])-ROW(Insumos_a_comprar[[#Headers],[Planilla]]),ROWS('Insumos a comprar'!$B$5:B24))),"")</f>
        <v>Cobre (II) cloruro  (CuCl2.2H2O)</v>
      </c>
      <c r="C21" s="29" t="str">
        <f>IF(ROWS('Insumos a comprar'!$B$5:E24)&lt;=COUNTIF(Insumos_a_comprar[Planilla],C$1),INDEX(Insumos_a_comprar[Insumo],_xlfn.AGGREGATE(15,6,(Insumos_a_comprar[Planilla]=C$1)/(Insumos_a_comprar[Planilla]=C$1)*ROW(Insumos_a_comprar[Planilla])-ROW(Insumos_a_comprar[[#Headers],[Planilla]]),ROWS('Insumos a comprar'!$B$5:E24))),"")</f>
        <v/>
      </c>
      <c r="D21" s="29" t="str">
        <f>IF(ROWS('Insumos a comprar'!$B$5:F24)&lt;=COUNTIF(Insumos_a_comprar[Planilla],D$1),INDEX(Insumos_a_comprar[Insumo],_xlfn.AGGREGATE(15,6,(Insumos_a_comprar[Planilla]=D$1)/(Insumos_a_comprar[Planilla]=D$1)*ROW(Insumos_a_comprar[Planilla])-ROW(Insumos_a_comprar[[#Headers],[Planilla]]),ROWS('Insumos a comprar'!$B$5:F24))),"")</f>
        <v>Dimetilsulfóxido</v>
      </c>
      <c r="E21" s="29" t="str">
        <f>IF(ROWS('Insumos a comprar'!$B$5:G24)&lt;=COUNTIF(Insumos_a_comprar[Planilla],E$1),INDEX(Insumos_a_comprar[Insumo],_xlfn.AGGREGATE(15,6,(Insumos_a_comprar[Planilla]=E$1)/(Insumos_a_comprar[Planilla]=E$1)*ROW(Insumos_a_comprar[Planilla])-ROW(Insumos_a_comprar[[#Headers],[Planilla]]),ROWS('Insumos a comprar'!$B$5:G24))),"")</f>
        <v>Tubos DQO</v>
      </c>
      <c r="F21" s="29" t="str">
        <f>IF(ROWS('Insumos a comprar'!$B$5:H24)&lt;=COUNTIF(Insumos_a_comprar[Planilla],F$1),INDEX(Insumos_a_comprar[Insumo],_xlfn.AGGREGATE(15,6,(Insumos_a_comprar[Planilla]=F$1)/(Insumos_a_comprar[Planilla]=F$1)*ROW(Insumos_a_comprar[Planilla])-ROW(Insumos_a_comprar[[#Headers],[Planilla]]),ROWS('Insumos a comprar'!$B$5:H24))),"")</f>
        <v/>
      </c>
      <c r="G21" s="29" t="str">
        <f>IF(ROWS('Insumos a comprar'!$B$5:I24)&lt;=COUNTIF(Insumos_a_comprar[Planilla],G$1),INDEX(Insumos_a_comprar[Insumo],_xlfn.AGGREGATE(15,6,(Insumos_a_comprar[Planilla]=G$1)/(Insumos_a_comprar[Planilla]=G$1)*ROW(Insumos_a_comprar[Planilla])-ROW(Insumos_a_comprar[[#Headers],[Planilla]]),ROWS('Insumos a comprar'!$B$5:I24))),"")</f>
        <v/>
      </c>
      <c r="H21" s="29" t="str">
        <f>IF(ROWS('Insumos a comprar'!$B$5:I24)&lt;=COUNTIF(Insumos_a_comprar[Planilla],H$1),INDEX(Insumos_a_comprar[Insumo],_xlfn.AGGREGATE(15,6,(Insumos_a_comprar[Planilla]=H$1)/(Insumos_a_comprar[Planilla]=H$1)*ROW(Insumos_a_comprar[Planilla])-ROW(Insumos_a_comprar[[#Headers],[Planilla]]),ROWS('Insumos a comprar'!$B$5:I24))),"")</f>
        <v xml:space="preserve">Buzos medianos </v>
      </c>
      <c r="I21" s="29" t="str">
        <f>IF(ROWS('Insumos a comprar'!$B$5:I24)&lt;=COUNTIF(Insumos_a_comprar[Planilla],I$1),INDEX(Insumos_a_comprar[Insumo],_xlfn.AGGREGATE(15,6,(Insumos_a_comprar[Planilla]=I$1)/(Insumos_a_comprar[Planilla]=I$1)*ROW(Insumos_a_comprar[Planilla])-ROW(Insumos_a_comprar[[#Headers],[Planilla]]),ROWS('Insumos a comprar'!$B$5:I24))),"")</f>
        <v>Guantes De Nitrilo Talle S Verde</v>
      </c>
      <c r="J21" s="29" t="str">
        <f>IF(ROWS('Insumos a comprar'!$B$5:I24)&lt;=COUNTIF(Insumos_a_comprar[Planilla],J$1),INDEX(Insumos_a_comprar[Insumo],_xlfn.AGGREGATE(15,6,(Insumos_a_comprar[Planilla]=J$1)/(Insumos_a_comprar[Planilla]=J$1)*ROW(Insumos_a_comprar[Planilla])-ROW(Insumos_a_comprar[[#Headers],[Planilla]]),ROWS('Insumos a comprar'!$B$5:I24))),"")</f>
        <v xml:space="preserve">Filamento </v>
      </c>
      <c r="K21" s="29" t="str">
        <f>IF(ROWS('Insumos a comprar'!$B$5:I24)&lt;=COUNTIF(Insumos_a_comprar[Planilla],K$1),INDEX(Insumos_a_comprar[Insumo],_xlfn.AGGREGATE(15,6,(Insumos_a_comprar[Planilla]=K$1)/(Insumos_a_comprar[Planilla]=K$1)*ROW(Insumos_a_comprar[Planilla])-ROW(Insumos_a_comprar[[#Headers],[Planilla]]),ROWS('Insumos a comprar'!$B$5:I24))),"")</f>
        <v>Plata</v>
      </c>
      <c r="L21" s="29" t="str">
        <f>IF(ROWS('Insumos a comprar'!$B$5:I24)&lt;=COUNTIF(Insumos_a_comprar[Planilla],L$1),INDEX(Insumos_a_comprar[Insumo],_xlfn.AGGREGATE(15,6,(Insumos_a_comprar[Planilla]=L$1)/(Insumos_a_comprar[Planilla]=L$1)*ROW(Insumos_a_comprar[Planilla])-ROW(Insumos_a_comprar[[#Headers],[Planilla]]),ROWS('Insumos a comprar'!$B$5:I24))),"")</f>
        <v/>
      </c>
      <c r="M21" s="29"/>
      <c r="N21" s="29"/>
      <c r="O21" s="29"/>
      <c r="P21" s="29"/>
      <c r="Q21" s="29"/>
    </row>
    <row r="22" spans="1:17" ht="31.5" x14ac:dyDescent="0.25">
      <c r="A22" s="29" t="str">
        <f>IF(ROWS('Insumos a comprar'!$B$5:B25)&lt;=COUNTIF(Insumos_a_comprar[Planilla],A$1),INDEX(Insumos_a_comprar[Insumo],_xlfn.AGGREGATE(15,6,(Insumos_a_comprar[Planilla]=A$1)/(Insumos_a_comprar[Planilla]=A$1)*ROW(Insumos_a_comprar[Planilla])-ROW(Insumos_a_comprar[[#Headers],[Planilla]]),ROWS('Insumos a comprar'!$B$5:B25))),"")</f>
        <v>Hierro(III)cloruro</v>
      </c>
      <c r="B22" s="29" t="str">
        <f>IF(ROWS('Insumos a comprar'!$B$5:B25)&lt;=COUNTIF(Insumos_a_comprar[Planilla],B$1),INDEX(Insumos_a_comprar[Insumo],_xlfn.AGGREGATE(15,6,(Insumos_a_comprar[Planilla]=B$1)/(Insumos_a_comprar[Planilla]=B$1)*ROW(Insumos_a_comprar[Planilla])-ROW(Insumos_a_comprar[[#Headers],[Planilla]]),ROWS('Insumos a comprar'!$B$5:B25))),"")</f>
        <v>Diaminobenciden-tetrahidroclorohidrato (C12H14N4.4HCl)</v>
      </c>
      <c r="C22" s="29" t="str">
        <f>IF(ROWS('Insumos a comprar'!$B$5:E25)&lt;=COUNTIF(Insumos_a_comprar[Planilla],C$1),INDEX(Insumos_a_comprar[Insumo],_xlfn.AGGREGATE(15,6,(Insumos_a_comprar[Planilla]=C$1)/(Insumos_a_comprar[Planilla]=C$1)*ROW(Insumos_a_comprar[Planilla])-ROW(Insumos_a_comprar[[#Headers],[Planilla]]),ROWS('Insumos a comprar'!$B$5:E25))),"")</f>
        <v/>
      </c>
      <c r="D22" s="29" t="str">
        <f>IF(ROWS('Insumos a comprar'!$B$5:F25)&lt;=COUNTIF(Insumos_a_comprar[Planilla],D$1),INDEX(Insumos_a_comprar[Insumo],_xlfn.AGGREGATE(15,6,(Insumos_a_comprar[Planilla]=D$1)/(Insumos_a_comprar[Planilla]=D$1)*ROW(Insumos_a_comprar[Planilla])-ROW(Insumos_a_comprar[[#Headers],[Planilla]]),ROWS('Insumos a comprar'!$B$5:F25))),"")</f>
        <v>Disulfuro de carbono</v>
      </c>
      <c r="E22" s="29" t="str">
        <f>IF(ROWS('Insumos a comprar'!$B$5:G25)&lt;=COUNTIF(Insumos_a_comprar[Planilla],E$1),INDEX(Insumos_a_comprar[Insumo],_xlfn.AGGREGATE(15,6,(Insumos_a_comprar[Planilla]=E$1)/(Insumos_a_comprar[Planilla]=E$1)*ROW(Insumos_a_comprar[Planilla])-ROW(Insumos_a_comprar[[#Headers],[Planilla]]),ROWS('Insumos a comprar'!$B$5:G25))),"")</f>
        <v/>
      </c>
      <c r="F22" s="29" t="str">
        <f>IF(ROWS('Insumos a comprar'!$B$5:H25)&lt;=COUNTIF(Insumos_a_comprar[Planilla],F$1),INDEX(Insumos_a_comprar[Insumo],_xlfn.AGGREGATE(15,6,(Insumos_a_comprar[Planilla]=F$1)/(Insumos_a_comprar[Planilla]=F$1)*ROW(Insumos_a_comprar[Planilla])-ROW(Insumos_a_comprar[[#Headers],[Planilla]]),ROWS('Insumos a comprar'!$B$5:H25))),"")</f>
        <v/>
      </c>
      <c r="G22" s="29" t="str">
        <f>IF(ROWS('Insumos a comprar'!$B$5:I25)&lt;=COUNTIF(Insumos_a_comprar[Planilla],G$1),INDEX(Insumos_a_comprar[Insumo],_xlfn.AGGREGATE(15,6,(Insumos_a_comprar[Planilla]=G$1)/(Insumos_a_comprar[Planilla]=G$1)*ROW(Insumos_a_comprar[Planilla])-ROW(Insumos_a_comprar[[#Headers],[Planilla]]),ROWS('Insumos a comprar'!$B$5:I25))),"")</f>
        <v/>
      </c>
      <c r="H22" s="29" t="str">
        <f>IF(ROWS('Insumos a comprar'!$B$5:I25)&lt;=COUNTIF(Insumos_a_comprar[Planilla],H$1),INDEX(Insumos_a_comprar[Insumo],_xlfn.AGGREGATE(15,6,(Insumos_a_comprar[Planilla]=H$1)/(Insumos_a_comprar[Planilla]=H$1)*ROW(Insumos_a_comprar[Planilla])-ROW(Insumos_a_comprar[[#Headers],[Planilla]]),ROWS('Insumos a comprar'!$B$5:I25))),"")</f>
        <v xml:space="preserve">Crisoles altos </v>
      </c>
      <c r="I22" s="29" t="str">
        <f>IF(ROWS('Insumos a comprar'!$B$5:I25)&lt;=COUNTIF(Insumos_a_comprar[Planilla],I$1),INDEX(Insumos_a_comprar[Insumo],_xlfn.AGGREGATE(15,6,(Insumos_a_comprar[Planilla]=I$1)/(Insumos_a_comprar[Planilla]=I$1)*ROW(Insumos_a_comprar[Planilla])-ROW(Insumos_a_comprar[[#Headers],[Planilla]]),ROWS('Insumos a comprar'!$B$5:I25))),"")</f>
        <v>Guantes De Nitrilo Talle S Violeta</v>
      </c>
      <c r="J22" s="29" t="str">
        <f>IF(ROWS('Insumos a comprar'!$B$5:I25)&lt;=COUNTIF(Insumos_a_comprar[Planilla],J$1),INDEX(Insumos_a_comprar[Insumo],_xlfn.AGGREGATE(15,6,(Insumos_a_comprar[Planilla]=J$1)/(Insumos_a_comprar[Planilla]=J$1)*ROW(Insumos_a_comprar[Planilla])-ROW(Insumos_a_comprar[[#Headers],[Planilla]]),ROWS('Insumos a comprar'!$B$5:I25))),"")</f>
        <v>Filtro FPD P</v>
      </c>
      <c r="K22" s="29" t="str">
        <f>IF(ROWS('Insumos a comprar'!$B$5:I25)&lt;=COUNTIF(Insumos_a_comprar[Planilla],K$1),INDEX(Insumos_a_comprar[Insumo],_xlfn.AGGREGATE(15,6,(Insumos_a_comprar[Planilla]=K$1)/(Insumos_a_comprar[Planilla]=K$1)*ROW(Insumos_a_comprar[Planilla])-ROW(Insumos_a_comprar[[#Headers],[Planilla]]),ROWS('Insumos a comprar'!$B$5:I25))),"")</f>
        <v>Plomo</v>
      </c>
      <c r="L22" s="29" t="str">
        <f>IF(ROWS('Insumos a comprar'!$B$5:I25)&lt;=COUNTIF(Insumos_a_comprar[Planilla],L$1),INDEX(Insumos_a_comprar[Insumo],_xlfn.AGGREGATE(15,6,(Insumos_a_comprar[Planilla]=L$1)/(Insumos_a_comprar[Planilla]=L$1)*ROW(Insumos_a_comprar[Planilla])-ROW(Insumos_a_comprar[[#Headers],[Planilla]]),ROWS('Insumos a comprar'!$B$5:I25))),"")</f>
        <v/>
      </c>
      <c r="M22" s="29"/>
      <c r="N22" s="29"/>
      <c r="O22" s="29"/>
      <c r="P22" s="29"/>
      <c r="Q22" s="29"/>
    </row>
    <row r="23" spans="1:17" ht="31.5" x14ac:dyDescent="0.25">
      <c r="A23" s="29" t="str">
        <f>IF(ROWS('Insumos a comprar'!$B$5:B26)&lt;=COUNTIF(Insumos_a_comprar[Planilla],A$1),INDEX(Insumos_a_comprar[Insumo],_xlfn.AGGREGATE(15,6,(Insumos_a_comprar[Planilla]=A$1)/(Insumos_a_comprar[Planilla]=A$1)*ROW(Insumos_a_comprar[Planilla])-ROW(Insumos_a_comprar[[#Headers],[Planilla]]),ROWS('Insumos a comprar'!$B$5:B26))),"")</f>
        <v>Litio hidróxido (LiOH.H2O)</v>
      </c>
      <c r="B23" s="29" t="str">
        <f>IF(ROWS('Insumos a comprar'!$B$5:B26)&lt;=COUNTIF(Insumos_a_comprar[Planilla],B$1),INDEX(Insumos_a_comprar[Insumo],_xlfn.AGGREGATE(15,6,(Insumos_a_comprar[Planilla]=B$1)/(Insumos_a_comprar[Planilla]=B$1)*ROW(Insumos_a_comprar[Planilla])-ROW(Insumos_a_comprar[[#Headers],[Planilla]]),ROWS('Insumos a comprar'!$B$5:B26))),"")</f>
        <v>Eosina</v>
      </c>
      <c r="C23" s="29" t="str">
        <f>IF(ROWS('Insumos a comprar'!$B$5:E26)&lt;=COUNTIF(Insumos_a_comprar[Planilla],C$1),INDEX(Insumos_a_comprar[Insumo],_xlfn.AGGREGATE(15,6,(Insumos_a_comprar[Planilla]=C$1)/(Insumos_a_comprar[Planilla]=C$1)*ROW(Insumos_a_comprar[Planilla])-ROW(Insumos_a_comprar[[#Headers],[Planilla]]),ROWS('Insumos a comprar'!$B$5:E26))),"")</f>
        <v/>
      </c>
      <c r="D23" s="29" t="str">
        <f>IF(ROWS('Insumos a comprar'!$B$5:F26)&lt;=COUNTIF(Insumos_a_comprar[Planilla],D$1),INDEX(Insumos_a_comprar[Insumo],_xlfn.AGGREGATE(15,6,(Insumos_a_comprar[Planilla]=D$1)/(Insumos_a_comprar[Planilla]=D$1)*ROW(Insumos_a_comprar[Planilla])-ROW(Insumos_a_comprar[[#Headers],[Planilla]]),ROWS('Insumos a comprar'!$B$5:F26))),"")</f>
        <v>Eter etilico</v>
      </c>
      <c r="E23" s="29" t="str">
        <f>IF(ROWS('Insumos a comprar'!$B$5:G26)&lt;=COUNTIF(Insumos_a_comprar[Planilla],E$1),INDEX(Insumos_a_comprar[Insumo],_xlfn.AGGREGATE(15,6,(Insumos_a_comprar[Planilla]=E$1)/(Insumos_a_comprar[Planilla]=E$1)*ROW(Insumos_a_comprar[Planilla])-ROW(Insumos_a_comprar[[#Headers],[Planilla]]),ROWS('Insumos a comprar'!$B$5:G26))),"")</f>
        <v/>
      </c>
      <c r="F23" s="29" t="str">
        <f>IF(ROWS('Insumos a comprar'!$B$5:H26)&lt;=COUNTIF(Insumos_a_comprar[Planilla],F$1),INDEX(Insumos_a_comprar[Insumo],_xlfn.AGGREGATE(15,6,(Insumos_a_comprar[Planilla]=F$1)/(Insumos_a_comprar[Planilla]=F$1)*ROW(Insumos_a_comprar[Planilla])-ROW(Insumos_a_comprar[[#Headers],[Planilla]]),ROWS('Insumos a comprar'!$B$5:H26))),"")</f>
        <v/>
      </c>
      <c r="G23" s="29" t="str">
        <f>IF(ROWS('Insumos a comprar'!$B$5:I26)&lt;=COUNTIF(Insumos_a_comprar[Planilla],G$1),INDEX(Insumos_a_comprar[Insumo],_xlfn.AGGREGATE(15,6,(Insumos_a_comprar[Planilla]=G$1)/(Insumos_a_comprar[Planilla]=G$1)*ROW(Insumos_a_comprar[Planilla])-ROW(Insumos_a_comprar[[#Headers],[Planilla]]),ROWS('Insumos a comprar'!$B$5:I26))),"")</f>
        <v/>
      </c>
      <c r="H23" s="29" t="str">
        <f>IF(ROWS('Insumos a comprar'!$B$5:I26)&lt;=COUNTIF(Insumos_a_comprar[Planilla],H$1),INDEX(Insumos_a_comprar[Insumo],_xlfn.AGGREGATE(15,6,(Insumos_a_comprar[Planilla]=H$1)/(Insumos_a_comprar[Planilla]=H$1)*ROW(Insumos_a_comprar[Planilla])-ROW(Insumos_a_comprar[[#Headers],[Planilla]]),ROWS('Insumos a comprar'!$B$5:I26))),"")</f>
        <v xml:space="preserve">Crisoles anchos </v>
      </c>
      <c r="I23" s="29" t="str">
        <f>IF(ROWS('Insumos a comprar'!$B$5:I26)&lt;=COUNTIF(Insumos_a_comprar[Planilla],I$1),INDEX(Insumos_a_comprar[Insumo],_xlfn.AGGREGATE(15,6,(Insumos_a_comprar[Planilla]=I$1)/(Insumos_a_comprar[Planilla]=I$1)*ROW(Insumos_a_comprar[Planilla])-ROW(Insumos_a_comprar[[#Headers],[Planilla]]),ROWS('Insumos a comprar'!$B$5:I26))),"")</f>
        <v>Guantes De Nitrilo Talle XL Violeta</v>
      </c>
      <c r="J23" s="29" t="str">
        <f>IF(ROWS('Insumos a comprar'!$B$5:I26)&lt;=COUNTIF(Insumos_a_comprar[Planilla],J$1),INDEX(Insumos_a_comprar[Insumo],_xlfn.AGGREGATE(15,6,(Insumos_a_comprar[Planilla]=J$1)/(Insumos_a_comprar[Planilla]=J$1)*ROW(Insumos_a_comprar[Planilla])-ROW(Insumos_a_comprar[[#Headers],[Planilla]]),ROWS('Insumos a comprar'!$B$5:I26))),"")</f>
        <v>Filtro FPD S</v>
      </c>
      <c r="K23" s="29" t="str">
        <f>IF(ROWS('Insumos a comprar'!$B$5:I26)&lt;=COUNTIF(Insumos_a_comprar[Planilla],K$1),INDEX(Insumos_a_comprar[Insumo],_xlfn.AGGREGATE(15,6,(Insumos_a_comprar[Planilla]=K$1)/(Insumos_a_comprar[Planilla]=K$1)*ROW(Insumos_a_comprar[Planilla])-ROW(Insumos_a_comprar[[#Headers],[Planilla]]),ROWS('Insumos a comprar'!$B$5:I26))),"")</f>
        <v>Potasio</v>
      </c>
      <c r="L23" s="29" t="str">
        <f>IF(ROWS('Insumos a comprar'!$B$5:I26)&lt;=COUNTIF(Insumos_a_comprar[Planilla],L$1),INDEX(Insumos_a_comprar[Insumo],_xlfn.AGGREGATE(15,6,(Insumos_a_comprar[Planilla]=L$1)/(Insumos_a_comprar[Planilla]=L$1)*ROW(Insumos_a_comprar[Planilla])-ROW(Insumos_a_comprar[[#Headers],[Planilla]]),ROWS('Insumos a comprar'!$B$5:I26))),"")</f>
        <v/>
      </c>
      <c r="M23" s="29"/>
      <c r="N23" s="29"/>
      <c r="O23" s="29"/>
      <c r="P23" s="29"/>
      <c r="Q23" s="29"/>
    </row>
    <row r="24" spans="1:17" ht="31.5" x14ac:dyDescent="0.25">
      <c r="A24" s="29" t="str">
        <f>IF(ROWS('Insumos a comprar'!$B$5:B27)&lt;=COUNTIF(Insumos_a_comprar[Planilla],A$1),INDEX(Insumos_a_comprar[Insumo],_xlfn.AGGREGATE(15,6,(Insumos_a_comprar[Planilla]=A$1)/(Insumos_a_comprar[Planilla]=A$1)*ROW(Insumos_a_comprar[Planilla])-ROW(Insumos_a_comprar[[#Headers],[Planilla]]),ROWS('Insumos a comprar'!$B$5:B27))),"")</f>
        <v>Magnesio cloruro (MgCl2 .6H2O)</v>
      </c>
      <c r="B24" s="29" t="str">
        <f>IF(ROWS('Insumos a comprar'!$B$5:B27)&lt;=COUNTIF(Insumos_a_comprar[Planilla],B$1),INDEX(Insumos_a_comprar[Insumo],_xlfn.AGGREGATE(15,6,(Insumos_a_comprar[Planilla]=B$1)/(Insumos_a_comprar[Planilla]=B$1)*ROW(Insumos_a_comprar[Planilla])-ROW(Insumos_a_comprar[[#Headers],[Planilla]]),ROWS('Insumos a comprar'!$B$5:B27))),"")</f>
        <v>Ferrico amonico citrato</v>
      </c>
      <c r="C24" s="29" t="str">
        <f>IF(ROWS('Insumos a comprar'!$B$5:E27)&lt;=COUNTIF(Insumos_a_comprar[Planilla],C$1),INDEX(Insumos_a_comprar[Insumo],_xlfn.AGGREGATE(15,6,(Insumos_a_comprar[Planilla]=C$1)/(Insumos_a_comprar[Planilla]=C$1)*ROW(Insumos_a_comprar[Planilla])-ROW(Insumos_a_comprar[[#Headers],[Planilla]]),ROWS('Insumos a comprar'!$B$5:E27))),"")</f>
        <v/>
      </c>
      <c r="D24" s="29" t="str">
        <f>IF(ROWS('Insumos a comprar'!$B$5:F27)&lt;=COUNTIF(Insumos_a_comprar[Planilla],D$1),INDEX(Insumos_a_comprar[Insumo],_xlfn.AGGREGATE(15,6,(Insumos_a_comprar[Planilla]=D$1)/(Insumos_a_comprar[Planilla]=D$1)*ROW(Insumos_a_comprar[Planilla])-ROW(Insumos_a_comprar[[#Headers],[Planilla]]),ROWS('Insumos a comprar'!$B$5:F27))),"")</f>
        <v>Eter sulfurico</v>
      </c>
      <c r="E24" s="29" t="str">
        <f>IF(ROWS('Insumos a comprar'!$B$5:G27)&lt;=COUNTIF(Insumos_a_comprar[Planilla],E$1),INDEX(Insumos_a_comprar[Insumo],_xlfn.AGGREGATE(15,6,(Insumos_a_comprar[Planilla]=E$1)/(Insumos_a_comprar[Planilla]=E$1)*ROW(Insumos_a_comprar[Planilla])-ROW(Insumos_a_comprar[[#Headers],[Planilla]]),ROWS('Insumos a comprar'!$B$5:G27))),"")</f>
        <v/>
      </c>
      <c r="F24" s="29" t="str">
        <f>IF(ROWS('Insumos a comprar'!$B$5:H27)&lt;=COUNTIF(Insumos_a_comprar[Planilla],F$1),INDEX(Insumos_a_comprar[Insumo],_xlfn.AGGREGATE(15,6,(Insumos_a_comprar[Planilla]=F$1)/(Insumos_a_comprar[Planilla]=F$1)*ROW(Insumos_a_comprar[Planilla])-ROW(Insumos_a_comprar[[#Headers],[Planilla]]),ROWS('Insumos a comprar'!$B$5:H27))),"")</f>
        <v/>
      </c>
      <c r="G24" s="29" t="str">
        <f>IF(ROWS('Insumos a comprar'!$B$5:I27)&lt;=COUNTIF(Insumos_a_comprar[Planilla],G$1),INDEX(Insumos_a_comprar[Insumo],_xlfn.AGGREGATE(15,6,(Insumos_a_comprar[Planilla]=G$1)/(Insumos_a_comprar[Planilla]=G$1)*ROW(Insumos_a_comprar[Planilla])-ROW(Insumos_a_comprar[[#Headers],[Planilla]]),ROWS('Insumos a comprar'!$B$5:I27))),"")</f>
        <v/>
      </c>
      <c r="H24" s="29" t="str">
        <f>IF(ROWS('Insumos a comprar'!$B$5:I27)&lt;=COUNTIF(Insumos_a_comprar[Planilla],H$1),INDEX(Insumos_a_comprar[Insumo],_xlfn.AGGREGATE(15,6,(Insumos_a_comprar[Planilla]=H$1)/(Insumos_a_comprar[Planilla]=H$1)*ROW(Insumos_a_comprar[Planilla])-ROW(Insumos_a_comprar[[#Headers],[Planilla]]),ROWS('Insumos a comprar'!$B$5:I27))),"")</f>
        <v>Cristalizadores  100 ml</v>
      </c>
      <c r="I24" s="29" t="str">
        <f>IF(ROWS('Insumos a comprar'!$B$5:I27)&lt;=COUNTIF(Insumos_a_comprar[Planilla],I$1),INDEX(Insumos_a_comprar[Insumo],_xlfn.AGGREGATE(15,6,(Insumos_a_comprar[Planilla]=I$1)/(Insumos_a_comprar[Planilla]=I$1)*ROW(Insumos_a_comprar[Planilla])-ROW(Insumos_a_comprar[[#Headers],[Planilla]]),ROWS('Insumos a comprar'!$B$5:I27))),"")</f>
        <v>Paños Absorbedores Grises</v>
      </c>
      <c r="J24" s="29" t="str">
        <f>IF(ROWS('Insumos a comprar'!$B$5:I27)&lt;=COUNTIF(Insumos_a_comprar[Planilla],J$1),INDEX(Insumos_a_comprar[Insumo],_xlfn.AGGREGATE(15,6,(Insumos_a_comprar[Planilla]=J$1)/(Insumos_a_comprar[Planilla]=J$1)*ROW(Insumos_a_comprar[Planilla])-ROW(Insumos_a_comprar[[#Headers],[Planilla]]),ROWS('Insumos a comprar'!$B$5:I27))),"")</f>
        <v>Filtro FPD Sn</v>
      </c>
      <c r="K24" s="29" t="str">
        <f>IF(ROWS('Insumos a comprar'!$B$5:I27)&lt;=COUNTIF(Insumos_a_comprar[Planilla],K$1),INDEX(Insumos_a_comprar[Insumo],_xlfn.AGGREGATE(15,6,(Insumos_a_comprar[Planilla]=K$1)/(Insumos_a_comprar[Planilla]=K$1)*ROW(Insumos_a_comprar[Planilla])-ROW(Insumos_a_comprar[[#Headers],[Planilla]]),ROWS('Insumos a comprar'!$B$5:I27))),"")</f>
        <v>Selenio</v>
      </c>
      <c r="L24" s="29" t="str">
        <f>IF(ROWS('Insumos a comprar'!$B$5:I27)&lt;=COUNTIF(Insumos_a_comprar[Planilla],L$1),INDEX(Insumos_a_comprar[Insumo],_xlfn.AGGREGATE(15,6,(Insumos_a_comprar[Planilla]=L$1)/(Insumos_a_comprar[Planilla]=L$1)*ROW(Insumos_a_comprar[Planilla])-ROW(Insumos_a_comprar[[#Headers],[Planilla]]),ROWS('Insumos a comprar'!$B$5:I27))),"")</f>
        <v/>
      </c>
      <c r="M24" s="29"/>
      <c r="N24" s="29"/>
      <c r="O24" s="29"/>
      <c r="P24" s="29"/>
      <c r="Q24" s="29"/>
    </row>
    <row r="25" spans="1:17" ht="47.25" x14ac:dyDescent="0.25">
      <c r="A25" s="29" t="str">
        <f>IF(ROWS('Insumos a comprar'!$B$5:B28)&lt;=COUNTIF(Insumos_a_comprar[Planilla],A$1),INDEX(Insumos_a_comprar[Insumo],_xlfn.AGGREGATE(15,6,(Insumos_a_comprar[Planilla]=A$1)/(Insumos_a_comprar[Planilla]=A$1)*ROW(Insumos_a_comprar[Planilla])-ROW(Insumos_a_comprar[[#Headers],[Planilla]]),ROWS('Insumos a comprar'!$B$5:B28))),"")</f>
        <v>Mercurio(II) tiocianato (Hg(SCN)2)</v>
      </c>
      <c r="B25" s="29" t="str">
        <f>IF(ROWS('Insumos a comprar'!$B$5:B28)&lt;=COUNTIF(Insumos_a_comprar[Planilla],B$1),INDEX(Insumos_a_comprar[Insumo],_xlfn.AGGREGATE(15,6,(Insumos_a_comprar[Planilla]=B$1)/(Insumos_a_comprar[Planilla]=B$1)*ROW(Insumos_a_comprar[Planilla])-ROW(Insumos_a_comprar[[#Headers],[Planilla]]),ROWS('Insumos a comprar'!$B$5:B28))),"")</f>
        <v>Glucosa anhidra (C6H12O6)</v>
      </c>
      <c r="C25" s="29" t="str">
        <f>IF(ROWS('Insumos a comprar'!$B$5:E28)&lt;=COUNTIF(Insumos_a_comprar[Planilla],C$1),INDEX(Insumos_a_comprar[Insumo],_xlfn.AGGREGATE(15,6,(Insumos_a_comprar[Planilla]=C$1)/(Insumos_a_comprar[Planilla]=C$1)*ROW(Insumos_a_comprar[Planilla])-ROW(Insumos_a_comprar[[#Headers],[Planilla]]),ROWS('Insumos a comprar'!$B$5:E28))),"")</f>
        <v/>
      </c>
      <c r="D25" s="29" t="str">
        <f>IF(ROWS('Insumos a comprar'!$B$5:F28)&lt;=COUNTIF(Insumos_a_comprar[Planilla],D$1),INDEX(Insumos_a_comprar[Insumo],_xlfn.AGGREGATE(15,6,(Insumos_a_comprar[Planilla]=D$1)/(Insumos_a_comprar[Planilla]=D$1)*ROW(Insumos_a_comprar[Planilla])-ROW(Insumos_a_comprar[[#Headers],[Planilla]]),ROWS('Insumos a comprar'!$B$5:F28))),"")</f>
        <v>Etilbenceno</v>
      </c>
      <c r="E25" s="29" t="str">
        <f>IF(ROWS('Insumos a comprar'!$B$5:G28)&lt;=COUNTIF(Insumos_a_comprar[Planilla],E$1),INDEX(Insumos_a_comprar[Insumo],_xlfn.AGGREGATE(15,6,(Insumos_a_comprar[Planilla]=E$1)/(Insumos_a_comprar[Planilla]=E$1)*ROW(Insumos_a_comprar[Planilla])-ROW(Insumos_a_comprar[[#Headers],[Planilla]]),ROWS('Insumos a comprar'!$B$5:G28))),"")</f>
        <v/>
      </c>
      <c r="F25" s="29" t="str">
        <f>IF(ROWS('Insumos a comprar'!$B$5:H28)&lt;=COUNTIF(Insumos_a_comprar[Planilla],F$1),INDEX(Insumos_a_comprar[Insumo],_xlfn.AGGREGATE(15,6,(Insumos_a_comprar[Planilla]=F$1)/(Insumos_a_comprar[Planilla]=F$1)*ROW(Insumos_a_comprar[Planilla])-ROW(Insumos_a_comprar[[#Headers],[Planilla]]),ROWS('Insumos a comprar'!$B$5:H28))),"")</f>
        <v/>
      </c>
      <c r="G25" s="29" t="str">
        <f>IF(ROWS('Insumos a comprar'!$B$5:I28)&lt;=COUNTIF(Insumos_a_comprar[Planilla],G$1),INDEX(Insumos_a_comprar[Insumo],_xlfn.AGGREGATE(15,6,(Insumos_a_comprar[Planilla]=G$1)/(Insumos_a_comprar[Planilla]=G$1)*ROW(Insumos_a_comprar[Planilla])-ROW(Insumos_a_comprar[[#Headers],[Planilla]]),ROWS('Insumos a comprar'!$B$5:I28))),"")</f>
        <v/>
      </c>
      <c r="H25" s="29" t="str">
        <f>IF(ROWS('Insumos a comprar'!$B$5:I28)&lt;=COUNTIF(Insumos_a_comprar[Planilla],H$1),INDEX(Insumos_a_comprar[Insumo],_xlfn.AGGREGATE(15,6,(Insumos_a_comprar[Planilla]=H$1)/(Insumos_a_comprar[Planilla]=H$1)*ROW(Insumos_a_comprar[Planilla])-ROW(Insumos_a_comprar[[#Headers],[Planilla]]),ROWS('Insumos a comprar'!$B$5:I28))),"")</f>
        <v>Cristalizadores  250 ml</v>
      </c>
      <c r="I25" s="29" t="str">
        <f>IF(ROWS('Insumos a comprar'!$B$5:I28)&lt;=COUNTIF(Insumos_a_comprar[Planilla],I$1),INDEX(Insumos_a_comprar[Insumo],_xlfn.AGGREGATE(15,6,(Insumos_a_comprar[Planilla]=I$1)/(Insumos_a_comprar[Planilla]=I$1)*ROW(Insumos_a_comprar[Planilla])-ROW(Insumos_a_comprar[[#Headers],[Planilla]]),ROWS('Insumos a comprar'!$B$5:I28))),"")</f>
        <v>Paños Absorbedores Rosados</v>
      </c>
      <c r="J25" s="29" t="str">
        <f>IF(ROWS('Insumos a comprar'!$B$5:I28)&lt;=COUNTIF(Insumos_a_comprar[Planilla],J$1),INDEX(Insumos_a_comprar[Insumo],_xlfn.AGGREGATE(15,6,(Insumos_a_comprar[Planilla]=J$1)/(Insumos_a_comprar[Planilla]=J$1)*ROW(Insumos_a_comprar[Planilla])-ROW(Insumos_a_comprar[[#Headers],[Planilla]]),ROWS('Insumos a comprar'!$B$5:I28))),"")</f>
        <v>Jeringas 10 µl nuevas</v>
      </c>
      <c r="K25" s="29" t="str">
        <f>IF(ROWS('Insumos a comprar'!$B$5:I28)&lt;=COUNTIF(Insumos_a_comprar[Planilla],K$1),INDEX(Insumos_a_comprar[Insumo],_xlfn.AGGREGATE(15,6,(Insumos_a_comprar[Planilla]=K$1)/(Insumos_a_comprar[Planilla]=K$1)*ROW(Insumos_a_comprar[Planilla])-ROW(Insumos_a_comprar[[#Headers],[Planilla]]),ROWS('Insumos a comprar'!$B$5:I28))),"")</f>
        <v>Silicio</v>
      </c>
      <c r="L25" s="29" t="str">
        <f>IF(ROWS('Insumos a comprar'!$B$5:I28)&lt;=COUNTIF(Insumos_a_comprar[Planilla],L$1),INDEX(Insumos_a_comprar[Insumo],_xlfn.AGGREGATE(15,6,(Insumos_a_comprar[Planilla]=L$1)/(Insumos_a_comprar[Planilla]=L$1)*ROW(Insumos_a_comprar[Planilla])-ROW(Insumos_a_comprar[[#Headers],[Planilla]]),ROWS('Insumos a comprar'!$B$5:I28))),"")</f>
        <v/>
      </c>
      <c r="M25" s="29"/>
      <c r="N25" s="29"/>
      <c r="O25" s="29"/>
      <c r="P25" s="29"/>
      <c r="Q25" s="29"/>
    </row>
    <row r="26" spans="1:17" ht="63" x14ac:dyDescent="0.25">
      <c r="A26" s="29" t="str">
        <f>IF(ROWS('Insumos a comprar'!$B$5:B29)&lt;=COUNTIF(Insumos_a_comprar[Planilla],A$1),INDEX(Insumos_a_comprar[Insumo],_xlfn.AGGREGATE(15,6,(Insumos_a_comprar[Planilla]=A$1)/(Insumos_a_comprar[Planilla]=A$1)*ROW(Insumos_a_comprar[Planilla])-ROW(Insumos_a_comprar[[#Headers],[Planilla]]),ROWS('Insumos a comprar'!$B$5:B29))),"")</f>
        <v>N-(1-naftilene)diamina diclorhidrato</v>
      </c>
      <c r="B26" s="29" t="str">
        <f>IF(ROWS('Insumos a comprar'!$B$5:B29)&lt;=COUNTIF(Insumos_a_comprar[Planilla],B$1),INDEX(Insumos_a_comprar[Insumo],_xlfn.AGGREGATE(15,6,(Insumos_a_comprar[Planilla]=B$1)/(Insumos_a_comprar[Planilla]=B$1)*ROW(Insumos_a_comprar[Planilla])-ROW(Insumos_a_comprar[[#Headers],[Planilla]]),ROWS('Insumos a comprar'!$B$5:B29))),"")</f>
        <v>Hexametilentetraamina (C6H12N4)</v>
      </c>
      <c r="C26" s="29" t="str">
        <f>IF(ROWS('Insumos a comprar'!$B$5:E29)&lt;=COUNTIF(Insumos_a_comprar[Planilla],C$1),INDEX(Insumos_a_comprar[Insumo],_xlfn.AGGREGATE(15,6,(Insumos_a_comprar[Planilla]=C$1)/(Insumos_a_comprar[Planilla]=C$1)*ROW(Insumos_a_comprar[Planilla])-ROW(Insumos_a_comprar[[#Headers],[Planilla]]),ROWS('Insumos a comprar'!$B$5:E29))),"")</f>
        <v/>
      </c>
      <c r="D26" s="29" t="str">
        <f>IF(ROWS('Insumos a comprar'!$B$5:F29)&lt;=COUNTIF(Insumos_a_comprar[Planilla],D$1),INDEX(Insumos_a_comprar[Insumo],_xlfn.AGGREGATE(15,6,(Insumos_a_comprar[Planilla]=D$1)/(Insumos_a_comprar[Planilla]=D$1)*ROW(Insumos_a_comprar[Planilla])-ROW(Insumos_a_comprar[[#Headers],[Planilla]]),ROWS('Insumos a comprar'!$B$5:F29))),"")</f>
        <v>Etilenglicol</v>
      </c>
      <c r="E26" s="29" t="str">
        <f>IF(ROWS('Insumos a comprar'!$B$5:G29)&lt;=COUNTIF(Insumos_a_comprar[Planilla],E$1),INDEX(Insumos_a_comprar[Insumo],_xlfn.AGGREGATE(15,6,(Insumos_a_comprar[Planilla]=E$1)/(Insumos_a_comprar[Planilla]=E$1)*ROW(Insumos_a_comprar[Planilla])-ROW(Insumos_a_comprar[[#Headers],[Planilla]]),ROWS('Insumos a comprar'!$B$5:G29))),"")</f>
        <v/>
      </c>
      <c r="F26" s="29" t="str">
        <f>IF(ROWS('Insumos a comprar'!$B$5:H29)&lt;=COUNTIF(Insumos_a_comprar[Planilla],F$1),INDEX(Insumos_a_comprar[Insumo],_xlfn.AGGREGATE(15,6,(Insumos_a_comprar[Planilla]=F$1)/(Insumos_a_comprar[Planilla]=F$1)*ROW(Insumos_a_comprar[Planilla])-ROW(Insumos_a_comprar[[#Headers],[Planilla]]),ROWS('Insumos a comprar'!$B$5:H29))),"")</f>
        <v/>
      </c>
      <c r="G26" s="29" t="str">
        <f>IF(ROWS('Insumos a comprar'!$B$5:I29)&lt;=COUNTIF(Insumos_a_comprar[Planilla],G$1),INDEX(Insumos_a_comprar[Insumo],_xlfn.AGGREGATE(15,6,(Insumos_a_comprar[Planilla]=G$1)/(Insumos_a_comprar[Planilla]=G$1)*ROW(Insumos_a_comprar[Planilla])-ROW(Insumos_a_comprar[[#Headers],[Planilla]]),ROWS('Insumos a comprar'!$B$5:I29))),"")</f>
        <v/>
      </c>
      <c r="H26" s="29" t="str">
        <f>IF(ROWS('Insumos a comprar'!$B$5:I29)&lt;=COUNTIF(Insumos_a_comprar[Planilla],H$1),INDEX(Insumos_a_comprar[Insumo],_xlfn.AGGREGATE(15,6,(Insumos_a_comprar[Planilla]=H$1)/(Insumos_a_comprar[Planilla]=H$1)*ROW(Insumos_a_comprar[Planilla])-ROW(Insumos_a_comprar[[#Headers],[Planilla]]),ROWS('Insumos a comprar'!$B$5:I29))),"")</f>
        <v>Cubetas Cuarzo 1 ml</v>
      </c>
      <c r="I26" s="29" t="str">
        <f>IF(ROWS('Insumos a comprar'!$B$5:I29)&lt;=COUNTIF(Insumos_a_comprar[Planilla],I$1),INDEX(Insumos_a_comprar[Insumo],_xlfn.AGGREGATE(15,6,(Insumos_a_comprar[Planilla]=I$1)/(Insumos_a_comprar[Planilla]=I$1)*ROW(Insumos_a_comprar[Planilla])-ROW(Insumos_a_comprar[[#Headers],[Planilla]]),ROWS('Insumos a comprar'!$B$5:I29))),"")</f>
        <v xml:space="preserve">Papel Aluminio </v>
      </c>
      <c r="J26" s="29" t="str">
        <f>IF(ROWS('Insumos a comprar'!$B$5:I29)&lt;=COUNTIF(Insumos_a_comprar[Planilla],J$1),INDEX(Insumos_a_comprar[Insumo],_xlfn.AGGREGATE(15,6,(Insumos_a_comprar[Planilla]=J$1)/(Insumos_a_comprar[Planilla]=J$1)*ROW(Insumos_a_comprar[Planilla])-ROW(Insumos_a_comprar[[#Headers],[Planilla]]),ROWS('Insumos a comprar'!$B$5:I29))),"")</f>
        <v>Jeringas 10 µl para patrones</v>
      </c>
      <c r="K26" s="29" t="str">
        <f>IF(ROWS('Insumos a comprar'!$B$5:I29)&lt;=COUNTIF(Insumos_a_comprar[Planilla],K$1),INDEX(Insumos_a_comprar[Insumo],_xlfn.AGGREGATE(15,6,(Insumos_a_comprar[Planilla]=K$1)/(Insumos_a_comprar[Planilla]=K$1)*ROW(Insumos_a_comprar[Planilla])-ROW(Insumos_a_comprar[[#Headers],[Planilla]]),ROWS('Insumos a comprar'!$B$5:I29))),"")</f>
        <v>Sodio</v>
      </c>
      <c r="L26" s="29" t="str">
        <f>IF(ROWS('Insumos a comprar'!$B$5:I29)&lt;=COUNTIF(Insumos_a_comprar[Planilla],L$1),INDEX(Insumos_a_comprar[Insumo],_xlfn.AGGREGATE(15,6,(Insumos_a_comprar[Planilla]=L$1)/(Insumos_a_comprar[Planilla]=L$1)*ROW(Insumos_a_comprar[Planilla])-ROW(Insumos_a_comprar[[#Headers],[Planilla]]),ROWS('Insumos a comprar'!$B$5:I29))),"")</f>
        <v/>
      </c>
      <c r="M26" s="29"/>
      <c r="N26" s="29"/>
      <c r="O26" s="29"/>
      <c r="P26" s="29"/>
      <c r="Q26" s="29"/>
    </row>
    <row r="27" spans="1:17" ht="63" x14ac:dyDescent="0.25">
      <c r="A27" s="29" t="str">
        <f>IF(ROWS('Insumos a comprar'!$B$5:B30)&lt;=COUNTIF(Insumos_a_comprar[Planilla],A$1),INDEX(Insumos_a_comprar[Insumo],_xlfn.AGGREGATE(15,6,(Insumos_a_comprar[Planilla]=A$1)/(Insumos_a_comprar[Planilla]=A$1)*ROW(Insumos_a_comprar[Planilla])-ROW(Insumos_a_comprar[[#Headers],[Planilla]]),ROWS('Insumos a comprar'!$B$5:B30))),"")</f>
        <v>n,n-Dietil-p-Fenilendiamina sulfato</v>
      </c>
      <c r="B27" s="29" t="str">
        <f>IF(ROWS('Insumos a comprar'!$B$5:B30)&lt;=COUNTIF(Insumos_a_comprar[Planilla],B$1),INDEX(Insumos_a_comprar[Insumo],_xlfn.AGGREGATE(15,6,(Insumos_a_comprar[Planilla]=B$1)/(Insumos_a_comprar[Planilla]=B$1)*ROW(Insumos_a_comprar[Planilla])-ROW(Insumos_a_comprar[[#Headers],[Planilla]]),ROWS('Insumos a comprar'!$B$5:B30))),"")</f>
        <v>Hidrazina sulfato</v>
      </c>
      <c r="C27" s="29" t="str">
        <f>IF(ROWS('Insumos a comprar'!$B$5:E30)&lt;=COUNTIF(Insumos_a_comprar[Planilla],C$1),INDEX(Insumos_a_comprar[Insumo],_xlfn.AGGREGATE(15,6,(Insumos_a_comprar[Planilla]=C$1)/(Insumos_a_comprar[Planilla]=C$1)*ROW(Insumos_a_comprar[Planilla])-ROW(Insumos_a_comprar[[#Headers],[Planilla]]),ROWS('Insumos a comprar'!$B$5:E30))),"")</f>
        <v/>
      </c>
      <c r="D27" s="29" t="str">
        <f>IF(ROWS('Insumos a comprar'!$B$5:F30)&lt;=COUNTIF(Insumos_a_comprar[Planilla],D$1),INDEX(Insumos_a_comprar[Insumo],_xlfn.AGGREGATE(15,6,(Insumos_a_comprar[Planilla]=D$1)/(Insumos_a_comprar[Planilla]=D$1)*ROW(Insumos_a_comprar[Planilla])-ROW(Insumos_a_comprar[[#Headers],[Planilla]]),ROWS('Insumos a comprar'!$B$5:F30))),"")</f>
        <v>Formaldehido</v>
      </c>
      <c r="E27" s="29" t="str">
        <f>IF(ROWS('Insumos a comprar'!$B$5:G30)&lt;=COUNTIF(Insumos_a_comprar[Planilla],E$1),INDEX(Insumos_a_comprar[Insumo],_xlfn.AGGREGATE(15,6,(Insumos_a_comprar[Planilla]=E$1)/(Insumos_a_comprar[Planilla]=E$1)*ROW(Insumos_a_comprar[Planilla])-ROW(Insumos_a_comprar[[#Headers],[Planilla]]),ROWS('Insumos a comprar'!$B$5:G30))),"")</f>
        <v/>
      </c>
      <c r="F27" s="29" t="str">
        <f>IF(ROWS('Insumos a comprar'!$B$5:H30)&lt;=COUNTIF(Insumos_a_comprar[Planilla],F$1),INDEX(Insumos_a_comprar[Insumo],_xlfn.AGGREGATE(15,6,(Insumos_a_comprar[Planilla]=F$1)/(Insumos_a_comprar[Planilla]=F$1)*ROW(Insumos_a_comprar[Planilla])-ROW(Insumos_a_comprar[[#Headers],[Planilla]]),ROWS('Insumos a comprar'!$B$5:H30))),"")</f>
        <v/>
      </c>
      <c r="G27" s="29" t="str">
        <f>IF(ROWS('Insumos a comprar'!$B$5:I30)&lt;=COUNTIF(Insumos_a_comprar[Planilla],G$1),INDEX(Insumos_a_comprar[Insumo],_xlfn.AGGREGATE(15,6,(Insumos_a_comprar[Planilla]=G$1)/(Insumos_a_comprar[Planilla]=G$1)*ROW(Insumos_a_comprar[Planilla])-ROW(Insumos_a_comprar[[#Headers],[Planilla]]),ROWS('Insumos a comprar'!$B$5:I30))),"")</f>
        <v/>
      </c>
      <c r="H27" s="29" t="str">
        <f>IF(ROWS('Insumos a comprar'!$B$5:I30)&lt;=COUNTIF(Insumos_a_comprar[Planilla],H$1),INDEX(Insumos_a_comprar[Insumo],_xlfn.AGGREGATE(15,6,(Insumos_a_comprar[Planilla]=H$1)/(Insumos_a_comprar[Planilla]=H$1)*ROW(Insumos_a_comprar[Planilla])-ROW(Insumos_a_comprar[[#Headers],[Planilla]]),ROWS('Insumos a comprar'!$B$5:I30))),"")</f>
        <v>Cubetas Cuarzo 25 ml</v>
      </c>
      <c r="I27" s="29" t="str">
        <f>IF(ROWS('Insumos a comprar'!$B$5:I30)&lt;=COUNTIF(Insumos_a_comprar[Planilla],I$1),INDEX(Insumos_a_comprar[Insumo],_xlfn.AGGREGATE(15,6,(Insumos_a_comprar[Planilla]=I$1)/(Insumos_a_comprar[Planilla]=I$1)*ROW(Insumos_a_comprar[Planilla])-ROW(Insumos_a_comprar[[#Headers],[Planilla]]),ROWS('Insumos a comprar'!$B$5:I30))),"")</f>
        <v xml:space="preserve">Papel Film </v>
      </c>
      <c r="J27" s="29" t="str">
        <f>IF(ROWS('Insumos a comprar'!$B$5:I30)&lt;=COUNTIF(Insumos_a_comprar[Planilla],J$1),INDEX(Insumos_a_comprar[Insumo],_xlfn.AGGREGATE(15,6,(Insumos_a_comprar[Planilla]=J$1)/(Insumos_a_comprar[Planilla]=J$1)*ROW(Insumos_a_comprar[Planilla])-ROW(Insumos_a_comprar[[#Headers],[Planilla]]),ROWS('Insumos a comprar'!$B$5:I30))),"")</f>
        <v>Jeringas 2,5 ml Headspace</v>
      </c>
      <c r="K27" s="29" t="str">
        <f>IF(ROWS('Insumos a comprar'!$B$5:I30)&lt;=COUNTIF(Insumos_a_comprar[Planilla],K$1),INDEX(Insumos_a_comprar[Insumo],_xlfn.AGGREGATE(15,6,(Insumos_a_comprar[Planilla]=K$1)/(Insumos_a_comprar[Planilla]=K$1)*ROW(Insumos_a_comprar[Planilla])-ROW(Insumos_a_comprar[[#Headers],[Planilla]]),ROWS('Insumos a comprar'!$B$5:I30))),"")</f>
        <v>Titanio</v>
      </c>
      <c r="L27" s="29" t="str">
        <f>IF(ROWS('Insumos a comprar'!$B$5:I30)&lt;=COUNTIF(Insumos_a_comprar[Planilla],L$1),INDEX(Insumos_a_comprar[Insumo],_xlfn.AGGREGATE(15,6,(Insumos_a_comprar[Planilla]=L$1)/(Insumos_a_comprar[Planilla]=L$1)*ROW(Insumos_a_comprar[Planilla])-ROW(Insumos_a_comprar[[#Headers],[Planilla]]),ROWS('Insumos a comprar'!$B$5:I30))),"")</f>
        <v/>
      </c>
      <c r="M27" s="29"/>
      <c r="N27" s="29"/>
      <c r="O27" s="29"/>
      <c r="P27" s="29"/>
      <c r="Q27" s="29"/>
    </row>
    <row r="28" spans="1:17" ht="31.5" x14ac:dyDescent="0.25">
      <c r="A28" s="29" t="str">
        <f>IF(ROWS('Insumos a comprar'!$B$5:B31)&lt;=COUNTIF(Insumos_a_comprar[Planilla],A$1),INDEX(Insumos_a_comprar[Insumo],_xlfn.AGGREGATE(15,6,(Insumos_a_comprar[Planilla]=A$1)/(Insumos_a_comprar[Planilla]=A$1)*ROW(Insumos_a_comprar[Planilla])-ROW(Insumos_a_comprar[[#Headers],[Planilla]]),ROWS('Insumos a comprar'!$B$5:B31))),"")</f>
        <v>N,N-dimetil-1,4-fenilenediamina (oxalato)</v>
      </c>
      <c r="B28" s="29" t="str">
        <f>IF(ROWS('Insumos a comprar'!$B$5:B31)&lt;=COUNTIF(Insumos_a_comprar[Planilla],B$1),INDEX(Insumos_a_comprar[Insumo],_xlfn.AGGREGATE(15,6,(Insumos_a_comprar[Planilla]=B$1)/(Insumos_a_comprar[Planilla]=B$1)*ROW(Insumos_a_comprar[Planilla])-ROW(Insumos_a_comprar[[#Headers],[Planilla]]),ROWS('Insumos a comprar'!$B$5:B31))),"")</f>
        <v>Hidroxilamina sulfato ((NH3OH)2SO4)</v>
      </c>
      <c r="C28" s="29" t="str">
        <f>IF(ROWS('Insumos a comprar'!$B$5:E31)&lt;=COUNTIF(Insumos_a_comprar[Planilla],C$1),INDEX(Insumos_a_comprar[Insumo],_xlfn.AGGREGATE(15,6,(Insumos_a_comprar[Planilla]=C$1)/(Insumos_a_comprar[Planilla]=C$1)*ROW(Insumos_a_comprar[Planilla])-ROW(Insumos_a_comprar[[#Headers],[Planilla]]),ROWS('Insumos a comprar'!$B$5:E31))),"")</f>
        <v/>
      </c>
      <c r="D28" s="29" t="str">
        <f>IF(ROWS('Insumos a comprar'!$B$5:F31)&lt;=COUNTIF(Insumos_a_comprar[Planilla],D$1),INDEX(Insumos_a_comprar[Insumo],_xlfn.AGGREGATE(15,6,(Insumos_a_comprar[Planilla]=D$1)/(Insumos_a_comprar[Planilla]=D$1)*ROW(Insumos_a_comprar[Planilla])-ROW(Insumos_a_comprar[[#Headers],[Planilla]]),ROWS('Insumos a comprar'!$B$5:F31))),"")</f>
        <v>Glicerina</v>
      </c>
      <c r="E28" s="29" t="str">
        <f>IF(ROWS('Insumos a comprar'!$B$5:G31)&lt;=COUNTIF(Insumos_a_comprar[Planilla],E$1),INDEX(Insumos_a_comprar[Insumo],_xlfn.AGGREGATE(15,6,(Insumos_a_comprar[Planilla]=E$1)/(Insumos_a_comprar[Planilla]=E$1)*ROW(Insumos_a_comprar[Planilla])-ROW(Insumos_a_comprar[[#Headers],[Planilla]]),ROWS('Insumos a comprar'!$B$5:G31))),"")</f>
        <v/>
      </c>
      <c r="F28" s="29" t="str">
        <f>IF(ROWS('Insumos a comprar'!$B$5:H31)&lt;=COUNTIF(Insumos_a_comprar[Planilla],F$1),INDEX(Insumos_a_comprar[Insumo],_xlfn.AGGREGATE(15,6,(Insumos_a_comprar[Planilla]=F$1)/(Insumos_a_comprar[Planilla]=F$1)*ROW(Insumos_a_comprar[Planilla])-ROW(Insumos_a_comprar[[#Headers],[Planilla]]),ROWS('Insumos a comprar'!$B$5:H31))),"")</f>
        <v/>
      </c>
      <c r="G28" s="29" t="str">
        <f>IF(ROWS('Insumos a comprar'!$B$5:I31)&lt;=COUNTIF(Insumos_a_comprar[Planilla],G$1),INDEX(Insumos_a_comprar[Insumo],_xlfn.AGGREGATE(15,6,(Insumos_a_comprar[Planilla]=G$1)/(Insumos_a_comprar[Planilla]=G$1)*ROW(Insumos_a_comprar[Planilla])-ROW(Insumos_a_comprar[[#Headers],[Planilla]]),ROWS('Insumos a comprar'!$B$5:I31))),"")</f>
        <v/>
      </c>
      <c r="H28" s="29" t="str">
        <f>IF(ROWS('Insumos a comprar'!$B$5:I31)&lt;=COUNTIF(Insumos_a_comprar[Planilla],H$1),INDEX(Insumos_a_comprar[Insumo],_xlfn.AGGREGATE(15,6,(Insumos_a_comprar[Planilla]=H$1)/(Insumos_a_comprar[Planilla]=H$1)*ROW(Insumos_a_comprar[Planilla])-ROW(Insumos_a_comprar[[#Headers],[Planilla]]),ROWS('Insumos a comprar'!$B$5:I31))),"")</f>
        <v>Cubetas Cuarzo 5 ml</v>
      </c>
      <c r="I28" s="29" t="str">
        <f>IF(ROWS('Insumos a comprar'!$B$5:I31)&lt;=COUNTIF(Insumos_a_comprar[Planilla],I$1),INDEX(Insumos_a_comprar[Insumo],_xlfn.AGGREGATE(15,6,(Insumos_a_comprar[Planilla]=I$1)/(Insumos_a_comprar[Planilla]=I$1)*ROW(Insumos_a_comprar[Planilla])-ROW(Insumos_a_comprar[[#Headers],[Planilla]]),ROWS('Insumos a comprar'!$B$5:I31))),"")</f>
        <v>Papel Filtro Banda azul D=11cm</v>
      </c>
      <c r="J28" s="29" t="str">
        <f>IF(ROWS('Insumos a comprar'!$B$5:I31)&lt;=COUNTIF(Insumos_a_comprar[Planilla],J$1),INDEX(Insumos_a_comprar[Insumo],_xlfn.AGGREGATE(15,6,(Insumos_a_comprar[Planilla]=J$1)/(Insumos_a_comprar[Planilla]=J$1)*ROW(Insumos_a_comprar[Planilla])-ROW(Insumos_a_comprar[[#Headers],[Planilla]]),ROWS('Insumos a comprar'!$B$5:I31))),"")</f>
        <v>Jeringas 25µl</v>
      </c>
      <c r="K28" s="29" t="str">
        <f>IF(ROWS('Insumos a comprar'!$B$5:I31)&lt;=COUNTIF(Insumos_a_comprar[Planilla],K$1),INDEX(Insumos_a_comprar[Insumo],_xlfn.AGGREGATE(15,6,(Insumos_a_comprar[Planilla]=K$1)/(Insumos_a_comprar[Planilla]=K$1)*ROW(Insumos_a_comprar[Planilla])-ROW(Insumos_a_comprar[[#Headers],[Planilla]]),ROWS('Insumos a comprar'!$B$5:I31))),"")</f>
        <v>Vanadio</v>
      </c>
      <c r="L28" s="29" t="str">
        <f>IF(ROWS('Insumos a comprar'!$B$5:I31)&lt;=COUNTIF(Insumos_a_comprar[Planilla],L$1),INDEX(Insumos_a_comprar[Insumo],_xlfn.AGGREGATE(15,6,(Insumos_a_comprar[Planilla]=L$1)/(Insumos_a_comprar[Planilla]=L$1)*ROW(Insumos_a_comprar[Planilla])-ROW(Insumos_a_comprar[[#Headers],[Planilla]]),ROWS('Insumos a comprar'!$B$5:I31))),"")</f>
        <v/>
      </c>
      <c r="M28" s="29"/>
      <c r="N28" s="29"/>
      <c r="O28" s="29"/>
      <c r="P28" s="29"/>
      <c r="Q28" s="29"/>
    </row>
    <row r="29" spans="1:17" ht="47.25" x14ac:dyDescent="0.25">
      <c r="A29" s="29" t="str">
        <f>IF(ROWS('Insumos a comprar'!$B$5:B32)&lt;=COUNTIF(Insumos_a_comprar[Planilla],A$1),INDEX(Insumos_a_comprar[Insumo],_xlfn.AGGREGATE(15,6,(Insumos_a_comprar[Planilla]=A$1)/(Insumos_a_comprar[Planilla]=A$1)*ROW(Insumos_a_comprar[Planilla])-ROW(Insumos_a_comprar[[#Headers],[Planilla]]),ROWS('Insumos a comprar'!$B$5:B32))),"")</f>
        <v>Naranja de metilo</v>
      </c>
      <c r="B29" s="29" t="str">
        <f>IF(ROWS('Insumos a comprar'!$B$5:B32)&lt;=COUNTIF(Insumos_a_comprar[Planilla],B$1),INDEX(Insumos_a_comprar[Insumo],_xlfn.AGGREGATE(15,6,(Insumos_a_comprar[Planilla]=B$1)/(Insumos_a_comprar[Planilla]=B$1)*ROW(Insumos_a_comprar[Planilla])-ROW(Insumos_a_comprar[[#Headers],[Planilla]]),ROWS('Insumos a comprar'!$B$5:B32))),"")</f>
        <v>Hierro (II) sulfato  (FeSO4.7H2O)</v>
      </c>
      <c r="C29" s="29" t="str">
        <f>IF(ROWS('Insumos a comprar'!$B$5:E32)&lt;=COUNTIF(Insumos_a_comprar[Planilla],C$1),INDEX(Insumos_a_comprar[Insumo],_xlfn.AGGREGATE(15,6,(Insumos_a_comprar[Planilla]=C$1)/(Insumos_a_comprar[Planilla]=C$1)*ROW(Insumos_a_comprar[Planilla])-ROW(Insumos_a_comprar[[#Headers],[Planilla]]),ROWS('Insumos a comprar'!$B$5:E32))),"")</f>
        <v/>
      </c>
      <c r="D29" s="29" t="str">
        <f>IF(ROWS('Insumos a comprar'!$B$5:F32)&lt;=COUNTIF(Insumos_a_comprar[Planilla],D$1),INDEX(Insumos_a_comprar[Insumo],_xlfn.AGGREGATE(15,6,(Insumos_a_comprar[Planilla]=D$1)/(Insumos_a_comprar[Planilla]=D$1)*ROW(Insumos_a_comprar[Planilla])-ROW(Insumos_a_comprar[[#Headers],[Planilla]]),ROWS('Insumos a comprar'!$B$5:F32))),"")</f>
        <v>Hexadecano</v>
      </c>
      <c r="E29" s="29" t="str">
        <f>IF(ROWS('Insumos a comprar'!$B$5:G32)&lt;=COUNTIF(Insumos_a_comprar[Planilla],E$1),INDEX(Insumos_a_comprar[Insumo],_xlfn.AGGREGATE(15,6,(Insumos_a_comprar[Planilla]=E$1)/(Insumos_a_comprar[Planilla]=E$1)*ROW(Insumos_a_comprar[Planilla])-ROW(Insumos_a_comprar[[#Headers],[Planilla]]),ROWS('Insumos a comprar'!$B$5:G32))),"")</f>
        <v/>
      </c>
      <c r="F29" s="29" t="str">
        <f>IF(ROWS('Insumos a comprar'!$B$5:H32)&lt;=COUNTIF(Insumos_a_comprar[Planilla],F$1),INDEX(Insumos_a_comprar[Insumo],_xlfn.AGGREGATE(15,6,(Insumos_a_comprar[Planilla]=F$1)/(Insumos_a_comprar[Planilla]=F$1)*ROW(Insumos_a_comprar[Planilla])-ROW(Insumos_a_comprar[[#Headers],[Planilla]]),ROWS('Insumos a comprar'!$B$5:H32))),"")</f>
        <v/>
      </c>
      <c r="G29" s="29" t="str">
        <f>IF(ROWS('Insumos a comprar'!$B$5:I32)&lt;=COUNTIF(Insumos_a_comprar[Planilla],G$1),INDEX(Insumos_a_comprar[Insumo],_xlfn.AGGREGATE(15,6,(Insumos_a_comprar[Planilla]=G$1)/(Insumos_a_comprar[Planilla]=G$1)*ROW(Insumos_a_comprar[Planilla])-ROW(Insumos_a_comprar[[#Headers],[Planilla]]),ROWS('Insumos a comprar'!$B$5:I32))),"")</f>
        <v/>
      </c>
      <c r="H29" s="29" t="str">
        <f>IF(ROWS('Insumos a comprar'!$B$5:I32)&lt;=COUNTIF(Insumos_a_comprar[Planilla],H$1),INDEX(Insumos_a_comprar[Insumo],_xlfn.AGGREGATE(15,6,(Insumos_a_comprar[Planilla]=H$1)/(Insumos_a_comprar[Planilla]=H$1)*ROW(Insumos_a_comprar[Planilla])-ROW(Insumos_a_comprar[[#Headers],[Planilla]]),ROWS('Insumos a comprar'!$B$5:I32))),"")</f>
        <v xml:space="preserve">Cubetas Cuarzo micro </v>
      </c>
      <c r="I29" s="29" t="str">
        <f>IF(ROWS('Insumos a comprar'!$B$5:I32)&lt;=COUNTIF(Insumos_a_comprar[Planilla],I$1),INDEX(Insumos_a_comprar[Insumo],_xlfn.AGGREGATE(15,6,(Insumos_a_comprar[Planilla]=I$1)/(Insumos_a_comprar[Planilla]=I$1)*ROW(Insumos_a_comprar[Planilla])-ROW(Insumos_a_comprar[[#Headers],[Planilla]]),ROWS('Insumos a comprar'!$B$5:I32))),"")</f>
        <v>Papel Filtro Banda negra D=11cm</v>
      </c>
      <c r="J29" s="29" t="str">
        <f>IF(ROWS('Insumos a comprar'!$B$5:I32)&lt;=COUNTIF(Insumos_a_comprar[Planilla],J$1),INDEX(Insumos_a_comprar[Insumo],_xlfn.AGGREGATE(15,6,(Insumos_a_comprar[Planilla]=J$1)/(Insumos_a_comprar[Planilla]=J$1)*ROW(Insumos_a_comprar[Planilla])-ROW(Insumos_a_comprar[[#Headers],[Planilla]]),ROWS('Insumos a comprar'!$B$5:I32))),"")</f>
        <v>Jet Columna capilar</v>
      </c>
      <c r="K29" s="29" t="str">
        <f>IF(ROWS('Insumos a comprar'!$B$5:I32)&lt;=COUNTIF(Insumos_a_comprar[Planilla],K$1),INDEX(Insumos_a_comprar[Insumo],_xlfn.AGGREGATE(15,6,(Insumos_a_comprar[Planilla]=K$1)/(Insumos_a_comprar[Planilla]=K$1)*ROW(Insumos_a_comprar[Planilla])-ROW(Insumos_a_comprar[[#Headers],[Planilla]]),ROWS('Insumos a comprar'!$B$5:I32))),"")</f>
        <v>Zinc</v>
      </c>
      <c r="L29" s="29" t="str">
        <f>IF(ROWS('Insumos a comprar'!$B$5:I32)&lt;=COUNTIF(Insumos_a_comprar[Planilla],L$1),INDEX(Insumos_a_comprar[Insumo],_xlfn.AGGREGATE(15,6,(Insumos_a_comprar[Planilla]=L$1)/(Insumos_a_comprar[Planilla]=L$1)*ROW(Insumos_a_comprar[Planilla])-ROW(Insumos_a_comprar[[#Headers],[Planilla]]),ROWS('Insumos a comprar'!$B$5:I32))),"")</f>
        <v/>
      </c>
      <c r="M29" s="29"/>
      <c r="N29" s="29"/>
      <c r="O29" s="29"/>
      <c r="P29" s="29"/>
      <c r="Q29" s="29"/>
    </row>
    <row r="30" spans="1:17" ht="63" x14ac:dyDescent="0.25">
      <c r="A30" s="29" t="str">
        <f>IF(ROWS('Insumos a comprar'!$B$5:B33)&lt;=COUNTIF(Insumos_a_comprar[Planilla],A$1),INDEX(Insumos_a_comprar[Insumo],_xlfn.AGGREGATE(15,6,(Insumos_a_comprar[Planilla]=A$1)/(Insumos_a_comprar[Planilla]=A$1)*ROW(Insumos_a_comprar[Planilla])-ROW(Insumos_a_comprar[[#Headers],[Planilla]]),ROWS('Insumos a comprar'!$B$5:B33))),"")</f>
        <v>Negro de eriocromo T (NET)</v>
      </c>
      <c r="B30" s="29" t="str">
        <f>IF(ROWS('Insumos a comprar'!$B$5:B33)&lt;=COUNTIF(Insumos_a_comprar[Planilla],B$1),INDEX(Insumos_a_comprar[Insumo],_xlfn.AGGREGATE(15,6,(Insumos_a_comprar[Planilla]=B$1)/(Insumos_a_comprar[Planilla]=B$1)*ROW(Insumos_a_comprar[Planilla])-ROW(Insumos_a_comprar[[#Headers],[Planilla]]),ROWS('Insumos a comprar'!$B$5:B33))),"")</f>
        <v>Hierro (II) sulfuro (sulfuro ferroso) (pirita) (FeS)</v>
      </c>
      <c r="C30" s="29" t="str">
        <f>IF(ROWS('Insumos a comprar'!$B$5:E33)&lt;=COUNTIF(Insumos_a_comprar[Planilla],C$1),INDEX(Insumos_a_comprar[Insumo],_xlfn.AGGREGATE(15,6,(Insumos_a_comprar[Planilla]=C$1)/(Insumos_a_comprar[Planilla]=C$1)*ROW(Insumos_a_comprar[Planilla])-ROW(Insumos_a_comprar[[#Headers],[Planilla]]),ROWS('Insumos a comprar'!$B$5:E33))),"")</f>
        <v/>
      </c>
      <c r="D30" s="29" t="str">
        <f>IF(ROWS('Insumos a comprar'!$B$5:F33)&lt;=COUNTIF(Insumos_a_comprar[Planilla],D$1),INDEX(Insumos_a_comprar[Insumo],_xlfn.AGGREGATE(15,6,(Insumos_a_comprar[Planilla]=D$1)/(Insumos_a_comprar[Planilla]=D$1)*ROW(Insumos_a_comprar[Planilla])-ROW(Insumos_a_comprar[[#Headers],[Planilla]]),ROWS('Insumos a comprar'!$B$5:F33))),"")</f>
        <v>Isobutanol /2 metil 1-propanol</v>
      </c>
      <c r="E30" s="29" t="str">
        <f>IF(ROWS('Insumos a comprar'!$B$5:G33)&lt;=COUNTIF(Insumos_a_comprar[Planilla],E$1),INDEX(Insumos_a_comprar[Insumo],_xlfn.AGGREGATE(15,6,(Insumos_a_comprar[Planilla]=E$1)/(Insumos_a_comprar[Planilla]=E$1)*ROW(Insumos_a_comprar[Planilla])-ROW(Insumos_a_comprar[[#Headers],[Planilla]]),ROWS('Insumos a comprar'!$B$5:G33))),"")</f>
        <v/>
      </c>
      <c r="F30" s="29" t="str">
        <f>IF(ROWS('Insumos a comprar'!$B$5:H33)&lt;=COUNTIF(Insumos_a_comprar[Planilla],F$1),INDEX(Insumos_a_comprar[Insumo],_xlfn.AGGREGATE(15,6,(Insumos_a_comprar[Planilla]=F$1)/(Insumos_a_comprar[Planilla]=F$1)*ROW(Insumos_a_comprar[Planilla])-ROW(Insumos_a_comprar[[#Headers],[Planilla]]),ROWS('Insumos a comprar'!$B$5:H33))),"")</f>
        <v/>
      </c>
      <c r="G30" s="29" t="str">
        <f>IF(ROWS('Insumos a comprar'!$B$5:I33)&lt;=COUNTIF(Insumos_a_comprar[Planilla],G$1),INDEX(Insumos_a_comprar[Insumo],_xlfn.AGGREGATE(15,6,(Insumos_a_comprar[Planilla]=G$1)/(Insumos_a_comprar[Planilla]=G$1)*ROW(Insumos_a_comprar[Planilla])-ROW(Insumos_a_comprar[[#Headers],[Planilla]]),ROWS('Insumos a comprar'!$B$5:I33))),"")</f>
        <v/>
      </c>
      <c r="H30" s="29" t="str">
        <f>IF(ROWS('Insumos a comprar'!$B$5:I33)&lt;=COUNTIF(Insumos_a_comprar[Planilla],H$1),INDEX(Insumos_a_comprar[Insumo],_xlfn.AGGREGATE(15,6,(Insumos_a_comprar[Planilla]=H$1)/(Insumos_a_comprar[Planilla]=H$1)*ROW(Insumos_a_comprar[Planilla])-ROW(Insumos_a_comprar[[#Headers],[Planilla]]),ROWS('Insumos a comprar'!$B$5:I33))),"")</f>
        <v>Cubetas Vidrio 10 ml</v>
      </c>
      <c r="I30" s="29" t="str">
        <f>IF(ROWS('Insumos a comprar'!$B$5:I33)&lt;=COUNTIF(Insumos_a_comprar[Planilla],I$1),INDEX(Insumos_a_comprar[Insumo],_xlfn.AGGREGATE(15,6,(Insumos_a_comprar[Planilla]=I$1)/(Insumos_a_comprar[Planilla]=I$1)*ROW(Insumos_a_comprar[Planilla])-ROW(Insumos_a_comprar[[#Headers],[Planilla]]),ROWS('Insumos a comprar'!$B$5:I33))),"")</f>
        <v xml:space="preserve">Papel Ph </v>
      </c>
      <c r="J30" s="29" t="str">
        <f>IF(ROWS('Insumos a comprar'!$B$5:I33)&lt;=COUNTIF(Insumos_a_comprar[Planilla],J$1),INDEX(Insumos_a_comprar[Insumo],_xlfn.AGGREGATE(15,6,(Insumos_a_comprar[Planilla]=J$1)/(Insumos_a_comprar[Planilla]=J$1)*ROW(Insumos_a_comprar[Planilla])-ROW(Insumos_a_comprar[[#Headers],[Planilla]]),ROWS('Insumos a comprar'!$B$5:I33))),"")</f>
        <v>Jet Columna empacada</v>
      </c>
      <c r="K30" s="29" t="str">
        <f>IF(ROWS('Insumos a comprar'!$B$5:I33)&lt;=COUNTIF(Insumos_a_comprar[Planilla],K$1),INDEX(Insumos_a_comprar[Insumo],_xlfn.AGGREGATE(15,6,(Insumos_a_comprar[Planilla]=K$1)/(Insumos_a_comprar[Planilla]=K$1)*ROW(Insumos_a_comprar[Planilla])-ROW(Insumos_a_comprar[[#Headers],[Planilla]]),ROWS('Insumos a comprar'!$B$5:I33))),"")</f>
        <v/>
      </c>
      <c r="L30" s="29" t="str">
        <f>IF(ROWS('Insumos a comprar'!$B$5:I33)&lt;=COUNTIF(Insumos_a_comprar[Planilla],L$1),INDEX(Insumos_a_comprar[Insumo],_xlfn.AGGREGATE(15,6,(Insumos_a_comprar[Planilla]=L$1)/(Insumos_a_comprar[Planilla]=L$1)*ROW(Insumos_a_comprar[Planilla])-ROW(Insumos_a_comprar[[#Headers],[Planilla]]),ROWS('Insumos a comprar'!$B$5:I33))),"")</f>
        <v/>
      </c>
      <c r="M30" s="29"/>
      <c r="N30" s="29"/>
      <c r="O30" s="29"/>
      <c r="P30" s="29"/>
      <c r="Q30" s="29"/>
    </row>
    <row r="31" spans="1:17" ht="31.5" x14ac:dyDescent="0.25">
      <c r="A31" s="29" t="str">
        <f>IF(ROWS('Insumos a comprar'!$B$5:B34)&lt;=COUNTIF(Insumos_a_comprar[Planilla],A$1),INDEX(Insumos_a_comprar[Insumo],_xlfn.AGGREGATE(15,6,(Insumos_a_comprar[Planilla]=A$1)/(Insumos_a_comprar[Planilla]=A$1)*ROW(Insumos_a_comprar[Planilla])-ROW(Insumos_a_comprar[[#Headers],[Planilla]]),ROWS('Insumos a comprar'!$B$5:B34))),"")</f>
        <v>Plata nitrato  (AgNO3)</v>
      </c>
      <c r="B31" s="29" t="str">
        <f>IF(ROWS('Insumos a comprar'!$B$5:B34)&lt;=COUNTIF(Insumos_a_comprar[Planilla],B$1),INDEX(Insumos_a_comprar[Insumo],_xlfn.AGGREGATE(15,6,(Insumos_a_comprar[Planilla]=B$1)/(Insumos_a_comprar[Planilla]=B$1)*ROW(Insumos_a_comprar[Planilla])-ROW(Insumos_a_comprar[[#Headers],[Planilla]]),ROWS('Insumos a comprar'!$B$5:B34))),"")</f>
        <v>Hierro (III) sulfato   (Fe2(SO4)3.xH2O)</v>
      </c>
      <c r="C31" s="29" t="str">
        <f>IF(ROWS('Insumos a comprar'!$B$5:E34)&lt;=COUNTIF(Insumos_a_comprar[Planilla],C$1),INDEX(Insumos_a_comprar[Insumo],_xlfn.AGGREGATE(15,6,(Insumos_a_comprar[Planilla]=C$1)/(Insumos_a_comprar[Planilla]=C$1)*ROW(Insumos_a_comprar[Planilla])-ROW(Insumos_a_comprar[[#Headers],[Planilla]]),ROWS('Insumos a comprar'!$B$5:E34))),"")</f>
        <v/>
      </c>
      <c r="D31" s="29" t="str">
        <f>IF(ROWS('Insumos a comprar'!$B$5:F34)&lt;=COUNTIF(Insumos_a_comprar[Planilla],D$1),INDEX(Insumos_a_comprar[Insumo],_xlfn.AGGREGATE(15,6,(Insumos_a_comprar[Planilla]=D$1)/(Insumos_a_comprar[Planilla]=D$1)*ROW(Insumos_a_comprar[Planilla])-ROW(Insumos_a_comprar[[#Headers],[Planilla]]),ROWS('Insumos a comprar'!$B$5:F34))),"")</f>
        <v>Isooctano</v>
      </c>
      <c r="E31" s="29" t="str">
        <f>IF(ROWS('Insumos a comprar'!$B$5:G34)&lt;=COUNTIF(Insumos_a_comprar[Planilla],E$1),INDEX(Insumos_a_comprar[Insumo],_xlfn.AGGREGATE(15,6,(Insumos_a_comprar[Planilla]=E$1)/(Insumos_a_comprar[Planilla]=E$1)*ROW(Insumos_a_comprar[Planilla])-ROW(Insumos_a_comprar[[#Headers],[Planilla]]),ROWS('Insumos a comprar'!$B$5:G34))),"")</f>
        <v/>
      </c>
      <c r="F31" s="29" t="str">
        <f>IF(ROWS('Insumos a comprar'!$B$5:H34)&lt;=COUNTIF(Insumos_a_comprar[Planilla],F$1),INDEX(Insumos_a_comprar[Insumo],_xlfn.AGGREGATE(15,6,(Insumos_a_comprar[Planilla]=F$1)/(Insumos_a_comprar[Planilla]=F$1)*ROW(Insumos_a_comprar[Planilla])-ROW(Insumos_a_comprar[[#Headers],[Planilla]]),ROWS('Insumos a comprar'!$B$5:H34))),"")</f>
        <v/>
      </c>
      <c r="G31" s="29" t="str">
        <f>IF(ROWS('Insumos a comprar'!$B$5:I34)&lt;=COUNTIF(Insumos_a_comprar[Planilla],G$1),INDEX(Insumos_a_comprar[Insumo],_xlfn.AGGREGATE(15,6,(Insumos_a_comprar[Planilla]=G$1)/(Insumos_a_comprar[Planilla]=G$1)*ROW(Insumos_a_comprar[Planilla])-ROW(Insumos_a_comprar[[#Headers],[Planilla]]),ROWS('Insumos a comprar'!$B$5:I34))),"")</f>
        <v/>
      </c>
      <c r="H31" s="29" t="str">
        <f>IF(ROWS('Insumos a comprar'!$B$5:I34)&lt;=COUNTIF(Insumos_a_comprar[Planilla],H$1),INDEX(Insumos_a_comprar[Insumo],_xlfn.AGGREGATE(15,6,(Insumos_a_comprar[Planilla]=H$1)/(Insumos_a_comprar[Planilla]=H$1)*ROW(Insumos_a_comprar[Planilla])-ROW(Insumos_a_comprar[[#Headers],[Planilla]]),ROWS('Insumos a comprar'!$B$5:I34))),"")</f>
        <v>Cubetas Vidrio 25 ml</v>
      </c>
      <c r="I31" s="29" t="str">
        <f>IF(ROWS('Insumos a comprar'!$B$5:I34)&lt;=COUNTIF(Insumos_a_comprar[Planilla],I$1),INDEX(Insumos_a_comprar[Insumo],_xlfn.AGGREGATE(15,6,(Insumos_a_comprar[Planilla]=I$1)/(Insumos_a_comprar[Planilla]=I$1)*ROW(Insumos_a_comprar[Planilla])-ROW(Insumos_a_comprar[[#Headers],[Planilla]]),ROWS('Insumos a comprar'!$B$5:I34))),"")</f>
        <v>Pisetas 500ml</v>
      </c>
      <c r="J31" s="29" t="str">
        <f>IF(ROWS('Insumos a comprar'!$B$5:I34)&lt;=COUNTIF(Insumos_a_comprar[Planilla],J$1),INDEX(Insumos_a_comprar[Insumo],_xlfn.AGGREGATE(15,6,(Insumos_a_comprar[Planilla]=J$1)/(Insumos_a_comprar[Planilla]=J$1)*ROW(Insumos_a_comprar[Planilla])-ROW(Insumos_a_comprar[[#Headers],[Planilla]]),ROWS('Insumos a comprar'!$B$5:I34))),"")</f>
        <v xml:space="preserve">Lana de vidrio </v>
      </c>
      <c r="K31" s="29" t="str">
        <f>IF(ROWS('Insumos a comprar'!$B$5:I34)&lt;=COUNTIF(Insumos_a_comprar[Planilla],K$1),INDEX(Insumos_a_comprar[Insumo],_xlfn.AGGREGATE(15,6,(Insumos_a_comprar[Planilla]=K$1)/(Insumos_a_comprar[Planilla]=K$1)*ROW(Insumos_a_comprar[Planilla])-ROW(Insumos_a_comprar[[#Headers],[Planilla]]),ROWS('Insumos a comprar'!$B$5:I34))),"")</f>
        <v/>
      </c>
      <c r="L31" s="29" t="str">
        <f>IF(ROWS('Insumos a comprar'!$B$5:I34)&lt;=COUNTIF(Insumos_a_comprar[Planilla],L$1),INDEX(Insumos_a_comprar[Insumo],_xlfn.AGGREGATE(15,6,(Insumos_a_comprar[Planilla]=L$1)/(Insumos_a_comprar[Planilla]=L$1)*ROW(Insumos_a_comprar[Planilla])-ROW(Insumos_a_comprar[[#Headers],[Planilla]]),ROWS('Insumos a comprar'!$B$5:I34))),"")</f>
        <v/>
      </c>
      <c r="M31" s="29"/>
      <c r="N31" s="29"/>
      <c r="O31" s="29"/>
      <c r="P31" s="29"/>
      <c r="Q31" s="29"/>
    </row>
    <row r="32" spans="1:17" ht="47.25" x14ac:dyDescent="0.25">
      <c r="A32" s="29" t="str">
        <f>IF(ROWS('Insumos a comprar'!$B$5:B35)&lt;=COUNTIF(Insumos_a_comprar[Planilla],A$1),INDEX(Insumos_a_comprar[Insumo],_xlfn.AGGREGATE(15,6,(Insumos_a_comprar[Planilla]=A$1)/(Insumos_a_comprar[Planilla]=A$1)*ROW(Insumos_a_comprar[Planilla])-ROW(Insumos_a_comprar[[#Headers],[Planilla]]),ROWS('Insumos a comprar'!$B$5:B35))),"")</f>
        <v>Plata sulfato (Ag2SO4)</v>
      </c>
      <c r="B32" s="29" t="str">
        <f>IF(ROWS('Insumos a comprar'!$B$5:B35)&lt;=COUNTIF(Insumos_a_comprar[Planilla],B$1),INDEX(Insumos_a_comprar[Insumo],_xlfn.AGGREGATE(15,6,(Insumos_a_comprar[Planilla]=B$1)/(Insumos_a_comprar[Planilla]=B$1)*ROW(Insumos_a_comprar[Planilla])-ROW(Insumos_a_comprar[[#Headers],[Planilla]]),ROWS('Insumos a comprar'!$B$5:B35))),"")</f>
        <v>Hierro metalico (polvo)</v>
      </c>
      <c r="C32" s="29" t="str">
        <f>IF(ROWS('Insumos a comprar'!$B$5:E35)&lt;=COUNTIF(Insumos_a_comprar[Planilla],C$1),INDEX(Insumos_a_comprar[Insumo],_xlfn.AGGREGATE(15,6,(Insumos_a_comprar[Planilla]=C$1)/(Insumos_a_comprar[Planilla]=C$1)*ROW(Insumos_a_comprar[Planilla])-ROW(Insumos_a_comprar[[#Headers],[Planilla]]),ROWS('Insumos a comprar'!$B$5:E35))),"")</f>
        <v/>
      </c>
      <c r="D32" s="29" t="str">
        <f>IF(ROWS('Insumos a comprar'!$B$5:F35)&lt;=COUNTIF(Insumos_a_comprar[Planilla],D$1),INDEX(Insumos_a_comprar[Insumo],_xlfn.AGGREGATE(15,6,(Insumos_a_comprar[Planilla]=D$1)/(Insumos_a_comprar[Planilla]=D$1)*ROW(Insumos_a_comprar[Planilla])-ROW(Insumos_a_comprar[[#Headers],[Planilla]]),ROWS('Insumos a comprar'!$B$5:F35))),"")</f>
        <v>Isophorone</v>
      </c>
      <c r="E32" s="29" t="str">
        <f>IF(ROWS('Insumos a comprar'!$B$5:G35)&lt;=COUNTIF(Insumos_a_comprar[Planilla],E$1),INDEX(Insumos_a_comprar[Insumo],_xlfn.AGGREGATE(15,6,(Insumos_a_comprar[Planilla]=E$1)/(Insumos_a_comprar[Planilla]=E$1)*ROW(Insumos_a_comprar[Planilla])-ROW(Insumos_a_comprar[[#Headers],[Planilla]]),ROWS('Insumos a comprar'!$B$5:G35))),"")</f>
        <v/>
      </c>
      <c r="F32" s="29" t="str">
        <f>IF(ROWS('Insumos a comprar'!$B$5:H35)&lt;=COUNTIF(Insumos_a_comprar[Planilla],F$1),INDEX(Insumos_a_comprar[Insumo],_xlfn.AGGREGATE(15,6,(Insumos_a_comprar[Planilla]=F$1)/(Insumos_a_comprar[Planilla]=F$1)*ROW(Insumos_a_comprar[Planilla])-ROW(Insumos_a_comprar[[#Headers],[Planilla]]),ROWS('Insumos a comprar'!$B$5:H35))),"")</f>
        <v/>
      </c>
      <c r="G32" s="29" t="str">
        <f>IF(ROWS('Insumos a comprar'!$B$5:I35)&lt;=COUNTIF(Insumos_a_comprar[Planilla],G$1),INDEX(Insumos_a_comprar[Insumo],_xlfn.AGGREGATE(15,6,(Insumos_a_comprar[Planilla]=G$1)/(Insumos_a_comprar[Planilla]=G$1)*ROW(Insumos_a_comprar[Planilla])-ROW(Insumos_a_comprar[[#Headers],[Planilla]]),ROWS('Insumos a comprar'!$B$5:I35))),"")</f>
        <v/>
      </c>
      <c r="H32" s="29" t="str">
        <f>IF(ROWS('Insumos a comprar'!$B$5:I35)&lt;=COUNTIF(Insumos_a_comprar[Planilla],H$1),INDEX(Insumos_a_comprar[Insumo],_xlfn.AGGREGATE(15,6,(Insumos_a_comprar[Planilla]=H$1)/(Insumos_a_comprar[Planilla]=H$1)*ROW(Insumos_a_comprar[Planilla])-ROW(Insumos_a_comprar[[#Headers],[Planilla]]),ROWS('Insumos a comprar'!$B$5:I35))),"")</f>
        <v>Cubetas Vidrio 5 ml</v>
      </c>
      <c r="I32" s="29" t="str">
        <f>IF(ROWS('Insumos a comprar'!$B$5:I35)&lt;=COUNTIF(Insumos_a_comprar[Planilla],I$1),INDEX(Insumos_a_comprar[Insumo],_xlfn.AGGREGATE(15,6,(Insumos_a_comprar[Planilla]=I$1)/(Insumos_a_comprar[Planilla]=I$1)*ROW(Insumos_a_comprar[Planilla])-ROW(Insumos_a_comprar[[#Headers],[Planilla]]),ROWS('Insumos a comprar'!$B$5:I35))),"")</f>
        <v/>
      </c>
      <c r="J32" s="29" t="str">
        <f>IF(ROWS('Insumos a comprar'!$B$5:I35)&lt;=COUNTIF(Insumos_a_comprar[Planilla],J$1),INDEX(Insumos_a_comprar[Insumo],_xlfn.AGGREGATE(15,6,(Insumos_a_comprar[Planilla]=J$1)/(Insumos_a_comprar[Planilla]=J$1)*ROW(Insumos_a_comprar[Planilla])-ROW(Insumos_a_comprar[[#Headers],[Planilla]]),ROWS('Insumos a comprar'!$B$5:I35))),"")</f>
        <v>Liners Direct nuevo</v>
      </c>
      <c r="K32" s="29" t="str">
        <f>IF(ROWS('Insumos a comprar'!$B$5:I35)&lt;=COUNTIF(Insumos_a_comprar[Planilla],K$1),INDEX(Insumos_a_comprar[Insumo],_xlfn.AGGREGATE(15,6,(Insumos_a_comprar[Planilla]=K$1)/(Insumos_a_comprar[Planilla]=K$1)*ROW(Insumos_a_comprar[Planilla])-ROW(Insumos_a_comprar[[#Headers],[Planilla]]),ROWS('Insumos a comprar'!$B$5:I35))),"")</f>
        <v/>
      </c>
      <c r="L32" s="29" t="str">
        <f>IF(ROWS('Insumos a comprar'!$B$5:I35)&lt;=COUNTIF(Insumos_a_comprar[Planilla],L$1),INDEX(Insumos_a_comprar[Insumo],_xlfn.AGGREGATE(15,6,(Insumos_a_comprar[Planilla]=L$1)/(Insumos_a_comprar[Planilla]=L$1)*ROW(Insumos_a_comprar[Planilla])-ROW(Insumos_a_comprar[[#Headers],[Planilla]]),ROWS('Insumos a comprar'!$B$5:I35))),"")</f>
        <v/>
      </c>
      <c r="M32" s="29"/>
      <c r="N32" s="29"/>
      <c r="O32" s="29"/>
      <c r="P32" s="29"/>
      <c r="Q32" s="29"/>
    </row>
    <row r="33" spans="1:17" ht="63" x14ac:dyDescent="0.25">
      <c r="A33" s="29" t="str">
        <f>IF(ROWS('Insumos a comprar'!$B$5:B36)&lt;=COUNTIF(Insumos_a_comprar[Planilla],A$1),INDEX(Insumos_a_comprar[Insumo],_xlfn.AGGREGATE(15,6,(Insumos_a_comprar[Planilla]=A$1)/(Insumos_a_comprar[Planilla]=A$1)*ROW(Insumos_a_comprar[Planilla])-ROW(Insumos_a_comprar[[#Headers],[Planilla]]),ROWS('Insumos a comprar'!$B$5:B36))),"")</f>
        <v>Plomo acetato (Pb(CH3COO)2.3H2O)</v>
      </c>
      <c r="B33" s="29" t="str">
        <f>IF(ROWS('Insumos a comprar'!$B$5:B36)&lt;=COUNTIF(Insumos_a_comprar[Planilla],B$1),INDEX(Insumos_a_comprar[Insumo],_xlfn.AGGREGATE(15,6,(Insumos_a_comprar[Planilla]=B$1)/(Insumos_a_comprar[Planilla]=B$1)*ROW(Insumos_a_comprar[Planilla])-ROW(Insumos_a_comprar[[#Headers],[Planilla]]),ROWS('Insumos a comprar'!$B$5:B36))),"")</f>
        <v>Indicador Murexida + cloruro de sodio</v>
      </c>
      <c r="C33" s="29" t="str">
        <f>IF(ROWS('Insumos a comprar'!$B$5:E36)&lt;=COUNTIF(Insumos_a_comprar[Planilla],C$1),INDEX(Insumos_a_comprar[Insumo],_xlfn.AGGREGATE(15,6,(Insumos_a_comprar[Planilla]=C$1)/(Insumos_a_comprar[Planilla]=C$1)*ROW(Insumos_a_comprar[Planilla])-ROW(Insumos_a_comprar[[#Headers],[Planilla]]),ROWS('Insumos a comprar'!$B$5:E36))),"")</f>
        <v/>
      </c>
      <c r="D33" s="29" t="str">
        <f>IF(ROWS('Insumos a comprar'!$B$5:F36)&lt;=COUNTIF(Insumos_a_comprar[Planilla],D$1),INDEX(Insumos_a_comprar[Insumo],_xlfn.AGGREGATE(15,6,(Insumos_a_comprar[Planilla]=D$1)/(Insumos_a_comprar[Planilla]=D$1)*ROW(Insumos_a_comprar[Planilla])-ROW(Insumos_a_comprar[[#Headers],[Planilla]]),ROWS('Insumos a comprar'!$B$5:F36))),"")</f>
        <v>Metanol</v>
      </c>
      <c r="E33" s="29" t="str">
        <f>IF(ROWS('Insumos a comprar'!$B$5:G36)&lt;=COUNTIF(Insumos_a_comprar[Planilla],E$1),INDEX(Insumos_a_comprar[Insumo],_xlfn.AGGREGATE(15,6,(Insumos_a_comprar[Planilla]=E$1)/(Insumos_a_comprar[Planilla]=E$1)*ROW(Insumos_a_comprar[Planilla])-ROW(Insumos_a_comprar[[#Headers],[Planilla]]),ROWS('Insumos a comprar'!$B$5:G36))),"")</f>
        <v/>
      </c>
      <c r="F33" s="29" t="str">
        <f>IF(ROWS('Insumos a comprar'!$B$5:H36)&lt;=COUNTIF(Insumos_a_comprar[Planilla],F$1),INDEX(Insumos_a_comprar[Insumo],_xlfn.AGGREGATE(15,6,(Insumos_a_comprar[Planilla]=F$1)/(Insumos_a_comprar[Planilla]=F$1)*ROW(Insumos_a_comprar[Planilla])-ROW(Insumos_a_comprar[[#Headers],[Planilla]]),ROWS('Insumos a comprar'!$B$5:H36))),"")</f>
        <v/>
      </c>
      <c r="G33" s="29" t="str">
        <f>IF(ROWS('Insumos a comprar'!$B$5:I36)&lt;=COUNTIF(Insumos_a_comprar[Planilla],G$1),INDEX(Insumos_a_comprar[Insumo],_xlfn.AGGREGATE(15,6,(Insumos_a_comprar[Planilla]=G$1)/(Insumos_a_comprar[Planilla]=G$1)*ROW(Insumos_a_comprar[Planilla])-ROW(Insumos_a_comprar[[#Headers],[Planilla]]),ROWS('Insumos a comprar'!$B$5:I36))),"")</f>
        <v/>
      </c>
      <c r="H33" s="29" t="str">
        <f>IF(ROWS('Insumos a comprar'!$B$5:I36)&lt;=COUNTIF(Insumos_a_comprar[Planilla],H$1),INDEX(Insumos_a_comprar[Insumo],_xlfn.AGGREGATE(15,6,(Insumos_a_comprar[Planilla]=H$1)/(Insumos_a_comprar[Planilla]=H$1)*ROW(Insumos_a_comprar[Planilla])-ROW(Insumos_a_comprar[[#Headers],[Planilla]]),ROWS('Insumos a comprar'!$B$5:I36))),"")</f>
        <v>Desecadores Plástico Chico</v>
      </c>
      <c r="I33" s="29" t="str">
        <f>IF(ROWS('Insumos a comprar'!$B$5:I36)&lt;=COUNTIF(Insumos_a_comprar[Planilla],I$1),INDEX(Insumos_a_comprar[Insumo],_xlfn.AGGREGATE(15,6,(Insumos_a_comprar[Planilla]=I$1)/(Insumos_a_comprar[Planilla]=I$1)*ROW(Insumos_a_comprar[Planilla])-ROW(Insumos_a_comprar[[#Headers],[Planilla]]),ROWS('Insumos a comprar'!$B$5:I36))),"")</f>
        <v/>
      </c>
      <c r="J33" s="29" t="str">
        <f>IF(ROWS('Insumos a comprar'!$B$5:I36)&lt;=COUNTIF(Insumos_a_comprar[Planilla],J$1),INDEX(Insumos_a_comprar[Insumo],_xlfn.AGGREGATE(15,6,(Insumos_a_comprar[Planilla]=J$1)/(Insumos_a_comprar[Planilla]=J$1)*ROW(Insumos_a_comprar[Planilla])-ROW(Insumos_a_comprar[[#Headers],[Planilla]]),ROWS('Insumos a comprar'!$B$5:I36))),"")</f>
        <v>Liners Direct recuperado</v>
      </c>
      <c r="K33" s="29" t="str">
        <f>IF(ROWS('Insumos a comprar'!$B$5:I36)&lt;=COUNTIF(Insumos_a_comprar[Planilla],K$1),INDEX(Insumos_a_comprar[Insumo],_xlfn.AGGREGATE(15,6,(Insumos_a_comprar[Planilla]=K$1)/(Insumos_a_comprar[Planilla]=K$1)*ROW(Insumos_a_comprar[Planilla])-ROW(Insumos_a_comprar[[#Headers],[Planilla]]),ROWS('Insumos a comprar'!$B$5:I36))),"")</f>
        <v/>
      </c>
      <c r="L33" s="29" t="str">
        <f>IF(ROWS('Insumos a comprar'!$B$5:I36)&lt;=COUNTIF(Insumos_a_comprar[Planilla],L$1),INDEX(Insumos_a_comprar[Insumo],_xlfn.AGGREGATE(15,6,(Insumos_a_comprar[Planilla]=L$1)/(Insumos_a_comprar[Planilla]=L$1)*ROW(Insumos_a_comprar[Planilla])-ROW(Insumos_a_comprar[[#Headers],[Planilla]]),ROWS('Insumos a comprar'!$B$5:I36))),"")</f>
        <v/>
      </c>
      <c r="M33" s="29"/>
      <c r="N33" s="29"/>
      <c r="O33" s="29"/>
      <c r="P33" s="29"/>
      <c r="Q33" s="29"/>
    </row>
    <row r="34" spans="1:17" ht="47.25" x14ac:dyDescent="0.25">
      <c r="A34" s="29" t="str">
        <f>IF(ROWS('Insumos a comprar'!$B$5:B37)&lt;=COUNTIF(Insumos_a_comprar[Planilla],A$1),INDEX(Insumos_a_comprar[Insumo],_xlfn.AGGREGATE(15,6,(Insumos_a_comprar[Planilla]=A$1)/(Insumos_a_comprar[Planilla]=A$1)*ROW(Insumos_a_comprar[Planilla])-ROW(Insumos_a_comprar[[#Headers],[Planilla]]),ROWS('Insumos a comprar'!$B$5:B37))),"")</f>
        <v>Potasio cloruro (KCL)</v>
      </c>
      <c r="B34" s="29" t="str">
        <f>IF(ROWS('Insumos a comprar'!$B$5:B37)&lt;=COUNTIF(Insumos_a_comprar[Planilla],B$1),INDEX(Insumos_a_comprar[Insumo],_xlfn.AGGREGATE(15,6,(Insumos_a_comprar[Planilla]=B$1)/(Insumos_a_comprar[Planilla]=B$1)*ROW(Insumos_a_comprar[Planilla])-ROW(Insumos_a_comprar[[#Headers],[Planilla]]),ROWS('Insumos a comprar'!$B$5:B37))),"")</f>
        <v xml:space="preserve">Inhibidor de nitrificación </v>
      </c>
      <c r="C34" s="29" t="str">
        <f>IF(ROWS('Insumos a comprar'!$B$5:E37)&lt;=COUNTIF(Insumos_a_comprar[Planilla],C$1),INDEX(Insumos_a_comprar[Insumo],_xlfn.AGGREGATE(15,6,(Insumos_a_comprar[Planilla]=C$1)/(Insumos_a_comprar[Planilla]=C$1)*ROW(Insumos_a_comprar[Planilla])-ROW(Insumos_a_comprar[[#Headers],[Planilla]]),ROWS('Insumos a comprar'!$B$5:E37))),"")</f>
        <v/>
      </c>
      <c r="D34" s="29" t="str">
        <f>IF(ROWS('Insumos a comprar'!$B$5:F37)&lt;=COUNTIF(Insumos_a_comprar[Planilla],D$1),INDEX(Insumos_a_comprar[Insumo],_xlfn.AGGREGATE(15,6,(Insumos_a_comprar[Planilla]=D$1)/(Insumos_a_comprar[Planilla]=D$1)*ROW(Insumos_a_comprar[Planilla])-ROW(Insumos_a_comprar[[#Headers],[Planilla]]),ROWS('Insumos a comprar'!$B$5:F37))),"")</f>
        <v>Metil etil cetona/ butanona/MEC</v>
      </c>
      <c r="E34" s="29" t="str">
        <f>IF(ROWS('Insumos a comprar'!$B$5:G37)&lt;=COUNTIF(Insumos_a_comprar[Planilla],E$1),INDEX(Insumos_a_comprar[Insumo],_xlfn.AGGREGATE(15,6,(Insumos_a_comprar[Planilla]=E$1)/(Insumos_a_comprar[Planilla]=E$1)*ROW(Insumos_a_comprar[Planilla])-ROW(Insumos_a_comprar[[#Headers],[Planilla]]),ROWS('Insumos a comprar'!$B$5:G37))),"")</f>
        <v/>
      </c>
      <c r="F34" s="29" t="str">
        <f>IF(ROWS('Insumos a comprar'!$B$5:H37)&lt;=COUNTIF(Insumos_a_comprar[Planilla],F$1),INDEX(Insumos_a_comprar[Insumo],_xlfn.AGGREGATE(15,6,(Insumos_a_comprar[Planilla]=F$1)/(Insumos_a_comprar[Planilla]=F$1)*ROW(Insumos_a_comprar[Planilla])-ROW(Insumos_a_comprar[[#Headers],[Planilla]]),ROWS('Insumos a comprar'!$B$5:H37))),"")</f>
        <v/>
      </c>
      <c r="G34" s="29" t="str">
        <f>IF(ROWS('Insumos a comprar'!$B$5:I37)&lt;=COUNTIF(Insumos_a_comprar[Planilla],G$1),INDEX(Insumos_a_comprar[Insumo],_xlfn.AGGREGATE(15,6,(Insumos_a_comprar[Planilla]=G$1)/(Insumos_a_comprar[Planilla]=G$1)*ROW(Insumos_a_comprar[Planilla])-ROW(Insumos_a_comprar[[#Headers],[Planilla]]),ROWS('Insumos a comprar'!$B$5:I37))),"")</f>
        <v/>
      </c>
      <c r="H34" s="29" t="str">
        <f>IF(ROWS('Insumos a comprar'!$B$5:I37)&lt;=COUNTIF(Insumos_a_comprar[Planilla],H$1),INDEX(Insumos_a_comprar[Insumo],_xlfn.AGGREGATE(15,6,(Insumos_a_comprar[Planilla]=H$1)/(Insumos_a_comprar[Planilla]=H$1)*ROW(Insumos_a_comprar[Planilla])-ROW(Insumos_a_comprar[[#Headers],[Planilla]]),ROWS('Insumos a comprar'!$B$5:I37))),"")</f>
        <v>Desecadores Vidrio Grande</v>
      </c>
      <c r="I34" s="29" t="str">
        <f>IF(ROWS('Insumos a comprar'!$B$5:I37)&lt;=COUNTIF(Insumos_a_comprar[Planilla],I$1),INDEX(Insumos_a_comprar[Insumo],_xlfn.AGGREGATE(15,6,(Insumos_a_comprar[Planilla]=I$1)/(Insumos_a_comprar[Planilla]=I$1)*ROW(Insumos_a_comprar[Planilla])-ROW(Insumos_a_comprar[[#Headers],[Planilla]]),ROWS('Insumos a comprar'!$B$5:I37))),"")</f>
        <v/>
      </c>
      <c r="J34" s="29" t="str">
        <f>IF(ROWS('Insumos a comprar'!$B$5:I37)&lt;=COUNTIF(Insumos_a_comprar[Planilla],J$1),INDEX(Insumos_a_comprar[Insumo],_xlfn.AGGREGATE(15,6,(Insumos_a_comprar[Planilla]=J$1)/(Insumos_a_comprar[Planilla]=J$1)*ROW(Insumos_a_comprar[Planilla])-ROW(Insumos_a_comprar[[#Headers],[Planilla]]),ROWS('Insumos a comprar'!$B$5:I37))),"")</f>
        <v>Liners Split nuevos</v>
      </c>
      <c r="K34" s="29" t="str">
        <f>IF(ROWS('Insumos a comprar'!$B$5:I37)&lt;=COUNTIF(Insumos_a_comprar[Planilla],K$1),INDEX(Insumos_a_comprar[Insumo],_xlfn.AGGREGATE(15,6,(Insumos_a_comprar[Planilla]=K$1)/(Insumos_a_comprar[Planilla]=K$1)*ROW(Insumos_a_comprar[Planilla])-ROW(Insumos_a_comprar[[#Headers],[Planilla]]),ROWS('Insumos a comprar'!$B$5:I37))),"")</f>
        <v/>
      </c>
      <c r="L34" s="29" t="str">
        <f>IF(ROWS('Insumos a comprar'!$B$5:I37)&lt;=COUNTIF(Insumos_a_comprar[Planilla],L$1),INDEX(Insumos_a_comprar[Insumo],_xlfn.AGGREGATE(15,6,(Insumos_a_comprar[Planilla]=L$1)/(Insumos_a_comprar[Planilla]=L$1)*ROW(Insumos_a_comprar[Planilla])-ROW(Insumos_a_comprar[[#Headers],[Planilla]]),ROWS('Insumos a comprar'!$B$5:I37))),"")</f>
        <v/>
      </c>
      <c r="M34" s="29"/>
      <c r="N34" s="29"/>
      <c r="O34" s="29"/>
      <c r="P34" s="29"/>
      <c r="Q34" s="29"/>
    </row>
    <row r="35" spans="1:17" ht="63" x14ac:dyDescent="0.25">
      <c r="A35" s="29" t="str">
        <f>IF(ROWS('Insumos a comprar'!$B$5:B38)&lt;=COUNTIF(Insumos_a_comprar[Planilla],A$1),INDEX(Insumos_a_comprar[Insumo],_xlfn.AGGREGATE(15,6,(Insumos_a_comprar[Planilla]=A$1)/(Insumos_a_comprar[Planilla]=A$1)*ROW(Insumos_a_comprar[Planilla])-ROW(Insumos_a_comprar[[#Headers],[Planilla]]),ROWS('Insumos a comprar'!$B$5:B38))),"")</f>
        <v>Potasio cromato (K2CrO4)</v>
      </c>
      <c r="B35" s="29" t="str">
        <f>IF(ROWS('Insumos a comprar'!$B$5:B38)&lt;=COUNTIF(Insumos_a_comprar[Planilla],B$1),INDEX(Insumos_a_comprar[Insumo],_xlfn.AGGREGATE(15,6,(Insumos_a_comprar[Planilla]=B$1)/(Insumos_a_comprar[Planilla]=B$1)*ROW(Insumos_a_comprar[Planilla])-ROW(Insumos_a_comprar[[#Headers],[Planilla]]),ROWS('Insumos a comprar'!$B$5:B38))),"")</f>
        <v>Iodo</v>
      </c>
      <c r="C35" s="29" t="str">
        <f>IF(ROWS('Insumos a comprar'!$B$5:E38)&lt;=COUNTIF(Insumos_a_comprar[Planilla],C$1),INDEX(Insumos_a_comprar[Insumo],_xlfn.AGGREGATE(15,6,(Insumos_a_comprar[Planilla]=C$1)/(Insumos_a_comprar[Planilla]=C$1)*ROW(Insumos_a_comprar[Planilla])-ROW(Insumos_a_comprar[[#Headers],[Planilla]]),ROWS('Insumos a comprar'!$B$5:E38))),"")</f>
        <v/>
      </c>
      <c r="D35" s="29" t="str">
        <f>IF(ROWS('Insumos a comprar'!$B$5:F38)&lt;=COUNTIF(Insumos_a_comprar[Planilla],D$1),INDEX(Insumos_a_comprar[Insumo],_xlfn.AGGREGATE(15,6,(Insumos_a_comprar[Planilla]=D$1)/(Insumos_a_comprar[Planilla]=D$1)*ROW(Insumos_a_comprar[Planilla])-ROW(Insumos_a_comprar[[#Headers],[Planilla]]),ROWS('Insumos a comprar'!$B$5:F38))),"")</f>
        <v>Metil isobutil cetona</v>
      </c>
      <c r="E35" s="29" t="str">
        <f>IF(ROWS('Insumos a comprar'!$B$5:G38)&lt;=COUNTIF(Insumos_a_comprar[Planilla],E$1),INDEX(Insumos_a_comprar[Insumo],_xlfn.AGGREGATE(15,6,(Insumos_a_comprar[Planilla]=E$1)/(Insumos_a_comprar[Planilla]=E$1)*ROW(Insumos_a_comprar[Planilla])-ROW(Insumos_a_comprar[[#Headers],[Planilla]]),ROWS('Insumos a comprar'!$B$5:G38))),"")</f>
        <v/>
      </c>
      <c r="F35" s="29" t="str">
        <f>IF(ROWS('Insumos a comprar'!$B$5:H38)&lt;=COUNTIF(Insumos_a_comprar[Planilla],F$1),INDEX(Insumos_a_comprar[Insumo],_xlfn.AGGREGATE(15,6,(Insumos_a_comprar[Planilla]=F$1)/(Insumos_a_comprar[Planilla]=F$1)*ROW(Insumos_a_comprar[Planilla])-ROW(Insumos_a_comprar[[#Headers],[Planilla]]),ROWS('Insumos a comprar'!$B$5:H38))),"")</f>
        <v/>
      </c>
      <c r="G35" s="29" t="str">
        <f>IF(ROWS('Insumos a comprar'!$B$5:I38)&lt;=COUNTIF(Insumos_a_comprar[Planilla],G$1),INDEX(Insumos_a_comprar[Insumo],_xlfn.AGGREGATE(15,6,(Insumos_a_comprar[Planilla]=G$1)/(Insumos_a_comprar[Planilla]=G$1)*ROW(Insumos_a_comprar[Planilla])-ROW(Insumos_a_comprar[[#Headers],[Planilla]]),ROWS('Insumos a comprar'!$B$5:I38))),"")</f>
        <v/>
      </c>
      <c r="H35" s="29" t="str">
        <f>IF(ROWS('Insumos a comprar'!$B$5:I38)&lt;=COUNTIF(Insumos_a_comprar[Planilla],H$1),INDEX(Insumos_a_comprar[Insumo],_xlfn.AGGREGATE(15,6,(Insumos_a_comprar[Planilla]=H$1)/(Insumos_a_comprar[Planilla]=H$1)*ROW(Insumos_a_comprar[Planilla])-ROW(Insumos_a_comprar[[#Headers],[Planilla]]),ROWS('Insumos a comprar'!$B$5:I38))),"")</f>
        <v>Embudos Buchner chico</v>
      </c>
      <c r="I35" s="29" t="str">
        <f>IF(ROWS('Insumos a comprar'!$B$5:I38)&lt;=COUNTIF(Insumos_a_comprar[Planilla],I$1),INDEX(Insumos_a_comprar[Insumo],_xlfn.AGGREGATE(15,6,(Insumos_a_comprar[Planilla]=I$1)/(Insumos_a_comprar[Planilla]=I$1)*ROW(Insumos_a_comprar[Planilla])-ROW(Insumos_a_comprar[[#Headers],[Planilla]]),ROWS('Insumos a comprar'!$B$5:I38))),"")</f>
        <v/>
      </c>
      <c r="J35" s="29" t="str">
        <f>IF(ROWS('Insumos a comprar'!$B$5:I38)&lt;=COUNTIF(Insumos_a_comprar[Planilla],J$1),INDEX(Insumos_a_comprar[Insumo],_xlfn.AGGREGATE(15,6,(Insumos_a_comprar[Planilla]=J$1)/(Insumos_a_comprar[Planilla]=J$1)*ROW(Insumos_a_comprar[Planilla])-ROW(Insumos_a_comprar[[#Headers],[Planilla]]),ROWS('Insumos a comprar'!$B$5:I38))),"")</f>
        <v>Liners Split recuperados</v>
      </c>
      <c r="K35" s="29" t="str">
        <f>IF(ROWS('Insumos a comprar'!$B$5:I38)&lt;=COUNTIF(Insumos_a_comprar[Planilla],K$1),INDEX(Insumos_a_comprar[Insumo],_xlfn.AGGREGATE(15,6,(Insumos_a_comprar[Planilla]=K$1)/(Insumos_a_comprar[Planilla]=K$1)*ROW(Insumos_a_comprar[Planilla])-ROW(Insumos_a_comprar[[#Headers],[Planilla]]),ROWS('Insumos a comprar'!$B$5:I38))),"")</f>
        <v/>
      </c>
      <c r="L35" s="29" t="str">
        <f>IF(ROWS('Insumos a comprar'!$B$5:I38)&lt;=COUNTIF(Insumos_a_comprar[Planilla],L$1),INDEX(Insumos_a_comprar[Insumo],_xlfn.AGGREGATE(15,6,(Insumos_a_comprar[Planilla]=L$1)/(Insumos_a_comprar[Planilla]=L$1)*ROW(Insumos_a_comprar[Planilla])-ROW(Insumos_a_comprar[[#Headers],[Planilla]]),ROWS('Insumos a comprar'!$B$5:I38))),"")</f>
        <v/>
      </c>
      <c r="M35" s="29"/>
      <c r="N35" s="29"/>
      <c r="O35" s="29"/>
      <c r="P35" s="29"/>
      <c r="Q35" s="29"/>
    </row>
    <row r="36" spans="1:17" ht="47.25" x14ac:dyDescent="0.25">
      <c r="A36" s="29" t="str">
        <f>IF(ROWS('Insumos a comprar'!$B$5:B39)&lt;=COUNTIF(Insumos_a_comprar[Planilla],A$1),INDEX(Insumos_a_comprar[Insumo],_xlfn.AGGREGATE(15,6,(Insumos_a_comprar[Planilla]=A$1)/(Insumos_a_comprar[Planilla]=A$1)*ROW(Insumos_a_comprar[Planilla])-ROW(Insumos_a_comprar[[#Headers],[Planilla]]),ROWS('Insumos a comprar'!$B$5:B39))),"")</f>
        <v>Potasio ferricianuro (K3Fe(CN)6)</v>
      </c>
      <c r="B36" s="29" t="str">
        <f>IF(ROWS('Insumos a comprar'!$B$5:B39)&lt;=COUNTIF(Insumos_a_comprar[Planilla],B$1),INDEX(Insumos_a_comprar[Insumo],_xlfn.AGGREGATE(15,6,(Insumos_a_comprar[Planilla]=B$1)/(Insumos_a_comprar[Planilla]=B$1)*ROW(Insumos_a_comprar[Planilla])-ROW(Insumos_a_comprar[[#Headers],[Planilla]]),ROWS('Insumos a comprar'!$B$5:B39))),"")</f>
        <v>Lantano (III ) oxido  (La2O3)</v>
      </c>
      <c r="C36" s="29" t="str">
        <f>IF(ROWS('Insumos a comprar'!$B$5:E39)&lt;=COUNTIF(Insumos_a_comprar[Planilla],C$1),INDEX(Insumos_a_comprar[Insumo],_xlfn.AGGREGATE(15,6,(Insumos_a_comprar[Planilla]=C$1)/(Insumos_a_comprar[Planilla]=C$1)*ROW(Insumos_a_comprar[Planilla])-ROW(Insumos_a_comprar[[#Headers],[Planilla]]),ROWS('Insumos a comprar'!$B$5:E39))),"")</f>
        <v/>
      </c>
      <c r="D36" s="29" t="str">
        <f>IF(ROWS('Insumos a comprar'!$B$5:F39)&lt;=COUNTIF(Insumos_a_comprar[Planilla],D$1),INDEX(Insumos_a_comprar[Insumo],_xlfn.AGGREGATE(15,6,(Insumos_a_comprar[Planilla]=D$1)/(Insumos_a_comprar[Planilla]=D$1)*ROW(Insumos_a_comprar[Planilla])-ROW(Insumos_a_comprar[[#Headers],[Planilla]]),ROWS('Insumos a comprar'!$B$5:F39))),"")</f>
        <v>N-Heptano</v>
      </c>
      <c r="E36" s="29" t="str">
        <f>IF(ROWS('Insumos a comprar'!$B$5:G39)&lt;=COUNTIF(Insumos_a_comprar[Planilla],E$1),INDEX(Insumos_a_comprar[Insumo],_xlfn.AGGREGATE(15,6,(Insumos_a_comprar[Planilla]=E$1)/(Insumos_a_comprar[Planilla]=E$1)*ROW(Insumos_a_comprar[Planilla])-ROW(Insumos_a_comprar[[#Headers],[Planilla]]),ROWS('Insumos a comprar'!$B$5:G39))),"")</f>
        <v/>
      </c>
      <c r="F36" s="29" t="str">
        <f>IF(ROWS('Insumos a comprar'!$B$5:H39)&lt;=COUNTIF(Insumos_a_comprar[Planilla],F$1),INDEX(Insumos_a_comprar[Insumo],_xlfn.AGGREGATE(15,6,(Insumos_a_comprar[Planilla]=F$1)/(Insumos_a_comprar[Planilla]=F$1)*ROW(Insumos_a_comprar[Planilla])-ROW(Insumos_a_comprar[[#Headers],[Planilla]]),ROWS('Insumos a comprar'!$B$5:H39))),"")</f>
        <v/>
      </c>
      <c r="G36" s="29" t="str">
        <f>IF(ROWS('Insumos a comprar'!$B$5:I39)&lt;=COUNTIF(Insumos_a_comprar[Planilla],G$1),INDEX(Insumos_a_comprar[Insumo],_xlfn.AGGREGATE(15,6,(Insumos_a_comprar[Planilla]=G$1)/(Insumos_a_comprar[Planilla]=G$1)*ROW(Insumos_a_comprar[Planilla])-ROW(Insumos_a_comprar[[#Headers],[Planilla]]),ROWS('Insumos a comprar'!$B$5:I39))),"")</f>
        <v/>
      </c>
      <c r="H36" s="29" t="str">
        <f>IF(ROWS('Insumos a comprar'!$B$5:I39)&lt;=COUNTIF(Insumos_a_comprar[Planilla],H$1),INDEX(Insumos_a_comprar[Insumo],_xlfn.AGGREGATE(15,6,(Insumos_a_comprar[Planilla]=H$1)/(Insumos_a_comprar[Planilla]=H$1)*ROW(Insumos_a_comprar[Planilla])-ROW(Insumos_a_comprar[[#Headers],[Planilla]]),ROWS('Insumos a comprar'!$B$5:I39))),"")</f>
        <v>Embudos Buchner grande</v>
      </c>
      <c r="I36" s="29" t="str">
        <f>IF(ROWS('Insumos a comprar'!$B$5:I39)&lt;=COUNTIF(Insumos_a_comprar[Planilla],I$1),INDEX(Insumos_a_comprar[Insumo],_xlfn.AGGREGATE(15,6,(Insumos_a_comprar[Planilla]=I$1)/(Insumos_a_comprar[Planilla]=I$1)*ROW(Insumos_a_comprar[Planilla])-ROW(Insumos_a_comprar[[#Headers],[Planilla]]),ROWS('Insumos a comprar'!$B$5:I39))),"")</f>
        <v/>
      </c>
      <c r="J36" s="29" t="str">
        <f>IF(ROWS('Insumos a comprar'!$B$5:I39)&lt;=COUNTIF(Insumos_a_comprar[Planilla],J$1),INDEX(Insumos_a_comprar[Insumo],_xlfn.AGGREGATE(15,6,(Insumos_a_comprar[Planilla]=J$1)/(Insumos_a_comprar[Planilla]=J$1)*ROW(Insumos_a_comprar[Planilla])-ROW(Insumos_a_comprar[[#Headers],[Planilla]]),ROWS('Insumos a comprar'!$B$5:I39))),"")</f>
        <v>Liners Splitless nuevos</v>
      </c>
      <c r="K36" s="29" t="str">
        <f>IF(ROWS('Insumos a comprar'!$B$5:I39)&lt;=COUNTIF(Insumos_a_comprar[Planilla],K$1),INDEX(Insumos_a_comprar[Insumo],_xlfn.AGGREGATE(15,6,(Insumos_a_comprar[Planilla]=K$1)/(Insumos_a_comprar[Planilla]=K$1)*ROW(Insumos_a_comprar[Planilla])-ROW(Insumos_a_comprar[[#Headers],[Planilla]]),ROWS('Insumos a comprar'!$B$5:I39))),"")</f>
        <v/>
      </c>
      <c r="L36" s="29" t="str">
        <f>IF(ROWS('Insumos a comprar'!$B$5:I39)&lt;=COUNTIF(Insumos_a_comprar[Planilla],L$1),INDEX(Insumos_a_comprar[Insumo],_xlfn.AGGREGATE(15,6,(Insumos_a_comprar[Planilla]=L$1)/(Insumos_a_comprar[Planilla]=L$1)*ROW(Insumos_a_comprar[Planilla])-ROW(Insumos_a_comprar[[#Headers],[Planilla]]),ROWS('Insumos a comprar'!$B$5:I39))),"")</f>
        <v/>
      </c>
      <c r="M36" s="29"/>
      <c r="N36" s="29"/>
      <c r="O36" s="29"/>
      <c r="P36" s="29"/>
      <c r="Q36" s="29"/>
    </row>
    <row r="37" spans="1:17" ht="63" x14ac:dyDescent="0.25">
      <c r="A37" s="29" t="str">
        <f>IF(ROWS('Insumos a comprar'!$B$5:B40)&lt;=COUNTIF(Insumos_a_comprar[Planilla],A$1),INDEX(Insumos_a_comprar[Insumo],_xlfn.AGGREGATE(15,6,(Insumos_a_comprar[Planilla]=A$1)/(Insumos_a_comprar[Planilla]=A$1)*ROW(Insumos_a_comprar[Planilla])-ROW(Insumos_a_comprar[[#Headers],[Planilla]]),ROWS('Insumos a comprar'!$B$5:B40))),"")</f>
        <v>Potasio fosfato dibásico</v>
      </c>
      <c r="B37" s="29" t="str">
        <f>IF(ROWS('Insumos a comprar'!$B$5:B40)&lt;=COUNTIF(Insumos_a_comprar[Planilla],B$1),INDEX(Insumos_a_comprar[Insumo],_xlfn.AGGREGATE(15,6,(Insumos_a_comprar[Planilla]=B$1)/(Insumos_a_comprar[Planilla]=B$1)*ROW(Insumos_a_comprar[Planilla])-ROW(Insumos_a_comprar[[#Headers],[Planilla]]),ROWS('Insumos a comprar'!$B$5:B40))),"")</f>
        <v>Magnesio sulfato  (MgSO4.2H2O)</v>
      </c>
      <c r="C37" s="29" t="str">
        <f>IF(ROWS('Insumos a comprar'!$B$5:E40)&lt;=COUNTIF(Insumos_a_comprar[Planilla],C$1),INDEX(Insumos_a_comprar[Insumo],_xlfn.AGGREGATE(15,6,(Insumos_a_comprar[Planilla]=C$1)/(Insumos_a_comprar[Planilla]=C$1)*ROW(Insumos_a_comprar[Planilla])-ROW(Insumos_a_comprar[[#Headers],[Planilla]]),ROWS('Insumos a comprar'!$B$5:E40))),"")</f>
        <v/>
      </c>
      <c r="D37" s="29" t="str">
        <f>IF(ROWS('Insumos a comprar'!$B$5:F40)&lt;=COUNTIF(Insumos_a_comprar[Planilla],D$1),INDEX(Insumos_a_comprar[Insumo],_xlfn.AGGREGATE(15,6,(Insumos_a_comprar[Planilla]=D$1)/(Insumos_a_comprar[Planilla]=D$1)*ROW(Insumos_a_comprar[Planilla])-ROW(Insumos_a_comprar[[#Headers],[Planilla]]),ROWS('Insumos a comprar'!$B$5:F40))),"")</f>
        <v>N-Hexano</v>
      </c>
      <c r="E37" s="29" t="str">
        <f>IF(ROWS('Insumos a comprar'!$B$5:G40)&lt;=COUNTIF(Insumos_a_comprar[Planilla],E$1),INDEX(Insumos_a_comprar[Insumo],_xlfn.AGGREGATE(15,6,(Insumos_a_comprar[Planilla]=E$1)/(Insumos_a_comprar[Planilla]=E$1)*ROW(Insumos_a_comprar[Planilla])-ROW(Insumos_a_comprar[[#Headers],[Planilla]]),ROWS('Insumos a comprar'!$B$5:G40))),"")</f>
        <v/>
      </c>
      <c r="F37" s="29" t="str">
        <f>IF(ROWS('Insumos a comprar'!$B$5:H40)&lt;=COUNTIF(Insumos_a_comprar[Planilla],F$1),INDEX(Insumos_a_comprar[Insumo],_xlfn.AGGREGATE(15,6,(Insumos_a_comprar[Planilla]=F$1)/(Insumos_a_comprar[Planilla]=F$1)*ROW(Insumos_a_comprar[Planilla])-ROW(Insumos_a_comprar[[#Headers],[Planilla]]),ROWS('Insumos a comprar'!$B$5:H40))),"")</f>
        <v/>
      </c>
      <c r="G37" s="29" t="str">
        <f>IF(ROWS('Insumos a comprar'!$B$5:I40)&lt;=COUNTIF(Insumos_a_comprar[Planilla],G$1),INDEX(Insumos_a_comprar[Insumo],_xlfn.AGGREGATE(15,6,(Insumos_a_comprar[Planilla]=G$1)/(Insumos_a_comprar[Planilla]=G$1)*ROW(Insumos_a_comprar[Planilla])-ROW(Insumos_a_comprar[[#Headers],[Planilla]]),ROWS('Insumos a comprar'!$B$5:I40))),"")</f>
        <v/>
      </c>
      <c r="H37" s="29" t="str">
        <f>IF(ROWS('Insumos a comprar'!$B$5:I40)&lt;=COUNTIF(Insumos_a_comprar[Planilla],H$1),INDEX(Insumos_a_comprar[Insumo],_xlfn.AGGREGATE(15,6,(Insumos_a_comprar[Planilla]=H$1)/(Insumos_a_comprar[Planilla]=H$1)*ROW(Insumos_a_comprar[Planilla])-ROW(Insumos_a_comprar[[#Headers],[Planilla]]),ROWS('Insumos a comprar'!$B$5:I40))),"")</f>
        <v>Embudos Plástico chico</v>
      </c>
      <c r="I37" s="29" t="str">
        <f>IF(ROWS('Insumos a comprar'!$B$5:I40)&lt;=COUNTIF(Insumos_a_comprar[Planilla],I$1),INDEX(Insumos_a_comprar[Insumo],_xlfn.AGGREGATE(15,6,(Insumos_a_comprar[Planilla]=I$1)/(Insumos_a_comprar[Planilla]=I$1)*ROW(Insumos_a_comprar[Planilla])-ROW(Insumos_a_comprar[[#Headers],[Planilla]]),ROWS('Insumos a comprar'!$B$5:I40))),"")</f>
        <v/>
      </c>
      <c r="J37" s="29" t="str">
        <f>IF(ROWS('Insumos a comprar'!$B$5:I40)&lt;=COUNTIF(Insumos_a_comprar[Planilla],J$1),INDEX(Insumos_a_comprar[Insumo],_xlfn.AGGREGATE(15,6,(Insumos_a_comprar[Planilla]=J$1)/(Insumos_a_comprar[Planilla]=J$1)*ROW(Insumos_a_comprar[Planilla])-ROW(Insumos_a_comprar[[#Headers],[Planilla]]),ROWS('Insumos a comprar'!$B$5:I40))),"")</f>
        <v>Liners Splitless recuperados</v>
      </c>
      <c r="K37" s="29" t="str">
        <f>IF(ROWS('Insumos a comprar'!$B$5:I40)&lt;=COUNTIF(Insumos_a_comprar[Planilla],K$1),INDEX(Insumos_a_comprar[Insumo],_xlfn.AGGREGATE(15,6,(Insumos_a_comprar[Planilla]=K$1)/(Insumos_a_comprar[Planilla]=K$1)*ROW(Insumos_a_comprar[Planilla])-ROW(Insumos_a_comprar[[#Headers],[Planilla]]),ROWS('Insumos a comprar'!$B$5:I40))),"")</f>
        <v/>
      </c>
      <c r="L37" s="29" t="str">
        <f>IF(ROWS('Insumos a comprar'!$B$5:I40)&lt;=COUNTIF(Insumos_a_comprar[Planilla],L$1),INDEX(Insumos_a_comprar[Insumo],_xlfn.AGGREGATE(15,6,(Insumos_a_comprar[Planilla]=L$1)/(Insumos_a_comprar[Planilla]=L$1)*ROW(Insumos_a_comprar[Planilla])-ROW(Insumos_a_comprar[[#Headers],[Planilla]]),ROWS('Insumos a comprar'!$B$5:I40))),"")</f>
        <v/>
      </c>
      <c r="M37" s="29"/>
      <c r="N37" s="29"/>
      <c r="O37" s="29"/>
      <c r="P37" s="29"/>
      <c r="Q37" s="29"/>
    </row>
    <row r="38" spans="1:17" ht="63" x14ac:dyDescent="0.25">
      <c r="A38" s="29" t="str">
        <f>IF(ROWS('Insumos a comprar'!$B$5:B41)&lt;=COUNTIF(Insumos_a_comprar[Planilla],A$1),INDEX(Insumos_a_comprar[Insumo],_xlfn.AGGREGATE(15,6,(Insumos_a_comprar[Planilla]=A$1)/(Insumos_a_comprar[Planilla]=A$1)*ROW(Insumos_a_comprar[Planilla])-ROW(Insumos_a_comprar[[#Headers],[Planilla]]),ROWS('Insumos a comprar'!$B$5:B41))),"")</f>
        <v>Potasio fosfato monobásico  (KH2PO4)</v>
      </c>
      <c r="B38" s="29" t="str">
        <f>IF(ROWS('Insumos a comprar'!$B$5:B41)&lt;=COUNTIF(Insumos_a_comprar[Planilla],B$1),INDEX(Insumos_a_comprar[Insumo],_xlfn.AGGREGATE(15,6,(Insumos_a_comprar[Planilla]=B$1)/(Insumos_a_comprar[Planilla]=B$1)*ROW(Insumos_a_comprar[Planilla])-ROW(Insumos_a_comprar[[#Headers],[Planilla]]),ROWS('Insumos a comprar'!$B$5:B41))),"")</f>
        <v>Manganeso sulfato (MnSO4.H2O)</v>
      </c>
      <c r="C38" s="29" t="str">
        <f>IF(ROWS('Insumos a comprar'!$B$5:E41)&lt;=COUNTIF(Insumos_a_comprar[Planilla],C$1),INDEX(Insumos_a_comprar[Insumo],_xlfn.AGGREGATE(15,6,(Insumos_a_comprar[Planilla]=C$1)/(Insumos_a_comprar[Planilla]=C$1)*ROW(Insumos_a_comprar[Planilla])-ROW(Insumos_a_comprar[[#Headers],[Planilla]]),ROWS('Insumos a comprar'!$B$5:E41))),"")</f>
        <v/>
      </c>
      <c r="D38" s="29" t="str">
        <f>IF(ROWS('Insumos a comprar'!$B$5:F41)&lt;=COUNTIF(Insumos_a_comprar[Planilla],D$1),INDEX(Insumos_a_comprar[Insumo],_xlfn.AGGREGATE(15,6,(Insumos_a_comprar[Planilla]=D$1)/(Insumos_a_comprar[Planilla]=D$1)*ROW(Insumos_a_comprar[Planilla])-ROW(Insumos_a_comprar[[#Headers],[Planilla]]),ROWS('Insumos a comprar'!$B$5:F41))),"")</f>
        <v>N-Pentano</v>
      </c>
      <c r="E38" s="29" t="str">
        <f>IF(ROWS('Insumos a comprar'!$B$5:G41)&lt;=COUNTIF(Insumos_a_comprar[Planilla],E$1),INDEX(Insumos_a_comprar[Insumo],_xlfn.AGGREGATE(15,6,(Insumos_a_comprar[Planilla]=E$1)/(Insumos_a_comprar[Planilla]=E$1)*ROW(Insumos_a_comprar[Planilla])-ROW(Insumos_a_comprar[[#Headers],[Planilla]]),ROWS('Insumos a comprar'!$B$5:G41))),"")</f>
        <v/>
      </c>
      <c r="F38" s="29" t="str">
        <f>IF(ROWS('Insumos a comprar'!$B$5:H41)&lt;=COUNTIF(Insumos_a_comprar[Planilla],F$1),INDEX(Insumos_a_comprar[Insumo],_xlfn.AGGREGATE(15,6,(Insumos_a_comprar[Planilla]=F$1)/(Insumos_a_comprar[Planilla]=F$1)*ROW(Insumos_a_comprar[Planilla])-ROW(Insumos_a_comprar[[#Headers],[Planilla]]),ROWS('Insumos a comprar'!$B$5:H41))),"")</f>
        <v/>
      </c>
      <c r="G38" s="29" t="str">
        <f>IF(ROWS('Insumos a comprar'!$B$5:I41)&lt;=COUNTIF(Insumos_a_comprar[Planilla],G$1),INDEX(Insumos_a_comprar[Insumo],_xlfn.AGGREGATE(15,6,(Insumos_a_comprar[Planilla]=G$1)/(Insumos_a_comprar[Planilla]=G$1)*ROW(Insumos_a_comprar[Planilla])-ROW(Insumos_a_comprar[[#Headers],[Planilla]]),ROWS('Insumos a comprar'!$B$5:I41))),"")</f>
        <v/>
      </c>
      <c r="H38" s="29" t="str">
        <f>IF(ROWS('Insumos a comprar'!$B$5:I41)&lt;=COUNTIF(Insumos_a_comprar[Planilla],H$1),INDEX(Insumos_a_comprar[Insumo],_xlfn.AGGREGATE(15,6,(Insumos_a_comprar[Planilla]=H$1)/(Insumos_a_comprar[Planilla]=H$1)*ROW(Insumos_a_comprar[Planilla])-ROW(Insumos_a_comprar[[#Headers],[Planilla]]),ROWS('Insumos a comprar'!$B$5:I41))),"")</f>
        <v>Embudos Plástico grande</v>
      </c>
      <c r="I38" s="29" t="str">
        <f>IF(ROWS('Insumos a comprar'!$B$5:I41)&lt;=COUNTIF(Insumos_a_comprar[Planilla],I$1),INDEX(Insumos_a_comprar[Insumo],_xlfn.AGGREGATE(15,6,(Insumos_a_comprar[Planilla]=I$1)/(Insumos_a_comprar[Planilla]=I$1)*ROW(Insumos_a_comprar[Planilla])-ROW(Insumos_a_comprar[[#Headers],[Planilla]]),ROWS('Insumos a comprar'!$B$5:I41))),"")</f>
        <v/>
      </c>
      <c r="J38" s="29" t="str">
        <f>IF(ROWS('Insumos a comprar'!$B$5:I41)&lt;=COUNTIF(Insumos_a_comprar[Planilla],J$1),INDEX(Insumos_a_comprar[Insumo],_xlfn.AGGREGATE(15,6,(Insumos_a_comprar[Planilla]=J$1)/(Insumos_a_comprar[Planilla]=J$1)*ROW(Insumos_a_comprar[Planilla])-ROW(Insumos_a_comprar[[#Headers],[Planilla]]),ROWS('Insumos a comprar'!$B$5:I41))),"")</f>
        <v>Liners Split-Splitless nuevos</v>
      </c>
      <c r="K38" s="29" t="str">
        <f>IF(ROWS('Insumos a comprar'!$B$5:I41)&lt;=COUNTIF(Insumos_a_comprar[Planilla],K$1),INDEX(Insumos_a_comprar[Insumo],_xlfn.AGGREGATE(15,6,(Insumos_a_comprar[Planilla]=K$1)/(Insumos_a_comprar[Planilla]=K$1)*ROW(Insumos_a_comprar[Planilla])-ROW(Insumos_a_comprar[[#Headers],[Planilla]]),ROWS('Insumos a comprar'!$B$5:I41))),"")</f>
        <v/>
      </c>
      <c r="L38" s="29" t="str">
        <f>IF(ROWS('Insumos a comprar'!$B$5:I41)&lt;=COUNTIF(Insumos_a_comprar[Planilla],L$1),INDEX(Insumos_a_comprar[Insumo],_xlfn.AGGREGATE(15,6,(Insumos_a_comprar[Planilla]=L$1)/(Insumos_a_comprar[Planilla]=L$1)*ROW(Insumos_a_comprar[Planilla])-ROW(Insumos_a_comprar[[#Headers],[Planilla]]),ROWS('Insumos a comprar'!$B$5:I41))),"")</f>
        <v/>
      </c>
      <c r="M38" s="29"/>
      <c r="N38" s="29"/>
      <c r="O38" s="29"/>
      <c r="P38" s="29"/>
      <c r="Q38" s="29"/>
    </row>
    <row r="39" spans="1:17" ht="78.75" x14ac:dyDescent="0.25">
      <c r="A39" s="29" t="str">
        <f>IF(ROWS('Insumos a comprar'!$B$5:B42)&lt;=COUNTIF(Insumos_a_comprar[Planilla],A$1),INDEX(Insumos_a_comprar[Insumo],_xlfn.AGGREGATE(15,6,(Insumos_a_comprar[Planilla]=A$1)/(Insumos_a_comprar[Planilla]=A$1)*ROW(Insumos_a_comprar[Planilla])-ROW(Insumos_a_comprar[[#Headers],[Planilla]]),ROWS('Insumos a comprar'!$B$5:B42))),"")</f>
        <v>Potasio hidroxido</v>
      </c>
      <c r="B39" s="29" t="str">
        <f>IF(ROWS('Insumos a comprar'!$B$5:B42)&lt;=COUNTIF(Insumos_a_comprar[Planilla],B$1),INDEX(Insumos_a_comprar[Insumo],_xlfn.AGGREGATE(15,6,(Insumos_a_comprar[Planilla]=B$1)/(Insumos_a_comprar[Planilla]=B$1)*ROW(Insumos_a_comprar[Planilla])-ROW(Insumos_a_comprar[[#Headers],[Planilla]]),ROWS('Insumos a comprar'!$B$5:B42))),"")</f>
        <v>Mercurio (III) ioduro  (HgI2)</v>
      </c>
      <c r="C39" s="29" t="str">
        <f>IF(ROWS('Insumos a comprar'!$B$5:E42)&lt;=COUNTIF(Insumos_a_comprar[Planilla],C$1),INDEX(Insumos_a_comprar[Insumo],_xlfn.AGGREGATE(15,6,(Insumos_a_comprar[Planilla]=C$1)/(Insumos_a_comprar[Planilla]=C$1)*ROW(Insumos_a_comprar[Planilla])-ROW(Insumos_a_comprar[[#Headers],[Planilla]]),ROWS('Insumos a comprar'!$B$5:E42))),"")</f>
        <v/>
      </c>
      <c r="D39" s="29" t="str">
        <f>IF(ROWS('Insumos a comprar'!$B$5:F42)&lt;=COUNTIF(Insumos_a_comprar[Planilla],D$1),INDEX(Insumos_a_comprar[Insumo],_xlfn.AGGREGATE(15,6,(Insumos_a_comprar[Planilla]=D$1)/(Insumos_a_comprar[Planilla]=D$1)*ROW(Insumos_a_comprar[Planilla])-ROW(Insumos_a_comprar[[#Headers],[Planilla]]),ROWS('Insumos a comprar'!$B$5:F42))),"")</f>
        <v>O-Xileno</v>
      </c>
      <c r="E39" s="29" t="str">
        <f>IF(ROWS('Insumos a comprar'!$B$5:G42)&lt;=COUNTIF(Insumos_a_comprar[Planilla],E$1),INDEX(Insumos_a_comprar[Insumo],_xlfn.AGGREGATE(15,6,(Insumos_a_comprar[Planilla]=E$1)/(Insumos_a_comprar[Planilla]=E$1)*ROW(Insumos_a_comprar[Planilla])-ROW(Insumos_a_comprar[[#Headers],[Planilla]]),ROWS('Insumos a comprar'!$B$5:G42))),"")</f>
        <v/>
      </c>
      <c r="F39" s="29" t="str">
        <f>IF(ROWS('Insumos a comprar'!$B$5:H42)&lt;=COUNTIF(Insumos_a_comprar[Planilla],F$1),INDEX(Insumos_a_comprar[Insumo],_xlfn.AGGREGATE(15,6,(Insumos_a_comprar[Planilla]=F$1)/(Insumos_a_comprar[Planilla]=F$1)*ROW(Insumos_a_comprar[Planilla])-ROW(Insumos_a_comprar[[#Headers],[Planilla]]),ROWS('Insumos a comprar'!$B$5:H42))),"")</f>
        <v/>
      </c>
      <c r="G39" s="29" t="str">
        <f>IF(ROWS('Insumos a comprar'!$B$5:I42)&lt;=COUNTIF(Insumos_a_comprar[Planilla],G$1),INDEX(Insumos_a_comprar[Insumo],_xlfn.AGGREGATE(15,6,(Insumos_a_comprar[Planilla]=G$1)/(Insumos_a_comprar[Planilla]=G$1)*ROW(Insumos_a_comprar[Planilla])-ROW(Insumos_a_comprar[[#Headers],[Planilla]]),ROWS('Insumos a comprar'!$B$5:I42))),"")</f>
        <v/>
      </c>
      <c r="H39" s="29" t="str">
        <f>IF(ROWS('Insumos a comprar'!$B$5:I42)&lt;=COUNTIF(Insumos_a_comprar[Planilla],H$1),INDEX(Insumos_a_comprar[Insumo],_xlfn.AGGREGATE(15,6,(Insumos_a_comprar[Planilla]=H$1)/(Insumos_a_comprar[Planilla]=H$1)*ROW(Insumos_a_comprar[Planilla])-ROW(Insumos_a_comprar[[#Headers],[Planilla]]),ROWS('Insumos a comprar'!$B$5:I42))),"")</f>
        <v>Embudos Plástico mediano</v>
      </c>
      <c r="I39" s="29" t="str">
        <f>IF(ROWS('Insumos a comprar'!$B$5:I42)&lt;=COUNTIF(Insumos_a_comprar[Planilla],I$1),INDEX(Insumos_a_comprar[Insumo],_xlfn.AGGREGATE(15,6,(Insumos_a_comprar[Planilla]=I$1)/(Insumos_a_comprar[Planilla]=I$1)*ROW(Insumos_a_comprar[Planilla])-ROW(Insumos_a_comprar[[#Headers],[Planilla]]),ROWS('Insumos a comprar'!$B$5:I42))),"")</f>
        <v/>
      </c>
      <c r="J39" s="29" t="str">
        <f>IF(ROWS('Insumos a comprar'!$B$5:I42)&lt;=COUNTIF(Insumos_a_comprar[Planilla],J$1),INDEX(Insumos_a_comprar[Insumo],_xlfn.AGGREGATE(15,6,(Insumos_a_comprar[Planilla]=J$1)/(Insumos_a_comprar[Planilla]=J$1)*ROW(Insumos_a_comprar[Planilla])-ROW(Insumos_a_comprar[[#Headers],[Planilla]]),ROWS('Insumos a comprar'!$B$5:I42))),"")</f>
        <v>Liners Split-Splitless recuperados</v>
      </c>
      <c r="K39" s="29" t="str">
        <f>IF(ROWS('Insumos a comprar'!$B$5:I42)&lt;=COUNTIF(Insumos_a_comprar[Planilla],K$1),INDEX(Insumos_a_comprar[Insumo],_xlfn.AGGREGATE(15,6,(Insumos_a_comprar[Planilla]=K$1)/(Insumos_a_comprar[Planilla]=K$1)*ROW(Insumos_a_comprar[Planilla])-ROW(Insumos_a_comprar[[#Headers],[Planilla]]),ROWS('Insumos a comprar'!$B$5:I42))),"")</f>
        <v/>
      </c>
      <c r="L39" s="29" t="str">
        <f>IF(ROWS('Insumos a comprar'!$B$5:I42)&lt;=COUNTIF(Insumos_a_comprar[Planilla],L$1),INDEX(Insumos_a_comprar[Insumo],_xlfn.AGGREGATE(15,6,(Insumos_a_comprar[Planilla]=L$1)/(Insumos_a_comprar[Planilla]=L$1)*ROW(Insumos_a_comprar[Planilla])-ROW(Insumos_a_comprar[[#Headers],[Planilla]]),ROWS('Insumos a comprar'!$B$5:I42))),"")</f>
        <v/>
      </c>
      <c r="M39" s="29"/>
      <c r="N39" s="29"/>
      <c r="O39" s="29"/>
      <c r="P39" s="29"/>
      <c r="Q39" s="29"/>
    </row>
    <row r="40" spans="1:17" ht="47.25" x14ac:dyDescent="0.25">
      <c r="A40" s="29" t="str">
        <f>IF(ROWS('Insumos a comprar'!$B$5:B43)&lt;=COUNTIF(Insumos_a_comprar[Planilla],A$1),INDEX(Insumos_a_comprar[Insumo],_xlfn.AGGREGATE(15,6,(Insumos_a_comprar[Planilla]=A$1)/(Insumos_a_comprar[Planilla]=A$1)*ROW(Insumos_a_comprar[Planilla])-ROW(Insumos_a_comprar[[#Headers],[Planilla]]),ROWS('Insumos a comprar'!$B$5:B43))),"")</f>
        <v>Potasio iodato</v>
      </c>
      <c r="B40" s="29" t="str">
        <f>IF(ROWS('Insumos a comprar'!$B$5:B43)&lt;=COUNTIF(Insumos_a_comprar[Planilla],B$1),INDEX(Insumos_a_comprar[Insumo],_xlfn.AGGREGATE(15,6,(Insumos_a_comprar[Planilla]=B$1)/(Insumos_a_comprar[Planilla]=B$1)*ROW(Insumos_a_comprar[Planilla])-ROW(Insumos_a_comprar[[#Headers],[Planilla]]),ROWS('Insumos a comprar'!$B$5:B43))),"")</f>
        <v>Mercurio acetato(Hg(CH₃COO)₂)</v>
      </c>
      <c r="C40" s="29" t="str">
        <f>IF(ROWS('Insumos a comprar'!$B$5:E43)&lt;=COUNTIF(Insumos_a_comprar[Planilla],C$1),INDEX(Insumos_a_comprar[Insumo],_xlfn.AGGREGATE(15,6,(Insumos_a_comprar[Planilla]=C$1)/(Insumos_a_comprar[Planilla]=C$1)*ROW(Insumos_a_comprar[Planilla])-ROW(Insumos_a_comprar[[#Headers],[Planilla]]),ROWS('Insumos a comprar'!$B$5:E43))),"")</f>
        <v/>
      </c>
      <c r="D40" s="29" t="str">
        <f>IF(ROWS('Insumos a comprar'!$B$5:F43)&lt;=COUNTIF(Insumos_a_comprar[Planilla],D$1),INDEX(Insumos_a_comprar[Insumo],_xlfn.AGGREGATE(15,6,(Insumos_a_comprar[Planilla]=D$1)/(Insumos_a_comprar[Planilla]=D$1)*ROW(Insumos_a_comprar[Planilla])-ROW(Insumos_a_comprar[[#Headers],[Planilla]]),ROWS('Insumos a comprar'!$B$5:F43))),"")</f>
        <v>Percloro etileno</v>
      </c>
      <c r="E40" s="29" t="str">
        <f>IF(ROWS('Insumos a comprar'!$B$5:G43)&lt;=COUNTIF(Insumos_a_comprar[Planilla],E$1),INDEX(Insumos_a_comprar[Insumo],_xlfn.AGGREGATE(15,6,(Insumos_a_comprar[Planilla]=E$1)/(Insumos_a_comprar[Planilla]=E$1)*ROW(Insumos_a_comprar[Planilla])-ROW(Insumos_a_comprar[[#Headers],[Planilla]]),ROWS('Insumos a comprar'!$B$5:G43))),"")</f>
        <v/>
      </c>
      <c r="F40" s="29" t="str">
        <f>IF(ROWS('Insumos a comprar'!$B$5:H43)&lt;=COUNTIF(Insumos_a_comprar[Planilla],F$1),INDEX(Insumos_a_comprar[Insumo],_xlfn.AGGREGATE(15,6,(Insumos_a_comprar[Planilla]=F$1)/(Insumos_a_comprar[Planilla]=F$1)*ROW(Insumos_a_comprar[Planilla])-ROW(Insumos_a_comprar[[#Headers],[Planilla]]),ROWS('Insumos a comprar'!$B$5:H43))),"")</f>
        <v/>
      </c>
      <c r="G40" s="29" t="str">
        <f>IF(ROWS('Insumos a comprar'!$B$5:I43)&lt;=COUNTIF(Insumos_a_comprar[Planilla],G$1),INDEX(Insumos_a_comprar[Insumo],_xlfn.AGGREGATE(15,6,(Insumos_a_comprar[Planilla]=G$1)/(Insumos_a_comprar[Planilla]=G$1)*ROW(Insumos_a_comprar[Planilla])-ROW(Insumos_a_comprar[[#Headers],[Planilla]]),ROWS('Insumos a comprar'!$B$5:I43))),"")</f>
        <v/>
      </c>
      <c r="H40" s="29" t="str">
        <f>IF(ROWS('Insumos a comprar'!$B$5:I43)&lt;=COUNTIF(Insumos_a_comprar[Planilla],H$1),INDEX(Insumos_a_comprar[Insumo],_xlfn.AGGREGATE(15,6,(Insumos_a_comprar[Planilla]=H$1)/(Insumos_a_comprar[Planilla]=H$1)*ROW(Insumos_a_comprar[Planilla])-ROW(Insumos_a_comprar[[#Headers],[Planilla]]),ROWS('Insumos a comprar'!$B$5:I43))),"")</f>
        <v>Embudos Vidrio chico</v>
      </c>
      <c r="I40" s="29" t="str">
        <f>IF(ROWS('Insumos a comprar'!$B$5:I43)&lt;=COUNTIF(Insumos_a_comprar[Planilla],I$1),INDEX(Insumos_a_comprar[Insumo],_xlfn.AGGREGATE(15,6,(Insumos_a_comprar[Planilla]=I$1)/(Insumos_a_comprar[Planilla]=I$1)*ROW(Insumos_a_comprar[Planilla])-ROW(Insumos_a_comprar[[#Headers],[Planilla]]),ROWS('Insumos a comprar'!$B$5:I43))),"")</f>
        <v/>
      </c>
      <c r="J40" s="29" t="str">
        <f>IF(ROWS('Insumos a comprar'!$B$5:I43)&lt;=COUNTIF(Insumos_a_comprar[Planilla],J$1),INDEX(Insumos_a_comprar[Insumo],_xlfn.AGGREGATE(15,6,(Insumos_a_comprar[Planilla]=J$1)/(Insumos_a_comprar[Planilla]=J$1)*ROW(Insumos_a_comprar[Planilla])-ROW(Insumos_a_comprar[[#Headers],[Planilla]]),ROWS('Insumos a comprar'!$B$5:I43))),"")</f>
        <v xml:space="preserve">Llave estrella set x9 </v>
      </c>
      <c r="K40" s="29" t="str">
        <f>IF(ROWS('Insumos a comprar'!$B$5:I43)&lt;=COUNTIF(Insumos_a_comprar[Planilla],K$1),INDEX(Insumos_a_comprar[Insumo],_xlfn.AGGREGATE(15,6,(Insumos_a_comprar[Planilla]=K$1)/(Insumos_a_comprar[Planilla]=K$1)*ROW(Insumos_a_comprar[Planilla])-ROW(Insumos_a_comprar[[#Headers],[Planilla]]),ROWS('Insumos a comprar'!$B$5:I43))),"")</f>
        <v/>
      </c>
      <c r="L40" s="29" t="str">
        <f>IF(ROWS('Insumos a comprar'!$B$5:I43)&lt;=COUNTIF(Insumos_a_comprar[Planilla],L$1),INDEX(Insumos_a_comprar[Insumo],_xlfn.AGGREGATE(15,6,(Insumos_a_comprar[Planilla]=L$1)/(Insumos_a_comprar[Planilla]=L$1)*ROW(Insumos_a_comprar[Planilla])-ROW(Insumos_a_comprar[[#Headers],[Planilla]]),ROWS('Insumos a comprar'!$B$5:I43))),"")</f>
        <v/>
      </c>
      <c r="M40" s="29"/>
      <c r="N40" s="29"/>
      <c r="O40" s="29"/>
      <c r="P40" s="29"/>
      <c r="Q40" s="29"/>
    </row>
    <row r="41" spans="1:17" ht="47.25" x14ac:dyDescent="0.25">
      <c r="A41" s="29" t="str">
        <f>IF(ROWS('Insumos a comprar'!$B$5:B44)&lt;=COUNTIF(Insumos_a_comprar[Planilla],A$1),INDEX(Insumos_a_comprar[Insumo],_xlfn.AGGREGATE(15,6,(Insumos_a_comprar[Planilla]=A$1)/(Insumos_a_comprar[Planilla]=A$1)*ROW(Insumos_a_comprar[Planilla])-ROW(Insumos_a_comprar[[#Headers],[Planilla]]),ROWS('Insumos a comprar'!$B$5:B44))),"")</f>
        <v>Potasio ioduro  (KI)</v>
      </c>
      <c r="B41" s="29" t="str">
        <f>IF(ROWS('Insumos a comprar'!$B$5:B44)&lt;=COUNTIF(Insumos_a_comprar[Planilla],B$1),INDEX(Insumos_a_comprar[Insumo],_xlfn.AGGREGATE(15,6,(Insumos_a_comprar[Planilla]=B$1)/(Insumos_a_comprar[Planilla]=B$1)*ROW(Insumos_a_comprar[Planilla])-ROW(Insumos_a_comprar[[#Headers],[Planilla]]),ROWS('Insumos a comprar'!$B$5:B44))),"")</f>
        <v>Mercurio cloruro(HgCl2)</v>
      </c>
      <c r="C41" s="29" t="str">
        <f>IF(ROWS('Insumos a comprar'!$B$5:E44)&lt;=COUNTIF(Insumos_a_comprar[Planilla],C$1),INDEX(Insumos_a_comprar[Insumo],_xlfn.AGGREGATE(15,6,(Insumos_a_comprar[Planilla]=C$1)/(Insumos_a_comprar[Planilla]=C$1)*ROW(Insumos_a_comprar[Planilla])-ROW(Insumos_a_comprar[[#Headers],[Planilla]]),ROWS('Insumos a comprar'!$B$5:E44))),"")</f>
        <v/>
      </c>
      <c r="D41" s="29" t="str">
        <f>IF(ROWS('Insumos a comprar'!$B$5:F44)&lt;=COUNTIF(Insumos_a_comprar[Planilla],D$1),INDEX(Insumos_a_comprar[Insumo],_xlfn.AGGREGATE(15,6,(Insumos_a_comprar[Planilla]=D$1)/(Insumos_a_comprar[Planilla]=D$1)*ROW(Insumos_a_comprar[Planilla])-ROW(Insumos_a_comprar[[#Headers],[Planilla]]),ROWS('Insumos a comprar'!$B$5:F44))),"")</f>
        <v>Piridina</v>
      </c>
      <c r="E41" s="29" t="str">
        <f>IF(ROWS('Insumos a comprar'!$B$5:G44)&lt;=COUNTIF(Insumos_a_comprar[Planilla],E$1),INDEX(Insumos_a_comprar[Insumo],_xlfn.AGGREGATE(15,6,(Insumos_a_comprar[Planilla]=E$1)/(Insumos_a_comprar[Planilla]=E$1)*ROW(Insumos_a_comprar[Planilla])-ROW(Insumos_a_comprar[[#Headers],[Planilla]]),ROWS('Insumos a comprar'!$B$5:G44))),"")</f>
        <v/>
      </c>
      <c r="F41" s="29" t="str">
        <f>IF(ROWS('Insumos a comprar'!$B$5:H44)&lt;=COUNTIF(Insumos_a_comprar[Planilla],F$1),INDEX(Insumos_a_comprar[Insumo],_xlfn.AGGREGATE(15,6,(Insumos_a_comprar[Planilla]=F$1)/(Insumos_a_comprar[Planilla]=F$1)*ROW(Insumos_a_comprar[Planilla])-ROW(Insumos_a_comprar[[#Headers],[Planilla]]),ROWS('Insumos a comprar'!$B$5:H44))),"")</f>
        <v/>
      </c>
      <c r="G41" s="29" t="str">
        <f>IF(ROWS('Insumos a comprar'!$B$5:I44)&lt;=COUNTIF(Insumos_a_comprar[Planilla],G$1),INDEX(Insumos_a_comprar[Insumo],_xlfn.AGGREGATE(15,6,(Insumos_a_comprar[Planilla]=G$1)/(Insumos_a_comprar[Planilla]=G$1)*ROW(Insumos_a_comprar[Planilla])-ROW(Insumos_a_comprar[[#Headers],[Planilla]]),ROWS('Insumos a comprar'!$B$5:I44))),"")</f>
        <v/>
      </c>
      <c r="H41" s="29" t="str">
        <f>IF(ROWS('Insumos a comprar'!$B$5:I44)&lt;=COUNTIF(Insumos_a_comprar[Planilla],H$1),INDEX(Insumos_a_comprar[Insumo],_xlfn.AGGREGATE(15,6,(Insumos_a_comprar[Planilla]=H$1)/(Insumos_a_comprar[Planilla]=H$1)*ROW(Insumos_a_comprar[Planilla])-ROW(Insumos_a_comprar[[#Headers],[Planilla]]),ROWS('Insumos a comprar'!$B$5:I44))),"")</f>
        <v>Embudos Vidrio grande</v>
      </c>
      <c r="I41" s="29" t="str">
        <f>IF(ROWS('Insumos a comprar'!$B$5:I44)&lt;=COUNTIF(Insumos_a_comprar[Planilla],I$1),INDEX(Insumos_a_comprar[Insumo],_xlfn.AGGREGATE(15,6,(Insumos_a_comprar[Planilla]=I$1)/(Insumos_a_comprar[Planilla]=I$1)*ROW(Insumos_a_comprar[Planilla])-ROW(Insumos_a_comprar[[#Headers],[Planilla]]),ROWS('Insumos a comprar'!$B$5:I44))),"")</f>
        <v/>
      </c>
      <c r="J41" s="29" t="str">
        <f>IF(ROWS('Insumos a comprar'!$B$5:I44)&lt;=COUNTIF(Insumos_a_comprar[Planilla],J$1),INDEX(Insumos_a_comprar[Insumo],_xlfn.AGGREGATE(15,6,(Insumos_a_comprar[Planilla]=J$1)/(Insumos_a_comprar[Planilla]=J$1)*ROW(Insumos_a_comprar[Planilla])-ROW(Insumos_a_comprar[[#Headers],[Planilla]]),ROWS('Insumos a comprar'!$B$5:I44))),"")</f>
        <v xml:space="preserve">llave para columna </v>
      </c>
      <c r="K41" s="29" t="str">
        <f>IF(ROWS('Insumos a comprar'!$B$5:I44)&lt;=COUNTIF(Insumos_a_comprar[Planilla],K$1),INDEX(Insumos_a_comprar[Insumo],_xlfn.AGGREGATE(15,6,(Insumos_a_comprar[Planilla]=K$1)/(Insumos_a_comprar[Planilla]=K$1)*ROW(Insumos_a_comprar[Planilla])-ROW(Insumos_a_comprar[[#Headers],[Planilla]]),ROWS('Insumos a comprar'!$B$5:I44))),"")</f>
        <v/>
      </c>
      <c r="L41" s="29" t="str">
        <f>IF(ROWS('Insumos a comprar'!$B$5:I44)&lt;=COUNTIF(Insumos_a_comprar[Planilla],L$1),INDEX(Insumos_a_comprar[Insumo],_xlfn.AGGREGATE(15,6,(Insumos_a_comprar[Planilla]=L$1)/(Insumos_a_comprar[Planilla]=L$1)*ROW(Insumos_a_comprar[Planilla])-ROW(Insumos_a_comprar[[#Headers],[Planilla]]),ROWS('Insumos a comprar'!$B$5:I44))),"")</f>
        <v/>
      </c>
      <c r="M41" s="29"/>
      <c r="N41" s="29"/>
      <c r="O41" s="29"/>
      <c r="P41" s="29"/>
      <c r="Q41" s="29"/>
    </row>
    <row r="42" spans="1:17" ht="31.5" x14ac:dyDescent="0.25">
      <c r="A42" s="29" t="str">
        <f>IF(ROWS('Insumos a comprar'!$B$5:B45)&lt;=COUNTIF(Insumos_a_comprar[Planilla],A$1),INDEX(Insumos_a_comprar[Insumo],_xlfn.AGGREGATE(15,6,(Insumos_a_comprar[Planilla]=A$1)/(Insumos_a_comprar[Planilla]=A$1)*ROW(Insumos_a_comprar[Planilla])-ROW(Insumos_a_comprar[[#Headers],[Planilla]]),ROWS('Insumos a comprar'!$B$5:B45))),"")</f>
        <v>Potasio permanganato  (KMnO4)</v>
      </c>
      <c r="B42" s="29" t="str">
        <f>IF(ROWS('Insumos a comprar'!$B$5:B45)&lt;=COUNTIF(Insumos_a_comprar[Planilla],B$1),INDEX(Insumos_a_comprar[Insumo],_xlfn.AGGREGATE(15,6,(Insumos_a_comprar[Planilla]=B$1)/(Insumos_a_comprar[Planilla]=B$1)*ROW(Insumos_a_comprar[Planilla])-ROW(Insumos_a_comprar[[#Headers],[Planilla]]),ROWS('Insumos a comprar'!$B$5:B45))),"")</f>
        <v>Mercurio Nitrato  (HgNO3)</v>
      </c>
      <c r="C42" s="29" t="str">
        <f>IF(ROWS('Insumos a comprar'!$B$5:E45)&lt;=COUNTIF(Insumos_a_comprar[Planilla],C$1),INDEX(Insumos_a_comprar[Insumo],_xlfn.AGGREGATE(15,6,(Insumos_a_comprar[Planilla]=C$1)/(Insumos_a_comprar[Planilla]=C$1)*ROW(Insumos_a_comprar[Planilla])-ROW(Insumos_a_comprar[[#Headers],[Planilla]]),ROWS('Insumos a comprar'!$B$5:E45))),"")</f>
        <v/>
      </c>
      <c r="D42" s="29" t="str">
        <f>IF(ROWS('Insumos a comprar'!$B$5:F45)&lt;=COUNTIF(Insumos_a_comprar[Planilla],D$1),INDEX(Insumos_a_comprar[Insumo],_xlfn.AGGREGATE(15,6,(Insumos_a_comprar[Planilla]=D$1)/(Insumos_a_comprar[Planilla]=D$1)*ROW(Insumos_a_comprar[Planilla])-ROW(Insumos_a_comprar[[#Headers],[Planilla]]),ROWS('Insumos a comprar'!$B$5:F45))),"")</f>
        <v>P-Xileno</v>
      </c>
      <c r="E42" s="29" t="str">
        <f>IF(ROWS('Insumos a comprar'!$B$5:G45)&lt;=COUNTIF(Insumos_a_comprar[Planilla],E$1),INDEX(Insumos_a_comprar[Insumo],_xlfn.AGGREGATE(15,6,(Insumos_a_comprar[Planilla]=E$1)/(Insumos_a_comprar[Planilla]=E$1)*ROW(Insumos_a_comprar[Planilla])-ROW(Insumos_a_comprar[[#Headers],[Planilla]]),ROWS('Insumos a comprar'!$B$5:G45))),"")</f>
        <v/>
      </c>
      <c r="F42" s="29" t="str">
        <f>IF(ROWS('Insumos a comprar'!$B$5:H45)&lt;=COUNTIF(Insumos_a_comprar[Planilla],F$1),INDEX(Insumos_a_comprar[Insumo],_xlfn.AGGREGATE(15,6,(Insumos_a_comprar[Planilla]=F$1)/(Insumos_a_comprar[Planilla]=F$1)*ROW(Insumos_a_comprar[Planilla])-ROW(Insumos_a_comprar[[#Headers],[Planilla]]),ROWS('Insumos a comprar'!$B$5:H45))),"")</f>
        <v/>
      </c>
      <c r="G42" s="29" t="str">
        <f>IF(ROWS('Insumos a comprar'!$B$5:I45)&lt;=COUNTIF(Insumos_a_comprar[Planilla],G$1),INDEX(Insumos_a_comprar[Insumo],_xlfn.AGGREGATE(15,6,(Insumos_a_comprar[Planilla]=G$1)/(Insumos_a_comprar[Planilla]=G$1)*ROW(Insumos_a_comprar[Planilla])-ROW(Insumos_a_comprar[[#Headers],[Planilla]]),ROWS('Insumos a comprar'!$B$5:I45))),"")</f>
        <v/>
      </c>
      <c r="H42" s="29" t="str">
        <f>IF(ROWS('Insumos a comprar'!$B$5:I45)&lt;=COUNTIF(Insumos_a_comprar[Planilla],H$1),INDEX(Insumos_a_comprar[Insumo],_xlfn.AGGREGATE(15,6,(Insumos_a_comprar[Planilla]=H$1)/(Insumos_a_comprar[Planilla]=H$1)*ROW(Insumos_a_comprar[Planilla])-ROW(Insumos_a_comprar[[#Headers],[Planilla]]),ROWS('Insumos a comprar'!$B$5:I45))),"")</f>
        <v>Embudos Vidrio mediano</v>
      </c>
      <c r="I42" s="29" t="str">
        <f>IF(ROWS('Insumos a comprar'!$B$5:I45)&lt;=COUNTIF(Insumos_a_comprar[Planilla],I$1),INDEX(Insumos_a_comprar[Insumo],_xlfn.AGGREGATE(15,6,(Insumos_a_comprar[Planilla]=I$1)/(Insumos_a_comprar[Planilla]=I$1)*ROW(Insumos_a_comprar[Planilla])-ROW(Insumos_a_comprar[[#Headers],[Planilla]]),ROWS('Insumos a comprar'!$B$5:I45))),"")</f>
        <v/>
      </c>
      <c r="J42" s="29" t="str">
        <f>IF(ROWS('Insumos a comprar'!$B$5:I45)&lt;=COUNTIF(Insumos_a_comprar[Planilla],J$1),INDEX(Insumos_a_comprar[Insumo],_xlfn.AGGREGATE(15,6,(Insumos_a_comprar[Planilla]=J$1)/(Insumos_a_comprar[Planilla]=J$1)*ROW(Insumos_a_comprar[Planilla])-ROW(Insumos_a_comprar[[#Headers],[Planilla]]),ROWS('Insumos a comprar'!$B$5:I45))),"")</f>
        <v xml:space="preserve">llave spaner </v>
      </c>
      <c r="K42" s="29" t="str">
        <f>IF(ROWS('Insumos a comprar'!$B$5:I45)&lt;=COUNTIF(Insumos_a_comprar[Planilla],K$1),INDEX(Insumos_a_comprar[Insumo],_xlfn.AGGREGATE(15,6,(Insumos_a_comprar[Planilla]=K$1)/(Insumos_a_comprar[Planilla]=K$1)*ROW(Insumos_a_comprar[Planilla])-ROW(Insumos_a_comprar[[#Headers],[Planilla]]),ROWS('Insumos a comprar'!$B$5:I45))),"")</f>
        <v/>
      </c>
      <c r="L42" s="29" t="str">
        <f>IF(ROWS('Insumos a comprar'!$B$5:I45)&lt;=COUNTIF(Insumos_a_comprar[Planilla],L$1),INDEX(Insumos_a_comprar[Insumo],_xlfn.AGGREGATE(15,6,(Insumos_a_comprar[Planilla]=L$1)/(Insumos_a_comprar[Planilla]=L$1)*ROW(Insumos_a_comprar[Planilla])-ROW(Insumos_a_comprar[[#Headers],[Planilla]]),ROWS('Insumos a comprar'!$B$5:I45))),"")</f>
        <v/>
      </c>
      <c r="M42" s="29"/>
      <c r="N42" s="29"/>
      <c r="O42" s="29"/>
      <c r="P42" s="29"/>
      <c r="Q42" s="29"/>
    </row>
    <row r="43" spans="1:17" ht="31.5" x14ac:dyDescent="0.25">
      <c r="A43" s="29" t="str">
        <f>IF(ROWS('Insumos a comprar'!$B$5:B46)&lt;=COUNTIF(Insumos_a_comprar[Planilla],A$1),INDEX(Insumos_a_comprar[Insumo],_xlfn.AGGREGATE(15,6,(Insumos_a_comprar[Planilla]=A$1)/(Insumos_a_comprar[Planilla]=A$1)*ROW(Insumos_a_comprar[Planilla])-ROW(Insumos_a_comprar[[#Headers],[Planilla]]),ROWS('Insumos a comprar'!$B$5:B46))),"")</f>
        <v>Sodio arsenito  (NaAsO2)</v>
      </c>
      <c r="B43" s="29" t="str">
        <f>IF(ROWS('Insumos a comprar'!$B$5:B46)&lt;=COUNTIF(Insumos_a_comprar[Planilla],B$1),INDEX(Insumos_a_comprar[Insumo],_xlfn.AGGREGATE(15,6,(Insumos_a_comprar[Planilla]=B$1)/(Insumos_a_comprar[Planilla]=B$1)*ROW(Insumos_a_comprar[Planilla])-ROW(Insumos_a_comprar[[#Headers],[Planilla]]),ROWS('Insumos a comprar'!$B$5:B46))),"")</f>
        <v>Mercurio sulfato (HgSO4)</v>
      </c>
      <c r="C43" s="29" t="str">
        <f>IF(ROWS('Insumos a comprar'!$B$5:E46)&lt;=COUNTIF(Insumos_a_comprar[Planilla],C$1),INDEX(Insumos_a_comprar[Insumo],_xlfn.AGGREGATE(15,6,(Insumos_a_comprar[Planilla]=C$1)/(Insumos_a_comprar[Planilla]=C$1)*ROW(Insumos_a_comprar[Planilla])-ROW(Insumos_a_comprar[[#Headers],[Planilla]]),ROWS('Insumos a comprar'!$B$5:E46))),"")</f>
        <v/>
      </c>
      <c r="D43" s="29" t="str">
        <f>IF(ROWS('Insumos a comprar'!$B$5:F46)&lt;=COUNTIF(Insumos_a_comprar[Planilla],D$1),INDEX(Insumos_a_comprar[Insumo],_xlfn.AGGREGATE(15,6,(Insumos_a_comprar[Planilla]=D$1)/(Insumos_a_comprar[Planilla]=D$1)*ROW(Insumos_a_comprar[Planilla])-ROW(Insumos_a_comprar[[#Headers],[Planilla]]),ROWS('Insumos a comprar'!$B$5:F46))),"")</f>
        <v>Tetracloruro de carbono</v>
      </c>
      <c r="E43" s="29" t="str">
        <f>IF(ROWS('Insumos a comprar'!$B$5:G46)&lt;=COUNTIF(Insumos_a_comprar[Planilla],E$1),INDEX(Insumos_a_comprar[Insumo],_xlfn.AGGREGATE(15,6,(Insumos_a_comprar[Planilla]=E$1)/(Insumos_a_comprar[Planilla]=E$1)*ROW(Insumos_a_comprar[Planilla])-ROW(Insumos_a_comprar[[#Headers],[Planilla]]),ROWS('Insumos a comprar'!$B$5:G46))),"")</f>
        <v/>
      </c>
      <c r="F43" s="29" t="str">
        <f>IF(ROWS('Insumos a comprar'!$B$5:H46)&lt;=COUNTIF(Insumos_a_comprar[Planilla],F$1),INDEX(Insumos_a_comprar[Insumo],_xlfn.AGGREGATE(15,6,(Insumos_a_comprar[Planilla]=F$1)/(Insumos_a_comprar[Planilla]=F$1)*ROW(Insumos_a_comprar[Planilla])-ROW(Insumos_a_comprar[[#Headers],[Planilla]]),ROWS('Insumos a comprar'!$B$5:H46))),"")</f>
        <v/>
      </c>
      <c r="G43" s="29" t="str">
        <f>IF(ROWS('Insumos a comprar'!$B$5:I46)&lt;=COUNTIF(Insumos_a_comprar[Planilla],G$1),INDEX(Insumos_a_comprar[Insumo],_xlfn.AGGREGATE(15,6,(Insumos_a_comprar[Planilla]=G$1)/(Insumos_a_comprar[Planilla]=G$1)*ROW(Insumos_a_comprar[Planilla])-ROW(Insumos_a_comprar[[#Headers],[Planilla]]),ROWS('Insumos a comprar'!$B$5:I46))),"")</f>
        <v/>
      </c>
      <c r="H43" s="29" t="str">
        <f>IF(ROWS('Insumos a comprar'!$B$5:I46)&lt;=COUNTIF(Insumos_a_comprar[Planilla],H$1),INDEX(Insumos_a_comprar[Insumo],_xlfn.AGGREGATE(15,6,(Insumos_a_comprar[Planilla]=H$1)/(Insumos_a_comprar[Planilla]=H$1)*ROW(Insumos_a_comprar[Planilla])-ROW(Insumos_a_comprar[[#Headers],[Planilla]]),ROWS('Insumos a comprar'!$B$5:I46))),"")</f>
        <v xml:space="preserve">Equipo SOXHLET balon </v>
      </c>
      <c r="I43" s="29" t="str">
        <f>IF(ROWS('Insumos a comprar'!$B$5:I46)&lt;=COUNTIF(Insumos_a_comprar[Planilla],I$1),INDEX(Insumos_a_comprar[Insumo],_xlfn.AGGREGATE(15,6,(Insumos_a_comprar[Planilla]=I$1)/(Insumos_a_comprar[Planilla]=I$1)*ROW(Insumos_a_comprar[Planilla])-ROW(Insumos_a_comprar[[#Headers],[Planilla]]),ROWS('Insumos a comprar'!$B$5:I46))),"")</f>
        <v/>
      </c>
      <c r="J43" s="29" t="str">
        <f>IF(ROWS('Insumos a comprar'!$B$5:I46)&lt;=COUNTIF(Insumos_a_comprar[Planilla],J$1),INDEX(Insumos_a_comprar[Insumo],_xlfn.AGGREGATE(15,6,(Insumos_a_comprar[Planilla]=J$1)/(Insumos_a_comprar[Planilla]=J$1)*ROW(Insumos_a_comprar[Planilla])-ROW(Insumos_a_comprar[[#Headers],[Planilla]]),ROWS('Insumos a comprar'!$B$5:I46))),"")</f>
        <v xml:space="preserve">llave wrench </v>
      </c>
      <c r="K43" s="29" t="str">
        <f>IF(ROWS('Insumos a comprar'!$B$5:I46)&lt;=COUNTIF(Insumos_a_comprar[Planilla],K$1),INDEX(Insumos_a_comprar[Insumo],_xlfn.AGGREGATE(15,6,(Insumos_a_comprar[Planilla]=K$1)/(Insumos_a_comprar[Planilla]=K$1)*ROW(Insumos_a_comprar[Planilla])-ROW(Insumos_a_comprar[[#Headers],[Planilla]]),ROWS('Insumos a comprar'!$B$5:I46))),"")</f>
        <v/>
      </c>
      <c r="L43" s="29" t="str">
        <f>IF(ROWS('Insumos a comprar'!$B$5:I46)&lt;=COUNTIF(Insumos_a_comprar[Planilla],L$1),INDEX(Insumos_a_comprar[Insumo],_xlfn.AGGREGATE(15,6,(Insumos_a_comprar[Planilla]=L$1)/(Insumos_a_comprar[Planilla]=L$1)*ROW(Insumos_a_comprar[Planilla])-ROW(Insumos_a_comprar[[#Headers],[Planilla]]),ROWS('Insumos a comprar'!$B$5:I46))),"")</f>
        <v/>
      </c>
      <c r="M43" s="29"/>
      <c r="N43" s="29"/>
      <c r="O43" s="29"/>
      <c r="P43" s="29"/>
      <c r="Q43" s="29"/>
    </row>
    <row r="44" spans="1:17" ht="63" x14ac:dyDescent="0.25">
      <c r="A44" s="29" t="str">
        <f>IF(ROWS('Insumos a comprar'!$B$5:B47)&lt;=COUNTIF(Insumos_a_comprar[Planilla],A$1),INDEX(Insumos_a_comprar[Insumo],_xlfn.AGGREGATE(15,6,(Insumos_a_comprar[Planilla]=A$1)/(Insumos_a_comprar[Planilla]=A$1)*ROW(Insumos_a_comprar[Planilla])-ROW(Insumos_a_comprar[[#Headers],[Planilla]]),ROWS('Insumos a comprar'!$B$5:B47))),"")</f>
        <v>Sodio bicarbonato  (NaHCO3)</v>
      </c>
      <c r="B44" s="29" t="str">
        <f>IF(ROWS('Insumos a comprar'!$B$5:B47)&lt;=COUNTIF(Insumos_a_comprar[Planilla],B$1),INDEX(Insumos_a_comprar[Insumo],_xlfn.AGGREGATE(15,6,(Insumos_a_comprar[Planilla]=B$1)/(Insumos_a_comprar[Planilla]=B$1)*ROW(Insumos_a_comprar[Planilla])-ROW(Insumos_a_comprar[[#Headers],[Planilla]]),ROWS('Insumos a comprar'!$B$5:B47))),"")</f>
        <v>Murexida</v>
      </c>
      <c r="C44" s="29" t="str">
        <f>IF(ROWS('Insumos a comprar'!$B$5:E47)&lt;=COUNTIF(Insumos_a_comprar[Planilla],C$1),INDEX(Insumos_a_comprar[Insumo],_xlfn.AGGREGATE(15,6,(Insumos_a_comprar[Planilla]=C$1)/(Insumos_a_comprar[Planilla]=C$1)*ROW(Insumos_a_comprar[Planilla])-ROW(Insumos_a_comprar[[#Headers],[Planilla]]),ROWS('Insumos a comprar'!$B$5:E47))),"")</f>
        <v/>
      </c>
      <c r="D44" s="29" t="str">
        <f>IF(ROWS('Insumos a comprar'!$B$5:F47)&lt;=COUNTIF(Insumos_a_comprar[Planilla],D$1),INDEX(Insumos_a_comprar[Insumo],_xlfn.AGGREGATE(15,6,(Insumos_a_comprar[Planilla]=D$1)/(Insumos_a_comprar[Planilla]=D$1)*ROW(Insumos_a_comprar[Planilla])-ROW(Insumos_a_comprar[[#Headers],[Planilla]]),ROWS('Insumos a comprar'!$B$5:F47))),"")</f>
        <v>Tolueno</v>
      </c>
      <c r="E44" s="29" t="str">
        <f>IF(ROWS('Insumos a comprar'!$B$5:G47)&lt;=COUNTIF(Insumos_a_comprar[Planilla],E$1),INDEX(Insumos_a_comprar[Insumo],_xlfn.AGGREGATE(15,6,(Insumos_a_comprar[Planilla]=E$1)/(Insumos_a_comprar[Planilla]=E$1)*ROW(Insumos_a_comprar[Planilla])-ROW(Insumos_a_comprar[[#Headers],[Planilla]]),ROWS('Insumos a comprar'!$B$5:G47))),"")</f>
        <v/>
      </c>
      <c r="F44" s="29" t="str">
        <f>IF(ROWS('Insumos a comprar'!$B$5:H47)&lt;=COUNTIF(Insumos_a_comprar[Planilla],F$1),INDEX(Insumos_a_comprar[Insumo],_xlfn.AGGREGATE(15,6,(Insumos_a_comprar[Planilla]=F$1)/(Insumos_a_comprar[Planilla]=F$1)*ROW(Insumos_a_comprar[Planilla])-ROW(Insumos_a_comprar[[#Headers],[Planilla]]),ROWS('Insumos a comprar'!$B$5:H47))),"")</f>
        <v/>
      </c>
      <c r="G44" s="29" t="str">
        <f>IF(ROWS('Insumos a comprar'!$B$5:I47)&lt;=COUNTIF(Insumos_a_comprar[Planilla],G$1),INDEX(Insumos_a_comprar[Insumo],_xlfn.AGGREGATE(15,6,(Insumos_a_comprar[Planilla]=G$1)/(Insumos_a_comprar[Planilla]=G$1)*ROW(Insumos_a_comprar[Planilla])-ROW(Insumos_a_comprar[[#Headers],[Planilla]]),ROWS('Insumos a comprar'!$B$5:I47))),"")</f>
        <v/>
      </c>
      <c r="H44" s="29" t="str">
        <f>IF(ROWS('Insumos a comprar'!$B$5:I47)&lt;=COUNTIF(Insumos_a_comprar[Planilla],H$1),INDEX(Insumos_a_comprar[Insumo],_xlfn.AGGREGATE(15,6,(Insumos_a_comprar[Planilla]=H$1)/(Insumos_a_comprar[Planilla]=H$1)*ROW(Insumos_a_comprar[Planilla])-ROW(Insumos_a_comprar[[#Headers],[Planilla]]),ROWS('Insumos a comprar'!$B$5:I47))),"")</f>
        <v xml:space="preserve">Equipo SOXHLET parte 1 </v>
      </c>
      <c r="I44" s="29" t="str">
        <f>IF(ROWS('Insumos a comprar'!$B$5:I47)&lt;=COUNTIF(Insumos_a_comprar[Planilla],I$1),INDEX(Insumos_a_comprar[Insumo],_xlfn.AGGREGATE(15,6,(Insumos_a_comprar[Planilla]=I$1)/(Insumos_a_comprar[Planilla]=I$1)*ROW(Insumos_a_comprar[Planilla])-ROW(Insumos_a_comprar[[#Headers],[Planilla]]),ROWS('Insumos a comprar'!$B$5:I47))),"")</f>
        <v/>
      </c>
      <c r="J44" s="29" t="str">
        <f>IF(ROWS('Insumos a comprar'!$B$5:I47)&lt;=COUNTIF(Insumos_a_comprar[Planilla],J$1),INDEX(Insumos_a_comprar[Insumo],_xlfn.AGGREGATE(15,6,(Insumos_a_comprar[Planilla]=J$1)/(Insumos_a_comprar[Planilla]=J$1)*ROW(Insumos_a_comprar[Planilla])-ROW(Insumos_a_comprar[[#Headers],[Planilla]]),ROWS('Insumos a comprar'!$B$5:I47))),"")</f>
        <v>O-ring Chicos marrones</v>
      </c>
      <c r="K44" s="29" t="str">
        <f>IF(ROWS('Insumos a comprar'!$B$5:I47)&lt;=COUNTIF(Insumos_a_comprar[Planilla],K$1),INDEX(Insumos_a_comprar[Insumo],_xlfn.AGGREGATE(15,6,(Insumos_a_comprar[Planilla]=K$1)/(Insumos_a_comprar[Planilla]=K$1)*ROW(Insumos_a_comprar[Planilla])-ROW(Insumos_a_comprar[[#Headers],[Planilla]]),ROWS('Insumos a comprar'!$B$5:I47))),"")</f>
        <v/>
      </c>
      <c r="L44" s="29" t="str">
        <f>IF(ROWS('Insumos a comprar'!$B$5:I47)&lt;=COUNTIF(Insumos_a_comprar[Planilla],L$1),INDEX(Insumos_a_comprar[Insumo],_xlfn.AGGREGATE(15,6,(Insumos_a_comprar[Planilla]=L$1)/(Insumos_a_comprar[Planilla]=L$1)*ROW(Insumos_a_comprar[Planilla])-ROW(Insumos_a_comprar[[#Headers],[Planilla]]),ROWS('Insumos a comprar'!$B$5:I47))),"")</f>
        <v/>
      </c>
      <c r="M44" s="29"/>
      <c r="N44" s="29"/>
      <c r="O44" s="29"/>
      <c r="P44" s="29"/>
      <c r="Q44" s="29"/>
    </row>
    <row r="45" spans="1:17" ht="63" x14ac:dyDescent="0.25">
      <c r="A45" s="29" t="str">
        <f>IF(ROWS('Insumos a comprar'!$B$5:B48)&lt;=COUNTIF(Insumos_a_comprar[Planilla],A$1),INDEX(Insumos_a_comprar[Insumo],_xlfn.AGGREGATE(15,6,(Insumos_a_comprar[Planilla]=A$1)/(Insumos_a_comprar[Planilla]=A$1)*ROW(Insumos_a_comprar[Planilla])-ROW(Insumos_a_comprar[[#Headers],[Planilla]]),ROWS('Insumos a comprar'!$B$5:B48))),"")</f>
        <v>Sodio borohidruro (NaBH4)</v>
      </c>
      <c r="B45" s="29" t="str">
        <f>IF(ROWS('Insumos a comprar'!$B$5:B48)&lt;=COUNTIF(Insumos_a_comprar[Planilla],B$1),INDEX(Insumos_a_comprar[Insumo],_xlfn.AGGREGATE(15,6,(Insumos_a_comprar[Planilla]=B$1)/(Insumos_a_comprar[Planilla]=B$1)*ROW(Insumos_a_comprar[Planilla])-ROW(Insumos_a_comprar[[#Headers],[Planilla]]),ROWS('Insumos a comprar'!$B$5:B48))),"")</f>
        <v>O-toluidina</v>
      </c>
      <c r="C45" s="29" t="str">
        <f>IF(ROWS('Insumos a comprar'!$B$5:E48)&lt;=COUNTIF(Insumos_a_comprar[Planilla],C$1),INDEX(Insumos_a_comprar[Insumo],_xlfn.AGGREGATE(15,6,(Insumos_a_comprar[Planilla]=C$1)/(Insumos_a_comprar[Planilla]=C$1)*ROW(Insumos_a_comprar[Planilla])-ROW(Insumos_a_comprar[[#Headers],[Planilla]]),ROWS('Insumos a comprar'!$B$5:E48))),"")</f>
        <v/>
      </c>
      <c r="D45" s="29" t="str">
        <f>IF(ROWS('Insumos a comprar'!$B$5:F48)&lt;=COUNTIF(Insumos_a_comprar[Planilla],D$1),INDEX(Insumos_a_comprar[Insumo],_xlfn.AGGREGATE(15,6,(Insumos_a_comprar[Planilla]=D$1)/(Insumos_a_comprar[Planilla]=D$1)*ROW(Insumos_a_comprar[Planilla])-ROW(Insumos_a_comprar[[#Headers],[Planilla]]),ROWS('Insumos a comprar'!$B$5:F48))),"")</f>
        <v>Triacetina</v>
      </c>
      <c r="E45" s="29" t="str">
        <f>IF(ROWS('Insumos a comprar'!$B$5:G48)&lt;=COUNTIF(Insumos_a_comprar[Planilla],E$1),INDEX(Insumos_a_comprar[Insumo],_xlfn.AGGREGATE(15,6,(Insumos_a_comprar[Planilla]=E$1)/(Insumos_a_comprar[Planilla]=E$1)*ROW(Insumos_a_comprar[Planilla])-ROW(Insumos_a_comprar[[#Headers],[Planilla]]),ROWS('Insumos a comprar'!$B$5:G48))),"")</f>
        <v/>
      </c>
      <c r="F45" s="29" t="str">
        <f>IF(ROWS('Insumos a comprar'!$B$5:H48)&lt;=COUNTIF(Insumos_a_comprar[Planilla],F$1),INDEX(Insumos_a_comprar[Insumo],_xlfn.AGGREGATE(15,6,(Insumos_a_comprar[Planilla]=F$1)/(Insumos_a_comprar[Planilla]=F$1)*ROW(Insumos_a_comprar[Planilla])-ROW(Insumos_a_comprar[[#Headers],[Planilla]]),ROWS('Insumos a comprar'!$B$5:H48))),"")</f>
        <v/>
      </c>
      <c r="G45" s="29" t="str">
        <f>IF(ROWS('Insumos a comprar'!$B$5:I48)&lt;=COUNTIF(Insumos_a_comprar[Planilla],G$1),INDEX(Insumos_a_comprar[Insumo],_xlfn.AGGREGATE(15,6,(Insumos_a_comprar[Planilla]=G$1)/(Insumos_a_comprar[Planilla]=G$1)*ROW(Insumos_a_comprar[Planilla])-ROW(Insumos_a_comprar[[#Headers],[Planilla]]),ROWS('Insumos a comprar'!$B$5:I48))),"")</f>
        <v/>
      </c>
      <c r="H45" s="29" t="str">
        <f>IF(ROWS('Insumos a comprar'!$B$5:I48)&lt;=COUNTIF(Insumos_a_comprar[Planilla],H$1),INDEX(Insumos_a_comprar[Insumo],_xlfn.AGGREGATE(15,6,(Insumos_a_comprar[Planilla]=H$1)/(Insumos_a_comprar[Planilla]=H$1)*ROW(Insumos_a_comprar[Planilla])-ROW(Insumos_a_comprar[[#Headers],[Planilla]]),ROWS('Insumos a comprar'!$B$5:I48))),"")</f>
        <v xml:space="preserve">Equipo SOXHLET parte2 </v>
      </c>
      <c r="I45" s="29" t="str">
        <f>IF(ROWS('Insumos a comprar'!$B$5:I48)&lt;=COUNTIF(Insumos_a_comprar[Planilla],I$1),INDEX(Insumos_a_comprar[Insumo],_xlfn.AGGREGATE(15,6,(Insumos_a_comprar[Planilla]=I$1)/(Insumos_a_comprar[Planilla]=I$1)*ROW(Insumos_a_comprar[Planilla])-ROW(Insumos_a_comprar[[#Headers],[Planilla]]),ROWS('Insumos a comprar'!$B$5:I48))),"")</f>
        <v/>
      </c>
      <c r="J45" s="29" t="str">
        <f>IF(ROWS('Insumos a comprar'!$B$5:I48)&lt;=COUNTIF(Insumos_a_comprar[Planilla],J$1),INDEX(Insumos_a_comprar[Insumo],_xlfn.AGGREGATE(15,6,(Insumos_a_comprar[Planilla]=J$1)/(Insumos_a_comprar[Planilla]=J$1)*ROW(Insumos_a_comprar[Planilla])-ROW(Insumos_a_comprar[[#Headers],[Planilla]]),ROWS('Insumos a comprar'!$B$5:I48))),"")</f>
        <v>O-ring Para liner FID</v>
      </c>
      <c r="K45" s="29" t="str">
        <f>IF(ROWS('Insumos a comprar'!$B$5:I48)&lt;=COUNTIF(Insumos_a_comprar[Planilla],K$1),INDEX(Insumos_a_comprar[Insumo],_xlfn.AGGREGATE(15,6,(Insumos_a_comprar[Planilla]=K$1)/(Insumos_a_comprar[Planilla]=K$1)*ROW(Insumos_a_comprar[Planilla])-ROW(Insumos_a_comprar[[#Headers],[Planilla]]),ROWS('Insumos a comprar'!$B$5:I48))),"")</f>
        <v/>
      </c>
      <c r="L45" s="29" t="str">
        <f>IF(ROWS('Insumos a comprar'!$B$5:I48)&lt;=COUNTIF(Insumos_a_comprar[Planilla],L$1),INDEX(Insumos_a_comprar[Insumo],_xlfn.AGGREGATE(15,6,(Insumos_a_comprar[Planilla]=L$1)/(Insumos_a_comprar[Planilla]=L$1)*ROW(Insumos_a_comprar[Planilla])-ROW(Insumos_a_comprar[[#Headers],[Planilla]]),ROWS('Insumos a comprar'!$B$5:I48))),"")</f>
        <v/>
      </c>
      <c r="M45" s="29"/>
      <c r="N45" s="29"/>
      <c r="O45" s="29"/>
      <c r="P45" s="29"/>
      <c r="Q45" s="29"/>
    </row>
    <row r="46" spans="1:17" ht="63" x14ac:dyDescent="0.25">
      <c r="A46" s="29" t="str">
        <f>IF(ROWS('Insumos a comprar'!$B$5:B49)&lt;=COUNTIF(Insumos_a_comprar[Planilla],A$1),INDEX(Insumos_a_comprar[Insumo],_xlfn.AGGREGATE(15,6,(Insumos_a_comprar[Planilla]=A$1)/(Insumos_a_comprar[Planilla]=A$1)*ROW(Insumos_a_comprar[Planilla])-ROW(Insumos_a_comprar[[#Headers],[Planilla]]),ROWS('Insumos a comprar'!$B$5:B49))),"")</f>
        <v>Sodio carbonato  anhidro (NaCO3)</v>
      </c>
      <c r="B46" s="29" t="str">
        <f>IF(ROWS('Insumos a comprar'!$B$5:B49)&lt;=COUNTIF(Insumos_a_comprar[Planilla],B$1),INDEX(Insumos_a_comprar[Insumo],_xlfn.AGGREGATE(15,6,(Insumos_a_comprar[Planilla]=B$1)/(Insumos_a_comprar[Planilla]=B$1)*ROW(Insumos_a_comprar[Planilla])-ROW(Insumos_a_comprar[[#Headers],[Planilla]]),ROWS('Insumos a comprar'!$B$5:B49))),"")</f>
        <v>Plomo nitrato(Pb(NO3)2)</v>
      </c>
      <c r="C46" s="29" t="str">
        <f>IF(ROWS('Insumos a comprar'!$B$5:E49)&lt;=COUNTIF(Insumos_a_comprar[Planilla],C$1),INDEX(Insumos_a_comprar[Insumo],_xlfn.AGGREGATE(15,6,(Insumos_a_comprar[Planilla]=C$1)/(Insumos_a_comprar[Planilla]=C$1)*ROW(Insumos_a_comprar[Planilla])-ROW(Insumos_a_comprar[[#Headers],[Planilla]]),ROWS('Insumos a comprar'!$B$5:E49))),"")</f>
        <v/>
      </c>
      <c r="D46" s="29" t="str">
        <f>IF(ROWS('Insumos a comprar'!$B$5:F49)&lt;=COUNTIF(Insumos_a_comprar[Planilla],D$1),INDEX(Insumos_a_comprar[Insumo],_xlfn.AGGREGATE(15,6,(Insumos_a_comprar[Planilla]=D$1)/(Insumos_a_comprar[Planilla]=D$1)*ROW(Insumos_a_comprar[Planilla])-ROW(Insumos_a_comprar[[#Headers],[Planilla]]),ROWS('Insumos a comprar'!$B$5:F49))),"")</f>
        <v>Trietanol amina</v>
      </c>
      <c r="E46" s="29" t="str">
        <f>IF(ROWS('Insumos a comprar'!$B$5:G49)&lt;=COUNTIF(Insumos_a_comprar[Planilla],E$1),INDEX(Insumos_a_comprar[Insumo],_xlfn.AGGREGATE(15,6,(Insumos_a_comprar[Planilla]=E$1)/(Insumos_a_comprar[Planilla]=E$1)*ROW(Insumos_a_comprar[Planilla])-ROW(Insumos_a_comprar[[#Headers],[Planilla]]),ROWS('Insumos a comprar'!$B$5:G49))),"")</f>
        <v/>
      </c>
      <c r="F46" s="29" t="str">
        <f>IF(ROWS('Insumos a comprar'!$B$5:H49)&lt;=COUNTIF(Insumos_a_comprar[Planilla],F$1),INDEX(Insumos_a_comprar[Insumo],_xlfn.AGGREGATE(15,6,(Insumos_a_comprar[Planilla]=F$1)/(Insumos_a_comprar[Planilla]=F$1)*ROW(Insumos_a_comprar[Planilla])-ROW(Insumos_a_comprar[[#Headers],[Planilla]]),ROWS('Insumos a comprar'!$B$5:H49))),"")</f>
        <v/>
      </c>
      <c r="G46" s="29" t="str">
        <f>IF(ROWS('Insumos a comprar'!$B$5:I49)&lt;=COUNTIF(Insumos_a_comprar[Planilla],G$1),INDEX(Insumos_a_comprar[Insumo],_xlfn.AGGREGATE(15,6,(Insumos_a_comprar[Planilla]=G$1)/(Insumos_a_comprar[Planilla]=G$1)*ROW(Insumos_a_comprar[Planilla])-ROW(Insumos_a_comprar[[#Headers],[Planilla]]),ROWS('Insumos a comprar'!$B$5:I49))),"")</f>
        <v/>
      </c>
      <c r="H46" s="29" t="str">
        <f>IF(ROWS('Insumos a comprar'!$B$5:I49)&lt;=COUNTIF(Insumos_a_comprar[Planilla],H$1),INDEX(Insumos_a_comprar[Insumo],_xlfn.AGGREGATE(15,6,(Insumos_a_comprar[Planilla]=H$1)/(Insumos_a_comprar[Planilla]=H$1)*ROW(Insumos_a_comprar[Planilla])-ROW(Insumos_a_comprar[[#Headers],[Planilla]]),ROWS('Insumos a comprar'!$B$5:I49))),"")</f>
        <v xml:space="preserve">Equipos de arsénico  </v>
      </c>
      <c r="I46" s="29" t="str">
        <f>IF(ROWS('Insumos a comprar'!$B$5:I49)&lt;=COUNTIF(Insumos_a_comprar[Planilla],I$1),INDEX(Insumos_a_comprar[Insumo],_xlfn.AGGREGATE(15,6,(Insumos_a_comprar[Planilla]=I$1)/(Insumos_a_comprar[Planilla]=I$1)*ROW(Insumos_a_comprar[Planilla])-ROW(Insumos_a_comprar[[#Headers],[Planilla]]),ROWS('Insumos a comprar'!$B$5:I49))),"")</f>
        <v/>
      </c>
      <c r="J46" s="29" t="str">
        <f>IF(ROWS('Insumos a comprar'!$B$5:I49)&lt;=COUNTIF(Insumos_a_comprar[Planilla],J$1),INDEX(Insumos_a_comprar[Insumo],_xlfn.AGGREGATE(15,6,(Insumos_a_comprar[Planilla]=J$1)/(Insumos_a_comprar[Planilla]=J$1)*ROW(Insumos_a_comprar[Planilla])-ROW(Insumos_a_comprar[[#Headers],[Planilla]]),ROWS('Insumos a comprar'!$B$5:I49))),"")</f>
        <v>O-ring Para liners MS</v>
      </c>
      <c r="K46" s="29" t="str">
        <f>IF(ROWS('Insumos a comprar'!$B$5:I49)&lt;=COUNTIF(Insumos_a_comprar[Planilla],K$1),INDEX(Insumos_a_comprar[Insumo],_xlfn.AGGREGATE(15,6,(Insumos_a_comprar[Planilla]=K$1)/(Insumos_a_comprar[Planilla]=K$1)*ROW(Insumos_a_comprar[Planilla])-ROW(Insumos_a_comprar[[#Headers],[Planilla]]),ROWS('Insumos a comprar'!$B$5:I49))),"")</f>
        <v/>
      </c>
      <c r="L46" s="29" t="str">
        <f>IF(ROWS('Insumos a comprar'!$B$5:I49)&lt;=COUNTIF(Insumos_a_comprar[Planilla],L$1),INDEX(Insumos_a_comprar[Insumo],_xlfn.AGGREGATE(15,6,(Insumos_a_comprar[Planilla]=L$1)/(Insumos_a_comprar[Planilla]=L$1)*ROW(Insumos_a_comprar[Planilla])-ROW(Insumos_a_comprar[[#Headers],[Planilla]]),ROWS('Insumos a comprar'!$B$5:I49))),"")</f>
        <v/>
      </c>
      <c r="M46" s="29"/>
      <c r="N46" s="29"/>
      <c r="O46" s="29"/>
      <c r="P46" s="29"/>
      <c r="Q46" s="29"/>
    </row>
    <row r="47" spans="1:17" ht="63" x14ac:dyDescent="0.25">
      <c r="A47" s="29" t="str">
        <f>IF(ROWS('Insumos a comprar'!$B$5:B49)&lt;=COUNTIF(Insumos_a_comprar[Planilla],A$1),INDEX(Insumos_a_comprar[Insumo],_xlfn.AGGREGATE(15,6,(Insumos_a_comprar[Planilla]=A$1)/(Insumos_a_comprar[Planilla]=A$1)*ROW(Insumos_a_comprar[Planilla])-ROW(Insumos_a_comprar[[#Headers],[Planilla]]),ROWS('Insumos a comprar'!$B$5:B49))),"")</f>
        <v>Sodio carbonato  anhidro (NaCO3)</v>
      </c>
      <c r="B47" s="29" t="str">
        <f>IF(ROWS('Insumos a comprar'!$B$5:B49)&lt;=COUNTIF(Insumos_a_comprar[Planilla],B$1),INDEX(Insumos_a_comprar[Insumo],_xlfn.AGGREGATE(15,6,(Insumos_a_comprar[Planilla]=B$1)/(Insumos_a_comprar[Planilla]=B$1)*ROW(Insumos_a_comprar[Planilla])-ROW(Insumos_a_comprar[[#Headers],[Planilla]]),ROWS('Insumos a comprar'!$B$5:B49))),"")</f>
        <v>Plomo nitrato(Pb(NO3)2)</v>
      </c>
      <c r="C47" s="29" t="str">
        <f>IF(ROWS('Insumos a comprar'!$B$5:E49)&lt;=COUNTIF(Insumos_a_comprar[Planilla],C$1),INDEX(Insumos_a_comprar[Insumo],_xlfn.AGGREGATE(15,6,(Insumos_a_comprar[Planilla]=C$1)/(Insumos_a_comprar[Planilla]=C$1)*ROW(Insumos_a_comprar[Planilla])-ROW(Insumos_a_comprar[[#Headers],[Planilla]]),ROWS('Insumos a comprar'!$B$5:E49))),"")</f>
        <v/>
      </c>
      <c r="D47" s="29" t="str">
        <f>IF(ROWS('Insumos a comprar'!$B$5:F49)&lt;=COUNTIF(Insumos_a_comprar[Planilla],D$1),INDEX(Insumos_a_comprar[Insumo],_xlfn.AGGREGATE(15,6,(Insumos_a_comprar[Planilla]=D$1)/(Insumos_a_comprar[Planilla]=D$1)*ROW(Insumos_a_comprar[Planilla])-ROW(Insumos_a_comprar[[#Headers],[Planilla]]),ROWS('Insumos a comprar'!$B$5:F49))),"")</f>
        <v>Trietanol amina</v>
      </c>
      <c r="E47" s="29" t="str">
        <f>IF(ROWS('Insumos a comprar'!$B$5:G49)&lt;=COUNTIF(Insumos_a_comprar[Planilla],E$1),INDEX(Insumos_a_comprar[Insumo],_xlfn.AGGREGATE(15,6,(Insumos_a_comprar[Planilla]=E$1)/(Insumos_a_comprar[Planilla]=E$1)*ROW(Insumos_a_comprar[Planilla])-ROW(Insumos_a_comprar[[#Headers],[Planilla]]),ROWS('Insumos a comprar'!$B$5:G49))),"")</f>
        <v/>
      </c>
      <c r="F47" s="29" t="str">
        <f>IF(ROWS('Insumos a comprar'!$B$5:H49)&lt;=COUNTIF(Insumos_a_comprar[Planilla],F$1),INDEX(Insumos_a_comprar[Insumo],_xlfn.AGGREGATE(15,6,(Insumos_a_comprar[Planilla]=F$1)/(Insumos_a_comprar[Planilla]=F$1)*ROW(Insumos_a_comprar[Planilla])-ROW(Insumos_a_comprar[[#Headers],[Planilla]]),ROWS('Insumos a comprar'!$B$5:H49))),"")</f>
        <v/>
      </c>
      <c r="G47" s="29" t="str">
        <f>IF(ROWS('Insumos a comprar'!$B$5:I49)&lt;=COUNTIF(Insumos_a_comprar[Planilla],G$1),INDEX(Insumos_a_comprar[Insumo],_xlfn.AGGREGATE(15,6,(Insumos_a_comprar[Planilla]=G$1)/(Insumos_a_comprar[Planilla]=G$1)*ROW(Insumos_a_comprar[Planilla])-ROW(Insumos_a_comprar[[#Headers],[Planilla]]),ROWS('Insumos a comprar'!$B$5:I49))),"")</f>
        <v/>
      </c>
      <c r="H47" s="29" t="str">
        <f>IF(ROWS('Insumos a comprar'!$B$5:I49)&lt;=COUNTIF(Insumos_a_comprar[Planilla],H$1),INDEX(Insumos_a_comprar[Insumo],_xlfn.AGGREGATE(15,6,(Insumos_a_comprar[Planilla]=H$1)/(Insumos_a_comprar[Planilla]=H$1)*ROW(Insumos_a_comprar[Planilla])-ROW(Insumos_a_comprar[[#Headers],[Planilla]]),ROWS('Insumos a comprar'!$B$5:I49))),"")</f>
        <v xml:space="preserve">Equipos de arsénico  </v>
      </c>
      <c r="I47" s="29" t="str">
        <f>IF(ROWS('Insumos a comprar'!$B$5:I49)&lt;=COUNTIF(Insumos_a_comprar[Planilla],I$1),INDEX(Insumos_a_comprar[Insumo],_xlfn.AGGREGATE(15,6,(Insumos_a_comprar[Planilla]=I$1)/(Insumos_a_comprar[Planilla]=I$1)*ROW(Insumos_a_comprar[Planilla])-ROW(Insumos_a_comprar[[#Headers],[Planilla]]),ROWS('Insumos a comprar'!$B$5:I49))),"")</f>
        <v/>
      </c>
      <c r="J47" s="29" t="str">
        <f>IF(ROWS('Insumos a comprar'!$B$5:I49)&lt;=COUNTIF(Insumos_a_comprar[Planilla],J$1),INDEX(Insumos_a_comprar[Insumo],_xlfn.AGGREGATE(15,6,(Insumos_a_comprar[Planilla]=J$1)/(Insumos_a_comprar[Planilla]=J$1)*ROW(Insumos_a_comprar[Planilla])-ROW(Insumos_a_comprar[[#Headers],[Planilla]]),ROWS('Insumos a comprar'!$B$5:I49))),"")</f>
        <v>O-ring Para liners MS</v>
      </c>
      <c r="K47" s="29" t="str">
        <f>IF(ROWS('Insumos a comprar'!$B$5:I49)&lt;=COUNTIF(Insumos_a_comprar[Planilla],K$1),INDEX(Insumos_a_comprar[Insumo],_xlfn.AGGREGATE(15,6,(Insumos_a_comprar[Planilla]=K$1)/(Insumos_a_comprar[Planilla]=K$1)*ROW(Insumos_a_comprar[Planilla])-ROW(Insumos_a_comprar[[#Headers],[Planilla]]),ROWS('Insumos a comprar'!$B$5:I49))),"")</f>
        <v/>
      </c>
      <c r="L47" s="29" t="str">
        <f>IF(ROWS('Insumos a comprar'!$B$5:I49)&lt;=COUNTIF(Insumos_a_comprar[Planilla],L$1),INDEX(Insumos_a_comprar[Insumo],_xlfn.AGGREGATE(15,6,(Insumos_a_comprar[Planilla]=L$1)/(Insumos_a_comprar[Planilla]=L$1)*ROW(Insumos_a_comprar[Planilla])-ROW(Insumos_a_comprar[[#Headers],[Planilla]]),ROWS('Insumos a comprar'!$B$5:I49))),"")</f>
        <v/>
      </c>
      <c r="M47" s="29"/>
      <c r="N47" s="29"/>
      <c r="O47" s="29"/>
      <c r="P47" s="29"/>
      <c r="Q47" s="29"/>
    </row>
    <row r="48" spans="1:17" ht="47.25" x14ac:dyDescent="0.25">
      <c r="A48" s="29" t="str">
        <f>IF(ROWS('Insumos a comprar'!$B$5:B50)&lt;=COUNTIF(Insumos_a_comprar[Planilla],A$1),INDEX(Insumos_a_comprar[Insumo],_xlfn.AGGREGATE(15,6,(Insumos_a_comprar[Planilla]=A$1)/(Insumos_a_comprar[Planilla]=A$1)*ROW(Insumos_a_comprar[Planilla])-ROW(Insumos_a_comprar[[#Headers],[Planilla]]),ROWS('Insumos a comprar'!$B$5:B50))),"")</f>
        <v>Sodio cloruro</v>
      </c>
      <c r="B48" s="29" t="str">
        <f>IF(ROWS('Insumos a comprar'!$B$5:B50)&lt;=COUNTIF(Insumos_a_comprar[Planilla],B$1),INDEX(Insumos_a_comprar[Insumo],_xlfn.AGGREGATE(15,6,(Insumos_a_comprar[Planilla]=B$1)/(Insumos_a_comprar[Planilla]=B$1)*ROW(Insumos_a_comprar[Planilla])-ROW(Insumos_a_comprar[[#Headers],[Planilla]]),ROWS('Insumos a comprar'!$B$5:B50))),"")</f>
        <v>Potasio dicromato (K2Cr2O7)</v>
      </c>
      <c r="C48" s="29" t="str">
        <f>IF(ROWS('Insumos a comprar'!$B$5:E50)&lt;=COUNTIF(Insumos_a_comprar[Planilla],C$1),INDEX(Insumos_a_comprar[Insumo],_xlfn.AGGREGATE(15,6,(Insumos_a_comprar[Planilla]=C$1)/(Insumos_a_comprar[Planilla]=C$1)*ROW(Insumos_a_comprar[Planilla])-ROW(Insumos_a_comprar[[#Headers],[Planilla]]),ROWS('Insumos a comprar'!$B$5:E50))),"")</f>
        <v/>
      </c>
      <c r="D48" s="29" t="str">
        <f>IF(ROWS('Insumos a comprar'!$B$5:F50)&lt;=COUNTIF(Insumos_a_comprar[Planilla],D$1),INDEX(Insumos_a_comprar[Insumo],_xlfn.AGGREGATE(15,6,(Insumos_a_comprar[Planilla]=D$1)/(Insumos_a_comprar[Planilla]=D$1)*ROW(Insumos_a_comprar[Planilla])-ROW(Insumos_a_comprar[[#Headers],[Planilla]]),ROWS('Insumos a comprar'!$B$5:F50))),"")</f>
        <v/>
      </c>
      <c r="E48" s="29" t="str">
        <f>IF(ROWS('Insumos a comprar'!$B$5:G50)&lt;=COUNTIF(Insumos_a_comprar[Planilla],E$1),INDEX(Insumos_a_comprar[Insumo],_xlfn.AGGREGATE(15,6,(Insumos_a_comprar[Planilla]=E$1)/(Insumos_a_comprar[Planilla]=E$1)*ROW(Insumos_a_comprar[Planilla])-ROW(Insumos_a_comprar[[#Headers],[Planilla]]),ROWS('Insumos a comprar'!$B$5:G50))),"")</f>
        <v/>
      </c>
      <c r="F48" s="29" t="str">
        <f>IF(ROWS('Insumos a comprar'!$B$5:H50)&lt;=COUNTIF(Insumos_a_comprar[Planilla],F$1),INDEX(Insumos_a_comprar[Insumo],_xlfn.AGGREGATE(15,6,(Insumos_a_comprar[Planilla]=F$1)/(Insumos_a_comprar[Planilla]=F$1)*ROW(Insumos_a_comprar[Planilla])-ROW(Insumos_a_comprar[[#Headers],[Planilla]]),ROWS('Insumos a comprar'!$B$5:H50))),"")</f>
        <v/>
      </c>
      <c r="G48" s="29" t="str">
        <f>IF(ROWS('Insumos a comprar'!$B$5:I50)&lt;=COUNTIF(Insumos_a_comprar[Planilla],G$1),INDEX(Insumos_a_comprar[Insumo],_xlfn.AGGREGATE(15,6,(Insumos_a_comprar[Planilla]=G$1)/(Insumos_a_comprar[Planilla]=G$1)*ROW(Insumos_a_comprar[Planilla])-ROW(Insumos_a_comprar[[#Headers],[Planilla]]),ROWS('Insumos a comprar'!$B$5:I50))),"")</f>
        <v/>
      </c>
      <c r="H48" s="29" t="str">
        <f>IF(ROWS('Insumos a comprar'!$B$5:I50)&lt;=COUNTIF(Insumos_a_comprar[Planilla],H$1),INDEX(Insumos_a_comprar[Insumo],_xlfn.AGGREGATE(15,6,(Insumos_a_comprar[Planilla]=H$1)/(Insumos_a_comprar[Planilla]=H$1)*ROW(Insumos_a_comprar[Planilla])-ROW(Insumos_a_comprar[[#Headers],[Planilla]]),ROWS('Insumos a comprar'!$B$5:I50))),"")</f>
        <v xml:space="preserve">Equipos de destilación Alargadera </v>
      </c>
      <c r="I48" s="29" t="str">
        <f>IF(ROWS('Insumos a comprar'!$B$5:I50)&lt;=COUNTIF(Insumos_a_comprar[Planilla],I$1),INDEX(Insumos_a_comprar[Insumo],_xlfn.AGGREGATE(15,6,(Insumos_a_comprar[Planilla]=I$1)/(Insumos_a_comprar[Planilla]=I$1)*ROW(Insumos_a_comprar[Planilla])-ROW(Insumos_a_comprar[[#Headers],[Planilla]]),ROWS('Insumos a comprar'!$B$5:I50))),"")</f>
        <v/>
      </c>
      <c r="J48" s="29" t="str">
        <f>IF(ROWS('Insumos a comprar'!$B$5:I50)&lt;=COUNTIF(Insumos_a_comprar[Planilla],J$1),INDEX(Insumos_a_comprar[Insumo],_xlfn.AGGREGATE(15,6,(Insumos_a_comprar[Planilla]=J$1)/(Insumos_a_comprar[Planilla]=J$1)*ROW(Insumos_a_comprar[Planilla])-ROW(Insumos_a_comprar[[#Headers],[Planilla]]),ROWS('Insumos a comprar'!$B$5:I50))),"")</f>
        <v xml:space="preserve">Palito quita ferrules </v>
      </c>
      <c r="K48" s="29" t="str">
        <f>IF(ROWS('Insumos a comprar'!$B$5:I50)&lt;=COUNTIF(Insumos_a_comprar[Planilla],K$1),INDEX(Insumos_a_comprar[Insumo],_xlfn.AGGREGATE(15,6,(Insumos_a_comprar[Planilla]=K$1)/(Insumos_a_comprar[Planilla]=K$1)*ROW(Insumos_a_comprar[Planilla])-ROW(Insumos_a_comprar[[#Headers],[Planilla]]),ROWS('Insumos a comprar'!$B$5:I50))),"")</f>
        <v/>
      </c>
      <c r="L48" s="29" t="str">
        <f>IF(ROWS('Insumos a comprar'!$B$5:I50)&lt;=COUNTIF(Insumos_a_comprar[Planilla],L$1),INDEX(Insumos_a_comprar[Insumo],_xlfn.AGGREGATE(15,6,(Insumos_a_comprar[Planilla]=L$1)/(Insumos_a_comprar[Planilla]=L$1)*ROW(Insumos_a_comprar[Planilla])-ROW(Insumos_a_comprar[[#Headers],[Planilla]]),ROWS('Insumos a comprar'!$B$5:I50))),"")</f>
        <v/>
      </c>
      <c r="M48" s="29"/>
      <c r="N48" s="29"/>
      <c r="O48" s="29"/>
      <c r="P48" s="29"/>
      <c r="Q48" s="29"/>
    </row>
    <row r="49" spans="1:17" ht="31.5" x14ac:dyDescent="0.25">
      <c r="A49" s="29" t="str">
        <f>IF(ROWS('Insumos a comprar'!$B$5:B51)&lt;=COUNTIF(Insumos_a_comprar[Planilla],A$1),INDEX(Insumos_a_comprar[Insumo],_xlfn.AGGREGATE(15,6,(Insumos_a_comprar[Planilla]=A$1)/(Insumos_a_comprar[Planilla]=A$1)*ROW(Insumos_a_comprar[Planilla])-ROW(Insumos_a_comprar[[#Headers],[Planilla]]),ROWS('Insumos a comprar'!$B$5:B51))),"")</f>
        <v>Sodio fosfato monobasico (NaH2PO4)</v>
      </c>
      <c r="B49" s="29" t="str">
        <f>IF(ROWS('Insumos a comprar'!$B$5:B51)&lt;=COUNTIF(Insumos_a_comprar[Planilla],B$1),INDEX(Insumos_a_comprar[Insumo],_xlfn.AGGREGATE(15,6,(Insumos_a_comprar[Planilla]=B$1)/(Insumos_a_comprar[Planilla]=B$1)*ROW(Insumos_a_comprar[Planilla])-ROW(Insumos_a_comprar[[#Headers],[Planilla]]),ROWS('Insumos a comprar'!$B$5:B51))),"")</f>
        <v>Potasio Ferrocianuro 3-hidrato (Anhidro)</v>
      </c>
      <c r="C49" s="29" t="str">
        <f>IF(ROWS('Insumos a comprar'!$B$5:E51)&lt;=COUNTIF(Insumos_a_comprar[Planilla],C$1),INDEX(Insumos_a_comprar[Insumo],_xlfn.AGGREGATE(15,6,(Insumos_a_comprar[Planilla]=C$1)/(Insumos_a_comprar[Planilla]=C$1)*ROW(Insumos_a_comprar[Planilla])-ROW(Insumos_a_comprar[[#Headers],[Planilla]]),ROWS('Insumos a comprar'!$B$5:E51))),"")</f>
        <v/>
      </c>
      <c r="D49" s="29" t="str">
        <f>IF(ROWS('Insumos a comprar'!$B$5:F51)&lt;=COUNTIF(Insumos_a_comprar[Planilla],D$1),INDEX(Insumos_a_comprar[Insumo],_xlfn.AGGREGATE(15,6,(Insumos_a_comprar[Planilla]=D$1)/(Insumos_a_comprar[Planilla]=D$1)*ROW(Insumos_a_comprar[Planilla])-ROW(Insumos_a_comprar[[#Headers],[Planilla]]),ROWS('Insumos a comprar'!$B$5:F51))),"")</f>
        <v/>
      </c>
      <c r="E49" s="29" t="str">
        <f>IF(ROWS('Insumos a comprar'!$B$5:G51)&lt;=COUNTIF(Insumos_a_comprar[Planilla],E$1),INDEX(Insumos_a_comprar[Insumo],_xlfn.AGGREGATE(15,6,(Insumos_a_comprar[Planilla]=E$1)/(Insumos_a_comprar[Planilla]=E$1)*ROW(Insumos_a_comprar[Planilla])-ROW(Insumos_a_comprar[[#Headers],[Planilla]]),ROWS('Insumos a comprar'!$B$5:G51))),"")</f>
        <v/>
      </c>
      <c r="F49" s="29" t="str">
        <f>IF(ROWS('Insumos a comprar'!$B$5:H51)&lt;=COUNTIF(Insumos_a_comprar[Planilla],F$1),INDEX(Insumos_a_comprar[Insumo],_xlfn.AGGREGATE(15,6,(Insumos_a_comprar[Planilla]=F$1)/(Insumos_a_comprar[Planilla]=F$1)*ROW(Insumos_a_comprar[Planilla])-ROW(Insumos_a_comprar[[#Headers],[Planilla]]),ROWS('Insumos a comprar'!$B$5:H51))),"")</f>
        <v/>
      </c>
      <c r="G49" s="29" t="str">
        <f>IF(ROWS('Insumos a comprar'!$B$5:I51)&lt;=COUNTIF(Insumos_a_comprar[Planilla],G$1),INDEX(Insumos_a_comprar[Insumo],_xlfn.AGGREGATE(15,6,(Insumos_a_comprar[Planilla]=G$1)/(Insumos_a_comprar[Planilla]=G$1)*ROW(Insumos_a_comprar[Planilla])-ROW(Insumos_a_comprar[[#Headers],[Planilla]]),ROWS('Insumos a comprar'!$B$5:I51))),"")</f>
        <v/>
      </c>
      <c r="H49" s="29" t="str">
        <f>IF(ROWS('Insumos a comprar'!$B$5:I51)&lt;=COUNTIF(Insumos_a_comprar[Planilla],H$1),INDEX(Insumos_a_comprar[Insumo],_xlfn.AGGREGATE(15,6,(Insumos_a_comprar[Planilla]=H$1)/(Insumos_a_comprar[Planilla]=H$1)*ROW(Insumos_a_comprar[Planilla])-ROW(Insumos_a_comprar[[#Headers],[Planilla]]),ROWS('Insumos a comprar'!$B$5:I51))),"")</f>
        <v xml:space="preserve">Equipos de destilación Cabezal </v>
      </c>
      <c r="I49" s="29" t="str">
        <f>IF(ROWS('Insumos a comprar'!$B$5:I51)&lt;=COUNTIF(Insumos_a_comprar[Planilla],I$1),INDEX(Insumos_a_comprar[Insumo],_xlfn.AGGREGATE(15,6,(Insumos_a_comprar[Planilla]=I$1)/(Insumos_a_comprar[Planilla]=I$1)*ROW(Insumos_a_comprar[Planilla])-ROW(Insumos_a_comprar[[#Headers],[Planilla]]),ROWS('Insumos a comprar'!$B$5:I51))),"")</f>
        <v/>
      </c>
      <c r="J49" s="29" t="str">
        <f>IF(ROWS('Insumos a comprar'!$B$5:I51)&lt;=COUNTIF(Insumos_a_comprar[Planilla],J$1),INDEX(Insumos_a_comprar[Insumo],_xlfn.AGGREGATE(15,6,(Insumos_a_comprar[Planilla]=J$1)/(Insumos_a_comprar[Planilla]=J$1)*ROW(Insumos_a_comprar[Planilla])-ROW(Insumos_a_comprar[[#Headers],[Planilla]]),ROWS('Insumos a comprar'!$B$5:I51))),"")</f>
        <v xml:space="preserve">PFTBA </v>
      </c>
      <c r="K49" s="29" t="str">
        <f>IF(ROWS('Insumos a comprar'!$B$5:I51)&lt;=COUNTIF(Insumos_a_comprar[Planilla],K$1),INDEX(Insumos_a_comprar[Insumo],_xlfn.AGGREGATE(15,6,(Insumos_a_comprar[Planilla]=K$1)/(Insumos_a_comprar[Planilla]=K$1)*ROW(Insumos_a_comprar[Planilla])-ROW(Insumos_a_comprar[[#Headers],[Planilla]]),ROWS('Insumos a comprar'!$B$5:I51))),"")</f>
        <v/>
      </c>
      <c r="L49" s="29" t="str">
        <f>IF(ROWS('Insumos a comprar'!$B$5:I51)&lt;=COUNTIF(Insumos_a_comprar[Planilla],L$1),INDEX(Insumos_a_comprar[Insumo],_xlfn.AGGREGATE(15,6,(Insumos_a_comprar[Planilla]=L$1)/(Insumos_a_comprar[Planilla]=L$1)*ROW(Insumos_a_comprar[Planilla])-ROW(Insumos_a_comprar[[#Headers],[Planilla]]),ROWS('Insumos a comprar'!$B$5:I51))),"")</f>
        <v/>
      </c>
      <c r="M49" s="29"/>
      <c r="N49" s="29"/>
      <c r="O49" s="29"/>
      <c r="P49" s="29"/>
      <c r="Q49" s="29"/>
    </row>
    <row r="50" spans="1:17" ht="31.5" x14ac:dyDescent="0.25">
      <c r="A50" s="29" t="str">
        <f>IF(ROWS('Insumos a comprar'!$B$5:B52)&lt;=COUNTIF(Insumos_a_comprar[Planilla],A$1),INDEX(Insumos_a_comprar[Insumo],_xlfn.AGGREGATE(15,6,(Insumos_a_comprar[Planilla]=A$1)/(Insumos_a_comprar[Planilla]=A$1)*ROW(Insumos_a_comprar[Planilla])-ROW(Insumos_a_comprar[[#Headers],[Planilla]]),ROWS('Insumos a comprar'!$B$5:B52))),"")</f>
        <v>Sodio Hidróxido (perlitas) (NaOH)</v>
      </c>
      <c r="B50" s="29" t="str">
        <f>IF(ROWS('Insumos a comprar'!$B$5:B52)&lt;=COUNTIF(Insumos_a_comprar[Planilla],B$1),INDEX(Insumos_a_comprar[Insumo],_xlfn.AGGREGATE(15,6,(Insumos_a_comprar[Planilla]=B$1)/(Insumos_a_comprar[Planilla]=B$1)*ROW(Insumos_a_comprar[Planilla])-ROW(Insumos_a_comprar[[#Headers],[Planilla]]),ROWS('Insumos a comprar'!$B$5:B52))),"")</f>
        <v>Potasio hexanoplatinato (K2PtCl6)</v>
      </c>
      <c r="C50" s="29" t="str">
        <f>IF(ROWS('Insumos a comprar'!$B$5:E52)&lt;=COUNTIF(Insumos_a_comprar[Planilla],C$1),INDEX(Insumos_a_comprar[Insumo],_xlfn.AGGREGATE(15,6,(Insumos_a_comprar[Planilla]=C$1)/(Insumos_a_comprar[Planilla]=C$1)*ROW(Insumos_a_comprar[Planilla])-ROW(Insumos_a_comprar[[#Headers],[Planilla]]),ROWS('Insumos a comprar'!$B$5:E52))),"")</f>
        <v/>
      </c>
      <c r="D50" s="29" t="str">
        <f>IF(ROWS('Insumos a comprar'!$B$5:F52)&lt;=COUNTIF(Insumos_a_comprar[Planilla],D$1),INDEX(Insumos_a_comprar[Insumo],_xlfn.AGGREGATE(15,6,(Insumos_a_comprar[Planilla]=D$1)/(Insumos_a_comprar[Planilla]=D$1)*ROW(Insumos_a_comprar[Planilla])-ROW(Insumos_a_comprar[[#Headers],[Planilla]]),ROWS('Insumos a comprar'!$B$5:F52))),"")</f>
        <v/>
      </c>
      <c r="E50" s="29" t="str">
        <f>IF(ROWS('Insumos a comprar'!$B$5:G52)&lt;=COUNTIF(Insumos_a_comprar[Planilla],E$1),INDEX(Insumos_a_comprar[Insumo],_xlfn.AGGREGATE(15,6,(Insumos_a_comprar[Planilla]=E$1)/(Insumos_a_comprar[Planilla]=E$1)*ROW(Insumos_a_comprar[Planilla])-ROW(Insumos_a_comprar[[#Headers],[Planilla]]),ROWS('Insumos a comprar'!$B$5:G52))),"")</f>
        <v/>
      </c>
      <c r="F50" s="29" t="str">
        <f>IF(ROWS('Insumos a comprar'!$B$5:H52)&lt;=COUNTIF(Insumos_a_comprar[Planilla],F$1),INDEX(Insumos_a_comprar[Insumo],_xlfn.AGGREGATE(15,6,(Insumos_a_comprar[Planilla]=F$1)/(Insumos_a_comprar[Planilla]=F$1)*ROW(Insumos_a_comprar[Planilla])-ROW(Insumos_a_comprar[[#Headers],[Planilla]]),ROWS('Insumos a comprar'!$B$5:H52))),"")</f>
        <v/>
      </c>
      <c r="G50" s="29" t="str">
        <f>IF(ROWS('Insumos a comprar'!$B$5:I52)&lt;=COUNTIF(Insumos_a_comprar[Planilla],G$1),INDEX(Insumos_a_comprar[Insumo],_xlfn.AGGREGATE(15,6,(Insumos_a_comprar[Planilla]=G$1)/(Insumos_a_comprar[Planilla]=G$1)*ROW(Insumos_a_comprar[Planilla])-ROW(Insumos_a_comprar[[#Headers],[Planilla]]),ROWS('Insumos a comprar'!$B$5:I52))),"")</f>
        <v/>
      </c>
      <c r="H50" s="29" t="str">
        <f>IF(ROWS('Insumos a comprar'!$B$5:I52)&lt;=COUNTIF(Insumos_a_comprar[Planilla],H$1),INDEX(Insumos_a_comprar[Insumo],_xlfn.AGGREGATE(15,6,(Insumos_a_comprar[Planilla]=H$1)/(Insumos_a_comprar[Planilla]=H$1)*ROW(Insumos_a_comprar[Planilla])-ROW(Insumos_a_comprar[[#Headers],[Planilla]]),ROWS('Insumos a comprar'!$B$5:I52))),"")</f>
        <v xml:space="preserve">Equipos de destilación Refrigerante </v>
      </c>
      <c r="I50" s="29" t="str">
        <f>IF(ROWS('Insumos a comprar'!$B$5:I52)&lt;=COUNTIF(Insumos_a_comprar[Planilla],I$1),INDEX(Insumos_a_comprar[Insumo],_xlfn.AGGREGATE(15,6,(Insumos_a_comprar[Planilla]=I$1)/(Insumos_a_comprar[Planilla]=I$1)*ROW(Insumos_a_comprar[Planilla])-ROW(Insumos_a_comprar[[#Headers],[Planilla]]),ROWS('Insumos a comprar'!$B$5:I52))),"")</f>
        <v/>
      </c>
      <c r="J50" s="29" t="str">
        <f>IF(ROWS('Insumos a comprar'!$B$5:I52)&lt;=COUNTIF(Insumos_a_comprar[Planilla],J$1),INDEX(Insumos_a_comprar[Insumo],_xlfn.AGGREGATE(15,6,(Insumos_a_comprar[Planilla]=J$1)/(Insumos_a_comprar[Planilla]=J$1)*ROW(Insumos_a_comprar[Planilla])-ROW(Insumos_a_comprar[[#Headers],[Planilla]]),ROWS('Insumos a comprar'!$B$5:I52))),"")</f>
        <v>Pinza de metal</v>
      </c>
      <c r="K50" s="29" t="str">
        <f>IF(ROWS('Insumos a comprar'!$B$5:I52)&lt;=COUNTIF(Insumos_a_comprar[Planilla],K$1),INDEX(Insumos_a_comprar[Insumo],_xlfn.AGGREGATE(15,6,(Insumos_a_comprar[Planilla]=K$1)/(Insumos_a_comprar[Planilla]=K$1)*ROW(Insumos_a_comprar[Planilla])-ROW(Insumos_a_comprar[[#Headers],[Planilla]]),ROWS('Insumos a comprar'!$B$5:I52))),"")</f>
        <v/>
      </c>
      <c r="L50" s="29" t="str">
        <f>IF(ROWS('Insumos a comprar'!$B$5:I52)&lt;=COUNTIF(Insumos_a_comprar[Planilla],L$1),INDEX(Insumos_a_comprar[Insumo],_xlfn.AGGREGATE(15,6,(Insumos_a_comprar[Planilla]=L$1)/(Insumos_a_comprar[Planilla]=L$1)*ROW(Insumos_a_comprar[Planilla])-ROW(Insumos_a_comprar[[#Headers],[Planilla]]),ROWS('Insumos a comprar'!$B$5:I52))),"")</f>
        <v/>
      </c>
      <c r="M50" s="29"/>
      <c r="N50" s="29"/>
      <c r="O50" s="29"/>
      <c r="P50" s="29"/>
      <c r="Q50" s="29"/>
    </row>
    <row r="51" spans="1:17" ht="47.25" x14ac:dyDescent="0.25">
      <c r="A51" s="29" t="str">
        <f>IF(ROWS('Insumos a comprar'!$B$5:B53)&lt;=COUNTIF(Insumos_a_comprar[Planilla],A$1),INDEX(Insumos_a_comprar[Insumo],_xlfn.AGGREGATE(15,6,(Insumos_a_comprar[Planilla]=A$1)/(Insumos_a_comprar[Planilla]=A$1)*ROW(Insumos_a_comprar[Planilla])-ROW(Insumos_a_comprar[[#Headers],[Planilla]]),ROWS('Insumos a comprar'!$B$5:B53))),"")</f>
        <v>Sodio oxalato (Na2C2O4)</v>
      </c>
      <c r="B51" s="29" t="str">
        <f>IF(ROWS('Insumos a comprar'!$B$5:B53)&lt;=COUNTIF(Insumos_a_comprar[Planilla],B$1),INDEX(Insumos_a_comprar[Insumo],_xlfn.AGGREGATE(15,6,(Insumos_a_comprar[Planilla]=B$1)/(Insumos_a_comprar[Planilla]=B$1)*ROW(Insumos_a_comprar[Planilla])-ROW(Insumos_a_comprar[[#Headers],[Planilla]]),ROWS('Insumos a comprar'!$B$5:B53))),"")</f>
        <v>Potasio nitrato (KNO3)</v>
      </c>
      <c r="C51" s="29" t="str">
        <f>IF(ROWS('Insumos a comprar'!$B$5:E53)&lt;=COUNTIF(Insumos_a_comprar[Planilla],C$1),INDEX(Insumos_a_comprar[Insumo],_xlfn.AGGREGATE(15,6,(Insumos_a_comprar[Planilla]=C$1)/(Insumos_a_comprar[Planilla]=C$1)*ROW(Insumos_a_comprar[Planilla])-ROW(Insumos_a_comprar[[#Headers],[Planilla]]),ROWS('Insumos a comprar'!$B$5:E53))),"")</f>
        <v/>
      </c>
      <c r="D51" s="29" t="str">
        <f>IF(ROWS('Insumos a comprar'!$B$5:F53)&lt;=COUNTIF(Insumos_a_comprar[Planilla],D$1),INDEX(Insumos_a_comprar[Insumo],_xlfn.AGGREGATE(15,6,(Insumos_a_comprar[Planilla]=D$1)/(Insumos_a_comprar[Planilla]=D$1)*ROW(Insumos_a_comprar[Planilla])-ROW(Insumos_a_comprar[[#Headers],[Planilla]]),ROWS('Insumos a comprar'!$B$5:F53))),"")</f>
        <v/>
      </c>
      <c r="E51" s="29" t="str">
        <f>IF(ROWS('Insumos a comprar'!$B$5:G53)&lt;=COUNTIF(Insumos_a_comprar[Planilla],E$1),INDEX(Insumos_a_comprar[Insumo],_xlfn.AGGREGATE(15,6,(Insumos_a_comprar[Planilla]=E$1)/(Insumos_a_comprar[Planilla]=E$1)*ROW(Insumos_a_comprar[Planilla])-ROW(Insumos_a_comprar[[#Headers],[Planilla]]),ROWS('Insumos a comprar'!$B$5:G53))),"")</f>
        <v/>
      </c>
      <c r="F51" s="29" t="str">
        <f>IF(ROWS('Insumos a comprar'!$B$5:H53)&lt;=COUNTIF(Insumos_a_comprar[Planilla],F$1),INDEX(Insumos_a_comprar[Insumo],_xlfn.AGGREGATE(15,6,(Insumos_a_comprar[Planilla]=F$1)/(Insumos_a_comprar[Planilla]=F$1)*ROW(Insumos_a_comprar[Planilla])-ROW(Insumos_a_comprar[[#Headers],[Planilla]]),ROWS('Insumos a comprar'!$B$5:H53))),"")</f>
        <v/>
      </c>
      <c r="G51" s="29" t="str">
        <f>IF(ROWS('Insumos a comprar'!$B$5:I53)&lt;=COUNTIF(Insumos_a_comprar[Planilla],G$1),INDEX(Insumos_a_comprar[Insumo],_xlfn.AGGREGATE(15,6,(Insumos_a_comprar[Planilla]=G$1)/(Insumos_a_comprar[Planilla]=G$1)*ROW(Insumos_a_comprar[Planilla])-ROW(Insumos_a_comprar[[#Headers],[Planilla]]),ROWS('Insumos a comprar'!$B$5:I53))),"")</f>
        <v/>
      </c>
      <c r="H51" s="29" t="str">
        <f>IF(ROWS('Insumos a comprar'!$B$5:I53)&lt;=COUNTIF(Insumos_a_comprar[Planilla],H$1),INDEX(Insumos_a_comprar[Insumo],_xlfn.AGGREGATE(15,6,(Insumos_a_comprar[Planilla]=H$1)/(Insumos_a_comprar[Planilla]=H$1)*ROW(Insumos_a_comprar[Planilla])-ROW(Insumos_a_comprar[[#Headers],[Planilla]]),ROWS('Insumos a comprar'!$B$5:I53))),"")</f>
        <v>Erlenmeyer  c/esmeril 100 ml</v>
      </c>
      <c r="I51" s="29" t="str">
        <f>IF(ROWS('Insumos a comprar'!$B$5:I53)&lt;=COUNTIF(Insumos_a_comprar[Planilla],I$1),INDEX(Insumos_a_comprar[Insumo],_xlfn.AGGREGATE(15,6,(Insumos_a_comprar[Planilla]=I$1)/(Insumos_a_comprar[Planilla]=I$1)*ROW(Insumos_a_comprar[Planilla])-ROW(Insumos_a_comprar[[#Headers],[Planilla]]),ROWS('Insumos a comprar'!$B$5:I53))),"")</f>
        <v/>
      </c>
      <c r="J51" s="29" t="str">
        <f>IF(ROWS('Insumos a comprar'!$B$5:I53)&lt;=COUNTIF(Insumos_a_comprar[Planilla],J$1),INDEX(Insumos_a_comprar[Insumo],_xlfn.AGGREGATE(15,6,(Insumos_a_comprar[Planilla]=J$1)/(Insumos_a_comprar[Planilla]=J$1)*ROW(Insumos_a_comprar[Planilla])-ROW(Insumos_a_comprar[[#Headers],[Planilla]]),ROWS('Insumos a comprar'!$B$5:I53))),"")</f>
        <v xml:space="preserve">Pituto para septum </v>
      </c>
      <c r="K51" s="29" t="str">
        <f>IF(ROWS('Insumos a comprar'!$B$5:I53)&lt;=COUNTIF(Insumos_a_comprar[Planilla],K$1),INDEX(Insumos_a_comprar[Insumo],_xlfn.AGGREGATE(15,6,(Insumos_a_comprar[Planilla]=K$1)/(Insumos_a_comprar[Planilla]=K$1)*ROW(Insumos_a_comprar[Planilla])-ROW(Insumos_a_comprar[[#Headers],[Planilla]]),ROWS('Insumos a comprar'!$B$5:I53))),"")</f>
        <v/>
      </c>
      <c r="L51" s="29" t="str">
        <f>IF(ROWS('Insumos a comprar'!$B$5:I53)&lt;=COUNTIF(Insumos_a_comprar[Planilla],L$1),INDEX(Insumos_a_comprar[Insumo],_xlfn.AGGREGATE(15,6,(Insumos_a_comprar[Planilla]=L$1)/(Insumos_a_comprar[Planilla]=L$1)*ROW(Insumos_a_comprar[Planilla])-ROW(Insumos_a_comprar[[#Headers],[Planilla]]),ROWS('Insumos a comprar'!$B$5:I53))),"")</f>
        <v/>
      </c>
      <c r="M51" s="29"/>
      <c r="N51" s="29"/>
      <c r="O51" s="29"/>
      <c r="P51" s="29"/>
      <c r="Q51" s="29"/>
    </row>
    <row r="52" spans="1:17" ht="47.25" x14ac:dyDescent="0.25">
      <c r="A52" s="29" t="str">
        <f>IF(ROWS('Insumos a comprar'!$B$5:B54)&lt;=COUNTIF(Insumos_a_comprar[Planilla],A$1),INDEX(Insumos_a_comprar[Insumo],_xlfn.AGGREGATE(15,6,(Insumos_a_comprar[Planilla]=A$1)/(Insumos_a_comprar[Planilla]=A$1)*ROW(Insumos_a_comprar[Planilla])-ROW(Insumos_a_comprar[[#Headers],[Planilla]]),ROWS('Insumos a comprar'!$B$5:B54))),"")</f>
        <v>Sodio sulfato anhidro  (Na2SO4)</v>
      </c>
      <c r="B52" s="29" t="str">
        <f>IF(ROWS('Insumos a comprar'!$B$5:B54)&lt;=COUNTIF(Insumos_a_comprar[Planilla],B$1),INDEX(Insumos_a_comprar[Insumo],_xlfn.AGGREGATE(15,6,(Insumos_a_comprar[Planilla]=B$1)/(Insumos_a_comprar[Planilla]=B$1)*ROW(Insumos_a_comprar[Planilla])-ROW(Insumos_a_comprar[[#Headers],[Planilla]]),ROWS('Insumos a comprar'!$B$5:B54))),"")</f>
        <v>Potasio tiocianato (KSCN)</v>
      </c>
      <c r="C52" s="29" t="str">
        <f>IF(ROWS('Insumos a comprar'!$B$5:E54)&lt;=COUNTIF(Insumos_a_comprar[Planilla],C$1),INDEX(Insumos_a_comprar[Insumo],_xlfn.AGGREGATE(15,6,(Insumos_a_comprar[Planilla]=C$1)/(Insumos_a_comprar[Planilla]=C$1)*ROW(Insumos_a_comprar[Planilla])-ROW(Insumos_a_comprar[[#Headers],[Planilla]]),ROWS('Insumos a comprar'!$B$5:E54))),"")</f>
        <v/>
      </c>
      <c r="D52" s="29" t="str">
        <f>IF(ROWS('Insumos a comprar'!$B$5:F54)&lt;=COUNTIF(Insumos_a_comprar[Planilla],D$1),INDEX(Insumos_a_comprar[Insumo],_xlfn.AGGREGATE(15,6,(Insumos_a_comprar[Planilla]=D$1)/(Insumos_a_comprar[Planilla]=D$1)*ROW(Insumos_a_comprar[Planilla])-ROW(Insumos_a_comprar[[#Headers],[Planilla]]),ROWS('Insumos a comprar'!$B$5:F54))),"")</f>
        <v/>
      </c>
      <c r="E52" s="29" t="str">
        <f>IF(ROWS('Insumos a comprar'!$B$5:G54)&lt;=COUNTIF(Insumos_a_comprar[Planilla],E$1),INDEX(Insumos_a_comprar[Insumo],_xlfn.AGGREGATE(15,6,(Insumos_a_comprar[Planilla]=E$1)/(Insumos_a_comprar[Planilla]=E$1)*ROW(Insumos_a_comprar[Planilla])-ROW(Insumos_a_comprar[[#Headers],[Planilla]]),ROWS('Insumos a comprar'!$B$5:G54))),"")</f>
        <v/>
      </c>
      <c r="F52" s="29" t="str">
        <f>IF(ROWS('Insumos a comprar'!$B$5:H54)&lt;=COUNTIF(Insumos_a_comprar[Planilla],F$1),INDEX(Insumos_a_comprar[Insumo],_xlfn.AGGREGATE(15,6,(Insumos_a_comprar[Planilla]=F$1)/(Insumos_a_comprar[Planilla]=F$1)*ROW(Insumos_a_comprar[Planilla])-ROW(Insumos_a_comprar[[#Headers],[Planilla]]),ROWS('Insumos a comprar'!$B$5:H54))),"")</f>
        <v/>
      </c>
      <c r="G52" s="29" t="str">
        <f>IF(ROWS('Insumos a comprar'!$B$5:I54)&lt;=COUNTIF(Insumos_a_comprar[Planilla],G$1),INDEX(Insumos_a_comprar[Insumo],_xlfn.AGGREGATE(15,6,(Insumos_a_comprar[Planilla]=G$1)/(Insumos_a_comprar[Planilla]=G$1)*ROW(Insumos_a_comprar[Planilla])-ROW(Insumos_a_comprar[[#Headers],[Planilla]]),ROWS('Insumos a comprar'!$B$5:I54))),"")</f>
        <v/>
      </c>
      <c r="H52" s="29" t="str">
        <f>IF(ROWS('Insumos a comprar'!$B$5:I54)&lt;=COUNTIF(Insumos_a_comprar[Planilla],H$1),INDEX(Insumos_a_comprar[Insumo],_xlfn.AGGREGATE(15,6,(Insumos_a_comprar[Planilla]=H$1)/(Insumos_a_comprar[Planilla]=H$1)*ROW(Insumos_a_comprar[Planilla])-ROW(Insumos_a_comprar[[#Headers],[Planilla]]),ROWS('Insumos a comprar'!$B$5:I54))),"")</f>
        <v>Erlenmeyer  c/esmeril 125 ml</v>
      </c>
      <c r="I52" s="29" t="str">
        <f>IF(ROWS('Insumos a comprar'!$B$5:I54)&lt;=COUNTIF(Insumos_a_comprar[Planilla],I$1),INDEX(Insumos_a_comprar[Insumo],_xlfn.AGGREGATE(15,6,(Insumos_a_comprar[Planilla]=I$1)/(Insumos_a_comprar[Planilla]=I$1)*ROW(Insumos_a_comprar[Planilla])-ROW(Insumos_a_comprar[[#Headers],[Planilla]]),ROWS('Insumos a comprar'!$B$5:I54))),"")</f>
        <v/>
      </c>
      <c r="J52" s="29" t="str">
        <f>IF(ROWS('Insumos a comprar'!$B$5:I54)&lt;=COUNTIF(Insumos_a_comprar[Planilla],J$1),INDEX(Insumos_a_comprar[Insumo],_xlfn.AGGREGATE(15,6,(Insumos_a_comprar[Planilla]=J$1)/(Insumos_a_comprar[Planilla]=J$1)*ROW(Insumos_a_comprar[Planilla])-ROW(Insumos_a_comprar[[#Headers],[Planilla]]),ROWS('Insumos a comprar'!$B$5:I54))),"")</f>
        <v xml:space="preserve">Protectores de dedos </v>
      </c>
      <c r="K52" s="29" t="str">
        <f>IF(ROWS('Insumos a comprar'!$B$5:I54)&lt;=COUNTIF(Insumos_a_comprar[Planilla],K$1),INDEX(Insumos_a_comprar[Insumo],_xlfn.AGGREGATE(15,6,(Insumos_a_comprar[Planilla]=K$1)/(Insumos_a_comprar[Planilla]=K$1)*ROW(Insumos_a_comprar[Planilla])-ROW(Insumos_a_comprar[[#Headers],[Planilla]]),ROWS('Insumos a comprar'!$B$5:I54))),"")</f>
        <v/>
      </c>
      <c r="L52" s="29" t="str">
        <f>IF(ROWS('Insumos a comprar'!$B$5:I54)&lt;=COUNTIF(Insumos_a_comprar[Planilla],L$1),INDEX(Insumos_a_comprar[Insumo],_xlfn.AGGREGATE(15,6,(Insumos_a_comprar[Planilla]=L$1)/(Insumos_a_comprar[Planilla]=L$1)*ROW(Insumos_a_comprar[Planilla])-ROW(Insumos_a_comprar[[#Headers],[Planilla]]),ROWS('Insumos a comprar'!$B$5:I54))),"")</f>
        <v/>
      </c>
      <c r="M52" s="29"/>
      <c r="N52" s="29"/>
      <c r="O52" s="29"/>
      <c r="P52" s="29"/>
      <c r="Q52" s="29"/>
    </row>
    <row r="53" spans="1:17" ht="63" x14ac:dyDescent="0.25">
      <c r="A53" s="29" t="str">
        <f>IF(ROWS('Insumos a comprar'!$B$5:B55)&lt;=COUNTIF(Insumos_a_comprar[Planilla],A$1),INDEX(Insumos_a_comprar[Insumo],_xlfn.AGGREGATE(15,6,(Insumos_a_comprar[Planilla]=A$1)/(Insumos_a_comprar[Planilla]=A$1)*ROW(Insumos_a_comprar[Planilla])-ROW(Insumos_a_comprar[[#Headers],[Planilla]]),ROWS('Insumos a comprar'!$B$5:B55))),"")</f>
        <v>Sodio tiosulfato  (Na2S2O3.5H2O)</v>
      </c>
      <c r="B53" s="29" t="str">
        <f>IF(ROWS('Insumos a comprar'!$B$5:B55)&lt;=COUNTIF(Insumos_a_comprar[Planilla],B$1),INDEX(Insumos_a_comprar[Insumo],_xlfn.AGGREGATE(15,6,(Insumos_a_comprar[Planilla]=B$1)/(Insumos_a_comprar[Planilla]=B$1)*ROW(Insumos_a_comprar[Planilla])-ROW(Insumos_a_comprar[[#Headers],[Planilla]]),ROWS('Insumos a comprar'!$B$5:B55))),"")</f>
        <v>Sílica (tierras diatomeas)</v>
      </c>
      <c r="C53" s="29" t="str">
        <f>IF(ROWS('Insumos a comprar'!$B$5:E55)&lt;=COUNTIF(Insumos_a_comprar[Planilla],C$1),INDEX(Insumos_a_comprar[Insumo],_xlfn.AGGREGATE(15,6,(Insumos_a_comprar[Planilla]=C$1)/(Insumos_a_comprar[Planilla]=C$1)*ROW(Insumos_a_comprar[Planilla])-ROW(Insumos_a_comprar[[#Headers],[Planilla]]),ROWS('Insumos a comprar'!$B$5:E55))),"")</f>
        <v/>
      </c>
      <c r="D53" s="29" t="str">
        <f>IF(ROWS('Insumos a comprar'!$B$5:F55)&lt;=COUNTIF(Insumos_a_comprar[Planilla],D$1),INDEX(Insumos_a_comprar[Insumo],_xlfn.AGGREGATE(15,6,(Insumos_a_comprar[Planilla]=D$1)/(Insumos_a_comprar[Planilla]=D$1)*ROW(Insumos_a_comprar[Planilla])-ROW(Insumos_a_comprar[[#Headers],[Planilla]]),ROWS('Insumos a comprar'!$B$5:F55))),"")</f>
        <v/>
      </c>
      <c r="E53" s="29" t="str">
        <f>IF(ROWS('Insumos a comprar'!$B$5:G55)&lt;=COUNTIF(Insumos_a_comprar[Planilla],E$1),INDEX(Insumos_a_comprar[Insumo],_xlfn.AGGREGATE(15,6,(Insumos_a_comprar[Planilla]=E$1)/(Insumos_a_comprar[Planilla]=E$1)*ROW(Insumos_a_comprar[Planilla])-ROW(Insumos_a_comprar[[#Headers],[Planilla]]),ROWS('Insumos a comprar'!$B$5:G55))),"")</f>
        <v/>
      </c>
      <c r="F53" s="29" t="str">
        <f>IF(ROWS('Insumos a comprar'!$B$5:H55)&lt;=COUNTIF(Insumos_a_comprar[Planilla],F$1),INDEX(Insumos_a_comprar[Insumo],_xlfn.AGGREGATE(15,6,(Insumos_a_comprar[Planilla]=F$1)/(Insumos_a_comprar[Planilla]=F$1)*ROW(Insumos_a_comprar[Planilla])-ROW(Insumos_a_comprar[[#Headers],[Planilla]]),ROWS('Insumos a comprar'!$B$5:H55))),"")</f>
        <v/>
      </c>
      <c r="G53" s="29" t="str">
        <f>IF(ROWS('Insumos a comprar'!$B$5:I55)&lt;=COUNTIF(Insumos_a_comprar[Planilla],G$1),INDEX(Insumos_a_comprar[Insumo],_xlfn.AGGREGATE(15,6,(Insumos_a_comprar[Planilla]=G$1)/(Insumos_a_comprar[Planilla]=G$1)*ROW(Insumos_a_comprar[Planilla])-ROW(Insumos_a_comprar[[#Headers],[Planilla]]),ROWS('Insumos a comprar'!$B$5:I55))),"")</f>
        <v/>
      </c>
      <c r="H53" s="29" t="str">
        <f>IF(ROWS('Insumos a comprar'!$B$5:I55)&lt;=COUNTIF(Insumos_a_comprar[Planilla],H$1),INDEX(Insumos_a_comprar[Insumo],_xlfn.AGGREGATE(15,6,(Insumos_a_comprar[Planilla]=H$1)/(Insumos_a_comprar[Planilla]=H$1)*ROW(Insumos_a_comprar[Planilla])-ROW(Insumos_a_comprar[[#Headers],[Planilla]]),ROWS('Insumos a comprar'!$B$5:I55))),"")</f>
        <v>Erlenmeyer  c/esmeril 250 ml</v>
      </c>
      <c r="I53" s="29" t="str">
        <f>IF(ROWS('Insumos a comprar'!$B$5:I55)&lt;=COUNTIF(Insumos_a_comprar[Planilla],I$1),INDEX(Insumos_a_comprar[Insumo],_xlfn.AGGREGATE(15,6,(Insumos_a_comprar[Planilla]=I$1)/(Insumos_a_comprar[Planilla]=I$1)*ROW(Insumos_a_comprar[Planilla])-ROW(Insumos_a_comprar[[#Headers],[Planilla]]),ROWS('Insumos a comprar'!$B$5:I55))),"")</f>
        <v/>
      </c>
      <c r="J53" s="29" t="str">
        <f>IF(ROWS('Insumos a comprar'!$B$5:I55)&lt;=COUNTIF(Insumos_a_comprar[Planilla],J$1),INDEX(Insumos_a_comprar[Insumo],_xlfn.AGGREGATE(15,6,(Insumos_a_comprar[Planilla]=J$1)/(Insumos_a_comprar[Planilla]=J$1)*ROW(Insumos_a_comprar[Planilla])-ROW(Insumos_a_comprar[[#Headers],[Planilla]]),ROWS('Insumos a comprar'!$B$5:I55))),"")</f>
        <v>Punta de jeringa Headspace</v>
      </c>
      <c r="K53" s="29" t="str">
        <f>IF(ROWS('Insumos a comprar'!$B$5:I55)&lt;=COUNTIF(Insumos_a_comprar[Planilla],K$1),INDEX(Insumos_a_comprar[Insumo],_xlfn.AGGREGATE(15,6,(Insumos_a_comprar[Planilla]=K$1)/(Insumos_a_comprar[Planilla]=K$1)*ROW(Insumos_a_comprar[Planilla])-ROW(Insumos_a_comprar[[#Headers],[Planilla]]),ROWS('Insumos a comprar'!$B$5:I55))),"")</f>
        <v/>
      </c>
      <c r="L53" s="29" t="str">
        <f>IF(ROWS('Insumos a comprar'!$B$5:I55)&lt;=COUNTIF(Insumos_a_comprar[Planilla],L$1),INDEX(Insumos_a_comprar[Insumo],_xlfn.AGGREGATE(15,6,(Insumos_a_comprar[Planilla]=L$1)/(Insumos_a_comprar[Planilla]=L$1)*ROW(Insumos_a_comprar[Planilla])-ROW(Insumos_a_comprar[[#Headers],[Planilla]]),ROWS('Insumos a comprar'!$B$5:I55))),"")</f>
        <v/>
      </c>
      <c r="M53" s="29"/>
      <c r="N53" s="29"/>
      <c r="O53" s="29"/>
      <c r="P53" s="29"/>
      <c r="Q53" s="29"/>
    </row>
    <row r="54" spans="1:17" ht="47.25" x14ac:dyDescent="0.25">
      <c r="A54" s="29" t="str">
        <f>IF(ROWS('Insumos a comprar'!$B$5:B56)&lt;=COUNTIF(Insumos_a_comprar[Planilla],A$1),INDEX(Insumos_a_comprar[Insumo],_xlfn.AGGREGATE(15,6,(Insumos_a_comprar[Planilla]=A$1)/(Insumos_a_comprar[Planilla]=A$1)*ROW(Insumos_a_comprar[Planilla])-ROW(Insumos_a_comprar[[#Headers],[Planilla]]),ROWS('Insumos a comprar'!$B$5:B56))),"")</f>
        <v>Sulfanilamida (C6H8N2O2S)</v>
      </c>
      <c r="B54" s="29" t="str">
        <f>IF(ROWS('Insumos a comprar'!$B$5:B56)&lt;=COUNTIF(Insumos_a_comprar[Planilla],B$1),INDEX(Insumos_a_comprar[Insumo],_xlfn.AGGREGATE(15,6,(Insumos_a_comprar[Planilla]=B$1)/(Insumos_a_comprar[Planilla]=B$1)*ROW(Insumos_a_comprar[Planilla])-ROW(Insumos_a_comprar[[#Headers],[Planilla]]),ROWS('Insumos a comprar'!$B$5:B56))),"")</f>
        <v>Silica gel 60</v>
      </c>
      <c r="C54" s="29" t="str">
        <f>IF(ROWS('Insumos a comprar'!$B$5:E56)&lt;=COUNTIF(Insumos_a_comprar[Planilla],C$1),INDEX(Insumos_a_comprar[Insumo],_xlfn.AGGREGATE(15,6,(Insumos_a_comprar[Planilla]=C$1)/(Insumos_a_comprar[Planilla]=C$1)*ROW(Insumos_a_comprar[Planilla])-ROW(Insumos_a_comprar[[#Headers],[Planilla]]),ROWS('Insumos a comprar'!$B$5:E56))),"")</f>
        <v/>
      </c>
      <c r="D54" s="29" t="str">
        <f>IF(ROWS('Insumos a comprar'!$B$5:F56)&lt;=COUNTIF(Insumos_a_comprar[Planilla],D$1),INDEX(Insumos_a_comprar[Insumo],_xlfn.AGGREGATE(15,6,(Insumos_a_comprar[Planilla]=D$1)/(Insumos_a_comprar[Planilla]=D$1)*ROW(Insumos_a_comprar[Planilla])-ROW(Insumos_a_comprar[[#Headers],[Planilla]]),ROWS('Insumos a comprar'!$B$5:F56))),"")</f>
        <v/>
      </c>
      <c r="E54" s="29" t="str">
        <f>IF(ROWS('Insumos a comprar'!$B$5:G56)&lt;=COUNTIF(Insumos_a_comprar[Planilla],E$1),INDEX(Insumos_a_comprar[Insumo],_xlfn.AGGREGATE(15,6,(Insumos_a_comprar[Planilla]=E$1)/(Insumos_a_comprar[Planilla]=E$1)*ROW(Insumos_a_comprar[Planilla])-ROW(Insumos_a_comprar[[#Headers],[Planilla]]),ROWS('Insumos a comprar'!$B$5:G56))),"")</f>
        <v/>
      </c>
      <c r="F54" s="29" t="str">
        <f>IF(ROWS('Insumos a comprar'!$B$5:H56)&lt;=COUNTIF(Insumos_a_comprar[Planilla],F$1),INDEX(Insumos_a_comprar[Insumo],_xlfn.AGGREGATE(15,6,(Insumos_a_comprar[Planilla]=F$1)/(Insumos_a_comprar[Planilla]=F$1)*ROW(Insumos_a_comprar[Planilla])-ROW(Insumos_a_comprar[[#Headers],[Planilla]]),ROWS('Insumos a comprar'!$B$5:H56))),"")</f>
        <v/>
      </c>
      <c r="G54" s="29" t="str">
        <f>IF(ROWS('Insumos a comprar'!$B$5:I56)&lt;=COUNTIF(Insumos_a_comprar[Planilla],G$1),INDEX(Insumos_a_comprar[Insumo],_xlfn.AGGREGATE(15,6,(Insumos_a_comprar[Planilla]=G$1)/(Insumos_a_comprar[Planilla]=G$1)*ROW(Insumos_a_comprar[Planilla])-ROW(Insumos_a_comprar[[#Headers],[Planilla]]),ROWS('Insumos a comprar'!$B$5:I56))),"")</f>
        <v/>
      </c>
      <c r="H54" s="29" t="str">
        <f>IF(ROWS('Insumos a comprar'!$B$5:I56)&lt;=COUNTIF(Insumos_a_comprar[Planilla],H$1),INDEX(Insumos_a_comprar[Insumo],_xlfn.AGGREGATE(15,6,(Insumos_a_comprar[Planilla]=H$1)/(Insumos_a_comprar[Planilla]=H$1)*ROW(Insumos_a_comprar[Planilla])-ROW(Insumos_a_comprar[[#Headers],[Planilla]]),ROWS('Insumos a comprar'!$B$5:I56))),"")</f>
        <v xml:space="preserve">Erlenmeyer  c/esmeril 500 ml </v>
      </c>
      <c r="I54" s="29" t="str">
        <f>IF(ROWS('Insumos a comprar'!$B$5:I56)&lt;=COUNTIF(Insumos_a_comprar[Planilla],I$1),INDEX(Insumos_a_comprar[Insumo],_xlfn.AGGREGATE(15,6,(Insumos_a_comprar[Planilla]=I$1)/(Insumos_a_comprar[Planilla]=I$1)*ROW(Insumos_a_comprar[Planilla])-ROW(Insumos_a_comprar[[#Headers],[Planilla]]),ROWS('Insumos a comprar'!$B$5:I56))),"")</f>
        <v/>
      </c>
      <c r="J54" s="29" t="str">
        <f>IF(ROWS('Insumos a comprar'!$B$5:I56)&lt;=COUNTIF(Insumos_a_comprar[Planilla],J$1),INDEX(Insumos_a_comprar[Insumo],_xlfn.AGGREGATE(15,6,(Insumos_a_comprar[Planilla]=J$1)/(Insumos_a_comprar[Planilla]=J$1)*ROW(Insumos_a_comprar[Planilla])-ROW(Insumos_a_comprar[[#Headers],[Planilla]]),ROWS('Insumos a comprar'!$B$5:I56))),"")</f>
        <v xml:space="preserve">Selladora de viales </v>
      </c>
      <c r="K54" s="29" t="str">
        <f>IF(ROWS('Insumos a comprar'!$B$5:I56)&lt;=COUNTIF(Insumos_a_comprar[Planilla],K$1),INDEX(Insumos_a_comprar[Insumo],_xlfn.AGGREGATE(15,6,(Insumos_a_comprar[Planilla]=K$1)/(Insumos_a_comprar[Planilla]=K$1)*ROW(Insumos_a_comprar[Planilla])-ROW(Insumos_a_comprar[[#Headers],[Planilla]]),ROWS('Insumos a comprar'!$B$5:I56))),"")</f>
        <v/>
      </c>
      <c r="L54" s="29" t="str">
        <f>IF(ROWS('Insumos a comprar'!$B$5:I56)&lt;=COUNTIF(Insumos_a_comprar[Planilla],L$1),INDEX(Insumos_a_comprar[Insumo],_xlfn.AGGREGATE(15,6,(Insumos_a_comprar[Planilla]=L$1)/(Insumos_a_comprar[Planilla]=L$1)*ROW(Insumos_a_comprar[Planilla])-ROW(Insumos_a_comprar[[#Headers],[Planilla]]),ROWS('Insumos a comprar'!$B$5:I56))),"")</f>
        <v/>
      </c>
      <c r="M54" s="29"/>
      <c r="N54" s="29"/>
      <c r="O54" s="29"/>
      <c r="P54" s="29"/>
      <c r="Q54" s="29"/>
    </row>
    <row r="55" spans="1:17" ht="31.5" x14ac:dyDescent="0.25">
      <c r="A55" s="29" t="str">
        <f>IF(ROWS('Insumos a comprar'!$B$5:B57)&lt;=COUNTIF(Insumos_a_comprar[Planilla],A$1),INDEX(Insumos_a_comprar[Insumo],_xlfn.AGGREGATE(15,6,(Insumos_a_comprar[Planilla]=A$1)/(Insumos_a_comprar[Planilla]=A$1)*ROW(Insumos_a_comprar[Planilla])-ROW(Insumos_a_comprar[[#Headers],[Planilla]]),ROWS('Insumos a comprar'!$B$5:B57))),"")</f>
        <v>Verde Malaquita (oxalato)</v>
      </c>
      <c r="B55" s="29" t="str">
        <f>IF(ROWS('Insumos a comprar'!$B$5:B57)&lt;=COUNTIF(Insumos_a_comprar[Planilla],B$1),INDEX(Insumos_a_comprar[Insumo],_xlfn.AGGREGATE(15,6,(Insumos_a_comprar[Planilla]=B$1)/(Insumos_a_comprar[Planilla]=B$1)*ROW(Insumos_a_comprar[Planilla])-ROW(Insumos_a_comprar[[#Headers],[Planilla]]),ROWS('Insumos a comprar'!$B$5:B57))),"")</f>
        <v>Sodio acetato (NaC2H3O2)</v>
      </c>
      <c r="C55" s="29" t="str">
        <f>IF(ROWS('Insumos a comprar'!$B$5:E57)&lt;=COUNTIF(Insumos_a_comprar[Planilla],C$1),INDEX(Insumos_a_comprar[Insumo],_xlfn.AGGREGATE(15,6,(Insumos_a_comprar[Planilla]=C$1)/(Insumos_a_comprar[Planilla]=C$1)*ROW(Insumos_a_comprar[Planilla])-ROW(Insumos_a_comprar[[#Headers],[Planilla]]),ROWS('Insumos a comprar'!$B$5:E57))),"")</f>
        <v/>
      </c>
      <c r="D55" s="29" t="str">
        <f>IF(ROWS('Insumos a comprar'!$B$5:F57)&lt;=COUNTIF(Insumos_a_comprar[Planilla],D$1),INDEX(Insumos_a_comprar[Insumo],_xlfn.AGGREGATE(15,6,(Insumos_a_comprar[Planilla]=D$1)/(Insumos_a_comprar[Planilla]=D$1)*ROW(Insumos_a_comprar[Planilla])-ROW(Insumos_a_comprar[[#Headers],[Planilla]]),ROWS('Insumos a comprar'!$B$5:F57))),"")</f>
        <v/>
      </c>
      <c r="E55" s="29" t="str">
        <f>IF(ROWS('Insumos a comprar'!$B$5:G57)&lt;=COUNTIF(Insumos_a_comprar[Planilla],E$1),INDEX(Insumos_a_comprar[Insumo],_xlfn.AGGREGATE(15,6,(Insumos_a_comprar[Planilla]=E$1)/(Insumos_a_comprar[Planilla]=E$1)*ROW(Insumos_a_comprar[Planilla])-ROW(Insumos_a_comprar[[#Headers],[Planilla]]),ROWS('Insumos a comprar'!$B$5:G57))),"")</f>
        <v/>
      </c>
      <c r="F55" s="29" t="str">
        <f>IF(ROWS('Insumos a comprar'!$B$5:H57)&lt;=COUNTIF(Insumos_a_comprar[Planilla],F$1),INDEX(Insumos_a_comprar[Insumo],_xlfn.AGGREGATE(15,6,(Insumos_a_comprar[Planilla]=F$1)/(Insumos_a_comprar[Planilla]=F$1)*ROW(Insumos_a_comprar[Planilla])-ROW(Insumos_a_comprar[[#Headers],[Planilla]]),ROWS('Insumos a comprar'!$B$5:H57))),"")</f>
        <v/>
      </c>
      <c r="G55" s="29" t="str">
        <f>IF(ROWS('Insumos a comprar'!$B$5:I57)&lt;=COUNTIF(Insumos_a_comprar[Planilla],G$1),INDEX(Insumos_a_comprar[Insumo],_xlfn.AGGREGATE(15,6,(Insumos_a_comprar[Planilla]=G$1)/(Insumos_a_comprar[Planilla]=G$1)*ROW(Insumos_a_comprar[Planilla])-ROW(Insumos_a_comprar[[#Headers],[Planilla]]),ROWS('Insumos a comprar'!$B$5:I57))),"")</f>
        <v/>
      </c>
      <c r="H55" s="29" t="str">
        <f>IF(ROWS('Insumos a comprar'!$B$5:I57)&lt;=COUNTIF(Insumos_a_comprar[Planilla],H$1),INDEX(Insumos_a_comprar[Insumo],_xlfn.AGGREGATE(15,6,(Insumos_a_comprar[Planilla]=H$1)/(Insumos_a_comprar[Planilla]=H$1)*ROW(Insumos_a_comprar[Planilla])-ROW(Insumos_a_comprar[[#Headers],[Planilla]]),ROWS('Insumos a comprar'!$B$5:I57))),"")</f>
        <v>Erlenmeyer  s/esmeril 125 ml</v>
      </c>
      <c r="I55" s="29" t="str">
        <f>IF(ROWS('Insumos a comprar'!$B$5:I57)&lt;=COUNTIF(Insumos_a_comprar[Planilla],I$1),INDEX(Insumos_a_comprar[Insumo],_xlfn.AGGREGATE(15,6,(Insumos_a_comprar[Planilla]=I$1)/(Insumos_a_comprar[Planilla]=I$1)*ROW(Insumos_a_comprar[Planilla])-ROW(Insumos_a_comprar[[#Headers],[Planilla]]),ROWS('Insumos a comprar'!$B$5:I57))),"")</f>
        <v/>
      </c>
      <c r="J55" s="29" t="str">
        <f>IF(ROWS('Insumos a comprar'!$B$5:I57)&lt;=COUNTIF(Insumos_a_comprar[Planilla],J$1),INDEX(Insumos_a_comprar[Insumo],_xlfn.AGGREGATE(15,6,(Insumos_a_comprar[Planilla]=J$1)/(Insumos_a_comprar[Planilla]=J$1)*ROW(Insumos_a_comprar[Planilla])-ROW(Insumos_a_comprar[[#Headers],[Planilla]]),ROWS('Insumos a comprar'!$B$5:I57))),"")</f>
        <v xml:space="preserve">Sellos de oro </v>
      </c>
      <c r="K55" s="29" t="str">
        <f>IF(ROWS('Insumos a comprar'!$B$5:I57)&lt;=COUNTIF(Insumos_a_comprar[Planilla],K$1),INDEX(Insumos_a_comprar[Insumo],_xlfn.AGGREGATE(15,6,(Insumos_a_comprar[Planilla]=K$1)/(Insumos_a_comprar[Planilla]=K$1)*ROW(Insumos_a_comprar[Planilla])-ROW(Insumos_a_comprar[[#Headers],[Planilla]]),ROWS('Insumos a comprar'!$B$5:I57))),"")</f>
        <v/>
      </c>
      <c r="L55" s="29" t="str">
        <f>IF(ROWS('Insumos a comprar'!$B$5:I57)&lt;=COUNTIF(Insumos_a_comprar[Planilla],L$1),INDEX(Insumos_a_comprar[Insumo],_xlfn.AGGREGATE(15,6,(Insumos_a_comprar[Planilla]=L$1)/(Insumos_a_comprar[Planilla]=L$1)*ROW(Insumos_a_comprar[Planilla])-ROW(Insumos_a_comprar[[#Headers],[Planilla]]),ROWS('Insumos a comprar'!$B$5:I57))),"")</f>
        <v/>
      </c>
      <c r="M55" s="29"/>
      <c r="N55" s="29"/>
      <c r="O55" s="29"/>
      <c r="P55" s="29"/>
      <c r="Q55" s="29"/>
    </row>
    <row r="56" spans="1:17" ht="78.75" x14ac:dyDescent="0.25">
      <c r="A56" s="29" t="str">
        <f>IF(ROWS('Insumos a comprar'!$B$5:B58)&lt;=COUNTIF(Insumos_a_comprar[Planilla],A$1),INDEX(Insumos_a_comprar[Insumo],_xlfn.AGGREGATE(15,6,(Insumos_a_comprar[Planilla]=A$1)/(Insumos_a_comprar[Planilla]=A$1)*ROW(Insumos_a_comprar[Planilla])-ROW(Insumos_a_comprar[[#Headers],[Planilla]]),ROWS('Insumos a comprar'!$B$5:B58))),"")</f>
        <v/>
      </c>
      <c r="B56" s="29" t="str">
        <f>IF(ROWS('Insumos a comprar'!$B$5:B58)&lt;=COUNTIF(Insumos_a_comprar[Planilla],B$1),INDEX(Insumos_a_comprar[Insumo],_xlfn.AGGREGATE(15,6,(Insumos_a_comprar[Planilla]=B$1)/(Insumos_a_comprar[Planilla]=B$1)*ROW(Insumos_a_comprar[Planilla])-ROW(Insumos_a_comprar[[#Headers],[Planilla]]),ROWS('Insumos a comprar'!$B$5:B58))),"")</f>
        <v>Sodio borato (Na2B4O7.10H2O)</v>
      </c>
      <c r="C56" s="29" t="str">
        <f>IF(ROWS('Insumos a comprar'!$B$5:E58)&lt;=COUNTIF(Insumos_a_comprar[Planilla],C$1),INDEX(Insumos_a_comprar[Insumo],_xlfn.AGGREGATE(15,6,(Insumos_a_comprar[Planilla]=C$1)/(Insumos_a_comprar[Planilla]=C$1)*ROW(Insumos_a_comprar[Planilla])-ROW(Insumos_a_comprar[[#Headers],[Planilla]]),ROWS('Insumos a comprar'!$B$5:E58))),"")</f>
        <v/>
      </c>
      <c r="D56" s="29" t="str">
        <f>IF(ROWS('Insumos a comprar'!$B$5:F58)&lt;=COUNTIF(Insumos_a_comprar[Planilla],D$1),INDEX(Insumos_a_comprar[Insumo],_xlfn.AGGREGATE(15,6,(Insumos_a_comprar[Planilla]=D$1)/(Insumos_a_comprar[Planilla]=D$1)*ROW(Insumos_a_comprar[Planilla])-ROW(Insumos_a_comprar[[#Headers],[Planilla]]),ROWS('Insumos a comprar'!$B$5:F58))),"")</f>
        <v/>
      </c>
      <c r="E56" s="29" t="str">
        <f>IF(ROWS('Insumos a comprar'!$B$5:G58)&lt;=COUNTIF(Insumos_a_comprar[Planilla],E$1),INDEX(Insumos_a_comprar[Insumo],_xlfn.AGGREGATE(15,6,(Insumos_a_comprar[Planilla]=E$1)/(Insumos_a_comprar[Planilla]=E$1)*ROW(Insumos_a_comprar[Planilla])-ROW(Insumos_a_comprar[[#Headers],[Planilla]]),ROWS('Insumos a comprar'!$B$5:G58))),"")</f>
        <v/>
      </c>
      <c r="F56" s="29" t="str">
        <f>IF(ROWS('Insumos a comprar'!$B$5:H58)&lt;=COUNTIF(Insumos_a_comprar[Planilla],F$1),INDEX(Insumos_a_comprar[Insumo],_xlfn.AGGREGATE(15,6,(Insumos_a_comprar[Planilla]=F$1)/(Insumos_a_comprar[Planilla]=F$1)*ROW(Insumos_a_comprar[Planilla])-ROW(Insumos_a_comprar[[#Headers],[Planilla]]),ROWS('Insumos a comprar'!$B$5:H58))),"")</f>
        <v/>
      </c>
      <c r="G56" s="29" t="str">
        <f>IF(ROWS('Insumos a comprar'!$B$5:I58)&lt;=COUNTIF(Insumos_a_comprar[Planilla],G$1),INDEX(Insumos_a_comprar[Insumo],_xlfn.AGGREGATE(15,6,(Insumos_a_comprar[Planilla]=G$1)/(Insumos_a_comprar[Planilla]=G$1)*ROW(Insumos_a_comprar[Planilla])-ROW(Insumos_a_comprar[[#Headers],[Planilla]]),ROWS('Insumos a comprar'!$B$5:I58))),"")</f>
        <v/>
      </c>
      <c r="H56" s="29" t="str">
        <f>IF(ROWS('Insumos a comprar'!$B$5:I58)&lt;=COUNTIF(Insumos_a_comprar[Planilla],H$1),INDEX(Insumos_a_comprar[Insumo],_xlfn.AGGREGATE(15,6,(Insumos_a_comprar[Planilla]=H$1)/(Insumos_a_comprar[Planilla]=H$1)*ROW(Insumos_a_comprar[Planilla])-ROW(Insumos_a_comprar[[#Headers],[Planilla]]),ROWS('Insumos a comprar'!$B$5:I58))),"")</f>
        <v>Erlenmeyer  s/esmeril 150 ml</v>
      </c>
      <c r="I56" s="29" t="str">
        <f>IF(ROWS('Insumos a comprar'!$B$5:I58)&lt;=COUNTIF(Insumos_a_comprar[Planilla],I$1),INDEX(Insumos_a_comprar[Insumo],_xlfn.AGGREGATE(15,6,(Insumos_a_comprar[Planilla]=I$1)/(Insumos_a_comprar[Planilla]=I$1)*ROW(Insumos_a_comprar[Planilla])-ROW(Insumos_a_comprar[[#Headers],[Planilla]]),ROWS('Insumos a comprar'!$B$5:I58))),"")</f>
        <v/>
      </c>
      <c r="J56" s="29" t="str">
        <f>IF(ROWS('Insumos a comprar'!$B$5:I58)&lt;=COUNTIF(Insumos_a_comprar[Planilla],J$1),INDEX(Insumos_a_comprar[Insumo],_xlfn.AGGREGATE(15,6,(Insumos_a_comprar[Planilla]=J$1)/(Insumos_a_comprar[Planilla]=J$1)*ROW(Insumos_a_comprar[Planilla])-ROW(Insumos_a_comprar[[#Headers],[Planilla]]),ROWS('Insumos a comprar'!$B$5:I58))),"")</f>
        <v>Septum microseptum para alta presion</v>
      </c>
      <c r="K56" s="29" t="str">
        <f>IF(ROWS('Insumos a comprar'!$B$5:I58)&lt;=COUNTIF(Insumos_a_comprar[Planilla],K$1),INDEX(Insumos_a_comprar[Insumo],_xlfn.AGGREGATE(15,6,(Insumos_a_comprar[Planilla]=K$1)/(Insumos_a_comprar[Planilla]=K$1)*ROW(Insumos_a_comprar[Planilla])-ROW(Insumos_a_comprar[[#Headers],[Planilla]]),ROWS('Insumos a comprar'!$B$5:I58))),"")</f>
        <v/>
      </c>
      <c r="L56" s="29" t="str">
        <f>IF(ROWS('Insumos a comprar'!$B$5:I58)&lt;=COUNTIF(Insumos_a_comprar[Planilla],L$1),INDEX(Insumos_a_comprar[Insumo],_xlfn.AGGREGATE(15,6,(Insumos_a_comprar[Planilla]=L$1)/(Insumos_a_comprar[Planilla]=L$1)*ROW(Insumos_a_comprar[Planilla])-ROW(Insumos_a_comprar[[#Headers],[Planilla]]),ROWS('Insumos a comprar'!$B$5:I58))),"")</f>
        <v/>
      </c>
      <c r="M56" s="29"/>
      <c r="N56" s="29"/>
      <c r="O56" s="29"/>
      <c r="P56" s="29"/>
      <c r="Q56" s="29"/>
    </row>
    <row r="57" spans="1:17" ht="47.25" x14ac:dyDescent="0.25">
      <c r="A57" s="29" t="str">
        <f>IF(ROWS('Insumos a comprar'!$B$5:B59)&lt;=COUNTIF(Insumos_a_comprar[Planilla],A$1),INDEX(Insumos_a_comprar[Insumo],_xlfn.AGGREGATE(15,6,(Insumos_a_comprar[Planilla]=A$1)/(Insumos_a_comprar[Planilla]=A$1)*ROW(Insumos_a_comprar[Planilla])-ROW(Insumos_a_comprar[[#Headers],[Planilla]]),ROWS('Insumos a comprar'!$B$5:B59))),"")</f>
        <v/>
      </c>
      <c r="B57" s="29" t="str">
        <f>IF(ROWS('Insumos a comprar'!$B$5:B59)&lt;=COUNTIF(Insumos_a_comprar[Planilla],B$1),INDEX(Insumos_a_comprar[Insumo],_xlfn.AGGREGATE(15,6,(Insumos_a_comprar[Planilla]=B$1)/(Insumos_a_comprar[Planilla]=B$1)*ROW(Insumos_a_comprar[Planilla])-ROW(Insumos_a_comprar[[#Headers],[Planilla]]),ROWS('Insumos a comprar'!$B$5:B59))),"")</f>
        <v>Sodio disulfito (Na2S2O5)</v>
      </c>
      <c r="C57" s="29" t="str">
        <f>IF(ROWS('Insumos a comprar'!$B$5:E59)&lt;=COUNTIF(Insumos_a_comprar[Planilla],C$1),INDEX(Insumos_a_comprar[Insumo],_xlfn.AGGREGATE(15,6,(Insumos_a_comprar[Planilla]=C$1)/(Insumos_a_comprar[Planilla]=C$1)*ROW(Insumos_a_comprar[Planilla])-ROW(Insumos_a_comprar[[#Headers],[Planilla]]),ROWS('Insumos a comprar'!$B$5:E59))),"")</f>
        <v/>
      </c>
      <c r="D57" s="29" t="str">
        <f>IF(ROWS('Insumos a comprar'!$B$5:F59)&lt;=COUNTIF(Insumos_a_comprar[Planilla],D$1),INDEX(Insumos_a_comprar[Insumo],_xlfn.AGGREGATE(15,6,(Insumos_a_comprar[Planilla]=D$1)/(Insumos_a_comprar[Planilla]=D$1)*ROW(Insumos_a_comprar[Planilla])-ROW(Insumos_a_comprar[[#Headers],[Planilla]]),ROWS('Insumos a comprar'!$B$5:F59))),"")</f>
        <v/>
      </c>
      <c r="E57" s="29" t="str">
        <f>IF(ROWS('Insumos a comprar'!$B$5:G59)&lt;=COUNTIF(Insumos_a_comprar[Planilla],E$1),INDEX(Insumos_a_comprar[Insumo],_xlfn.AGGREGATE(15,6,(Insumos_a_comprar[Planilla]=E$1)/(Insumos_a_comprar[Planilla]=E$1)*ROW(Insumos_a_comprar[Planilla])-ROW(Insumos_a_comprar[[#Headers],[Planilla]]),ROWS('Insumos a comprar'!$B$5:G59))),"")</f>
        <v/>
      </c>
      <c r="F57" s="29" t="str">
        <f>IF(ROWS('Insumos a comprar'!$B$5:H59)&lt;=COUNTIF(Insumos_a_comprar[Planilla],F$1),INDEX(Insumos_a_comprar[Insumo],_xlfn.AGGREGATE(15,6,(Insumos_a_comprar[Planilla]=F$1)/(Insumos_a_comprar[Planilla]=F$1)*ROW(Insumos_a_comprar[Planilla])-ROW(Insumos_a_comprar[[#Headers],[Planilla]]),ROWS('Insumos a comprar'!$B$5:H59))),"")</f>
        <v/>
      </c>
      <c r="G57" s="29" t="str">
        <f>IF(ROWS('Insumos a comprar'!$B$5:I59)&lt;=COUNTIF(Insumos_a_comprar[Planilla],G$1),INDEX(Insumos_a_comprar[Insumo],_xlfn.AGGREGATE(15,6,(Insumos_a_comprar[Planilla]=G$1)/(Insumos_a_comprar[Planilla]=G$1)*ROW(Insumos_a_comprar[Planilla])-ROW(Insumos_a_comprar[[#Headers],[Planilla]]),ROWS('Insumos a comprar'!$B$5:I59))),"")</f>
        <v/>
      </c>
      <c r="H57" s="29" t="str">
        <f>IF(ROWS('Insumos a comprar'!$B$5:I59)&lt;=COUNTIF(Insumos_a_comprar[Planilla],H$1),INDEX(Insumos_a_comprar[Insumo],_xlfn.AGGREGATE(15,6,(Insumos_a_comprar[Planilla]=H$1)/(Insumos_a_comprar[Planilla]=H$1)*ROW(Insumos_a_comprar[Planilla])-ROW(Insumos_a_comprar[[#Headers],[Planilla]]),ROWS('Insumos a comprar'!$B$5:I59))),"")</f>
        <v>Erlenmeyer  s/esmeril 250 ml</v>
      </c>
      <c r="I57" s="29" t="str">
        <f>IF(ROWS('Insumos a comprar'!$B$5:I59)&lt;=COUNTIF(Insumos_a_comprar[Planilla],I$1),INDEX(Insumos_a_comprar[Insumo],_xlfn.AGGREGATE(15,6,(Insumos_a_comprar[Planilla]=I$1)/(Insumos_a_comprar[Planilla]=I$1)*ROW(Insumos_a_comprar[Planilla])-ROW(Insumos_a_comprar[[#Headers],[Planilla]]),ROWS('Insumos a comprar'!$B$5:I59))),"")</f>
        <v/>
      </c>
      <c r="J57" s="29" t="str">
        <f>IF(ROWS('Insumos a comprar'!$B$5:I59)&lt;=COUNTIF(Insumos_a_comprar[Planilla],J$1),INDEX(Insumos_a_comprar[Insumo],_xlfn.AGGREGATE(15,6,(Insumos_a_comprar[Planilla]=J$1)/(Insumos_a_comprar[Planilla]=J$1)*ROW(Insumos_a_comprar[Planilla])-ROW(Insumos_a_comprar[[#Headers],[Planilla]]),ROWS('Insumos a comprar'!$B$5:I59))),"")</f>
        <v>Septum Para FID</v>
      </c>
      <c r="K57" s="29" t="str">
        <f>IF(ROWS('Insumos a comprar'!$B$5:I59)&lt;=COUNTIF(Insumos_a_comprar[Planilla],K$1),INDEX(Insumos_a_comprar[Insumo],_xlfn.AGGREGATE(15,6,(Insumos_a_comprar[Planilla]=K$1)/(Insumos_a_comprar[Planilla]=K$1)*ROW(Insumos_a_comprar[Planilla])-ROW(Insumos_a_comprar[[#Headers],[Planilla]]),ROWS('Insumos a comprar'!$B$5:I59))),"")</f>
        <v/>
      </c>
      <c r="L57" s="29" t="str">
        <f>IF(ROWS('Insumos a comprar'!$B$5:I59)&lt;=COUNTIF(Insumos_a_comprar[Planilla],L$1),INDEX(Insumos_a_comprar[Insumo],_xlfn.AGGREGATE(15,6,(Insumos_a_comprar[Planilla]=L$1)/(Insumos_a_comprar[Planilla]=L$1)*ROW(Insumos_a_comprar[Planilla])-ROW(Insumos_a_comprar[[#Headers],[Planilla]]),ROWS('Insumos a comprar'!$B$5:I59))),"")</f>
        <v/>
      </c>
      <c r="M57" s="29"/>
      <c r="N57" s="29"/>
      <c r="O57" s="29"/>
      <c r="P57" s="29"/>
      <c r="Q57" s="29"/>
    </row>
    <row r="58" spans="1:17" ht="78.75" x14ac:dyDescent="0.25">
      <c r="A58" s="29" t="str">
        <f>IF(ROWS('Insumos a comprar'!$B$5:B60)&lt;=COUNTIF(Insumos_a_comprar[Planilla],A$1),INDEX(Insumos_a_comprar[Insumo],_xlfn.AGGREGATE(15,6,(Insumos_a_comprar[Planilla]=A$1)/(Insumos_a_comprar[Planilla]=A$1)*ROW(Insumos_a_comprar[Planilla])-ROW(Insumos_a_comprar[[#Headers],[Planilla]]),ROWS('Insumos a comprar'!$B$5:B60))),"")</f>
        <v/>
      </c>
      <c r="B58" s="29" t="str">
        <f>IF(ROWS('Insumos a comprar'!$B$5:B60)&lt;=COUNTIF(Insumos_a_comprar[Planilla],B$1),INDEX(Insumos_a_comprar[Insumo],_xlfn.AGGREGATE(15,6,(Insumos_a_comprar[Planilla]=B$1)/(Insumos_a_comprar[Planilla]=B$1)*ROW(Insumos_a_comprar[Planilla])-ROW(Insumos_a_comprar[[#Headers],[Planilla]]),ROWS('Insumos a comprar'!$B$5:B60))),"")</f>
        <v>Sodio fluoruro (Na F)</v>
      </c>
      <c r="C58" s="29" t="str">
        <f>IF(ROWS('Insumos a comprar'!$B$5:E60)&lt;=COUNTIF(Insumos_a_comprar[Planilla],C$1),INDEX(Insumos_a_comprar[Insumo],_xlfn.AGGREGATE(15,6,(Insumos_a_comprar[Planilla]=C$1)/(Insumos_a_comprar[Planilla]=C$1)*ROW(Insumos_a_comprar[Planilla])-ROW(Insumos_a_comprar[[#Headers],[Planilla]]),ROWS('Insumos a comprar'!$B$5:E60))),"")</f>
        <v/>
      </c>
      <c r="D58" s="29" t="str">
        <f>IF(ROWS('Insumos a comprar'!$B$5:F60)&lt;=COUNTIF(Insumos_a_comprar[Planilla],D$1),INDEX(Insumos_a_comprar[Insumo],_xlfn.AGGREGATE(15,6,(Insumos_a_comprar[Planilla]=D$1)/(Insumos_a_comprar[Planilla]=D$1)*ROW(Insumos_a_comprar[Planilla])-ROW(Insumos_a_comprar[[#Headers],[Planilla]]),ROWS('Insumos a comprar'!$B$5:F60))),"")</f>
        <v/>
      </c>
      <c r="E58" s="29" t="str">
        <f>IF(ROWS('Insumos a comprar'!$B$5:G60)&lt;=COUNTIF(Insumos_a_comprar[Planilla],E$1),INDEX(Insumos_a_comprar[Insumo],_xlfn.AGGREGATE(15,6,(Insumos_a_comprar[Planilla]=E$1)/(Insumos_a_comprar[Planilla]=E$1)*ROW(Insumos_a_comprar[Planilla])-ROW(Insumos_a_comprar[[#Headers],[Planilla]]),ROWS('Insumos a comprar'!$B$5:G60))),"")</f>
        <v/>
      </c>
      <c r="F58" s="29" t="str">
        <f>IF(ROWS('Insumos a comprar'!$B$5:H60)&lt;=COUNTIF(Insumos_a_comprar[Planilla],F$1),INDEX(Insumos_a_comprar[Insumo],_xlfn.AGGREGATE(15,6,(Insumos_a_comprar[Planilla]=F$1)/(Insumos_a_comprar[Planilla]=F$1)*ROW(Insumos_a_comprar[Planilla])-ROW(Insumos_a_comprar[[#Headers],[Planilla]]),ROWS('Insumos a comprar'!$B$5:H60))),"")</f>
        <v/>
      </c>
      <c r="G58" s="29" t="str">
        <f>IF(ROWS('Insumos a comprar'!$B$5:I60)&lt;=COUNTIF(Insumos_a_comprar[Planilla],G$1),INDEX(Insumos_a_comprar[Insumo],_xlfn.AGGREGATE(15,6,(Insumos_a_comprar[Planilla]=G$1)/(Insumos_a_comprar[Planilla]=G$1)*ROW(Insumos_a_comprar[Planilla])-ROW(Insumos_a_comprar[[#Headers],[Planilla]]),ROWS('Insumos a comprar'!$B$5:I60))),"")</f>
        <v/>
      </c>
      <c r="H58" s="29" t="str">
        <f>IF(ROWS('Insumos a comprar'!$B$5:I60)&lt;=COUNTIF(Insumos_a_comprar[Planilla],H$1),INDEX(Insumos_a_comprar[Insumo],_xlfn.AGGREGATE(15,6,(Insumos_a_comprar[Planilla]=H$1)/(Insumos_a_comprar[Planilla]=H$1)*ROW(Insumos_a_comprar[Planilla])-ROW(Insumos_a_comprar[[#Headers],[Planilla]]),ROWS('Insumos a comprar'!$B$5:I60))),"")</f>
        <v xml:space="preserve">Erlenmeyer  s/esmeril 500 ml </v>
      </c>
      <c r="I58" s="29" t="str">
        <f>IF(ROWS('Insumos a comprar'!$B$5:I60)&lt;=COUNTIF(Insumos_a_comprar[Planilla],I$1),INDEX(Insumos_a_comprar[Insumo],_xlfn.AGGREGATE(15,6,(Insumos_a_comprar[Planilla]=I$1)/(Insumos_a_comprar[Planilla]=I$1)*ROW(Insumos_a_comprar[Planilla])-ROW(Insumos_a_comprar[[#Headers],[Planilla]]),ROWS('Insumos a comprar'!$B$5:I60))),"")</f>
        <v/>
      </c>
      <c r="J58" s="29" t="str">
        <f>IF(ROWS('Insumos a comprar'!$B$5:I60)&lt;=COUNTIF(Insumos_a_comprar[Planilla],J$1),INDEX(Insumos_a_comprar[Insumo],_xlfn.AGGREGATE(15,6,(Insumos_a_comprar[Planilla]=J$1)/(Insumos_a_comprar[Planilla]=J$1)*ROW(Insumos_a_comprar[Planilla])-ROW(Insumos_a_comprar[[#Headers],[Planilla]]),ROWS('Insumos a comprar'!$B$5:I60))),"")</f>
        <v>Septum Para viales 1,5 boca chica</v>
      </c>
      <c r="K58" s="29" t="str">
        <f>IF(ROWS('Insumos a comprar'!$B$5:I60)&lt;=COUNTIF(Insumos_a_comprar[Planilla],K$1),INDEX(Insumos_a_comprar[Insumo],_xlfn.AGGREGATE(15,6,(Insumos_a_comprar[Planilla]=K$1)/(Insumos_a_comprar[Planilla]=K$1)*ROW(Insumos_a_comprar[Planilla])-ROW(Insumos_a_comprar[[#Headers],[Planilla]]),ROWS('Insumos a comprar'!$B$5:I60))),"")</f>
        <v/>
      </c>
      <c r="L58" s="29" t="str">
        <f>IF(ROWS('Insumos a comprar'!$B$5:I60)&lt;=COUNTIF(Insumos_a_comprar[Planilla],L$1),INDEX(Insumos_a_comprar[Insumo],_xlfn.AGGREGATE(15,6,(Insumos_a_comprar[Planilla]=L$1)/(Insumos_a_comprar[Planilla]=L$1)*ROW(Insumos_a_comprar[Planilla])-ROW(Insumos_a_comprar[[#Headers],[Planilla]]),ROWS('Insumos a comprar'!$B$5:I60))),"")</f>
        <v/>
      </c>
      <c r="M58" s="29"/>
      <c r="N58" s="29"/>
      <c r="O58" s="29"/>
      <c r="P58" s="29"/>
      <c r="Q58" s="29"/>
    </row>
    <row r="59" spans="1:17" ht="31.5" x14ac:dyDescent="0.25">
      <c r="A59" s="29" t="str">
        <f>IF(ROWS('Insumos a comprar'!$B$5:B61)&lt;=COUNTIF(Insumos_a_comprar[Planilla],A$1),INDEX(Insumos_a_comprar[Insumo],_xlfn.AGGREGATE(15,6,(Insumos_a_comprar[Planilla]=A$1)/(Insumos_a_comprar[Planilla]=A$1)*ROW(Insumos_a_comprar[Planilla])-ROW(Insumos_a_comprar[[#Headers],[Planilla]]),ROWS('Insumos a comprar'!$B$5:B61))),"")</f>
        <v/>
      </c>
      <c r="B59" s="29" t="str">
        <f>IF(ROWS('Insumos a comprar'!$B$5:B61)&lt;=COUNTIF(Insumos_a_comprar[Planilla],B$1),INDEX(Insumos_a_comprar[Insumo],_xlfn.AGGREGATE(15,6,(Insumos_a_comprar[Planilla]=B$1)/(Insumos_a_comprar[Planilla]=B$1)*ROW(Insumos_a_comprar[Planilla])-ROW(Insumos_a_comprar[[#Headers],[Planilla]]),ROWS('Insumos a comprar'!$B$5:B61))),"")</f>
        <v>Sodio fosfato dibásico</v>
      </c>
      <c r="C59" s="29" t="str">
        <f>IF(ROWS('Insumos a comprar'!$B$5:E61)&lt;=COUNTIF(Insumos_a_comprar[Planilla],C$1),INDEX(Insumos_a_comprar[Insumo],_xlfn.AGGREGATE(15,6,(Insumos_a_comprar[Planilla]=C$1)/(Insumos_a_comprar[Planilla]=C$1)*ROW(Insumos_a_comprar[Planilla])-ROW(Insumos_a_comprar[[#Headers],[Planilla]]),ROWS('Insumos a comprar'!$B$5:E61))),"")</f>
        <v/>
      </c>
      <c r="D59" s="29" t="str">
        <f>IF(ROWS('Insumos a comprar'!$B$5:F61)&lt;=COUNTIF(Insumos_a_comprar[Planilla],D$1),INDEX(Insumos_a_comprar[Insumo],_xlfn.AGGREGATE(15,6,(Insumos_a_comprar[Planilla]=D$1)/(Insumos_a_comprar[Planilla]=D$1)*ROW(Insumos_a_comprar[Planilla])-ROW(Insumos_a_comprar[[#Headers],[Planilla]]),ROWS('Insumos a comprar'!$B$5:F61))),"")</f>
        <v/>
      </c>
      <c r="E59" s="29" t="str">
        <f>IF(ROWS('Insumos a comprar'!$B$5:G61)&lt;=COUNTIF(Insumos_a_comprar[Planilla],E$1),INDEX(Insumos_a_comprar[Insumo],_xlfn.AGGREGATE(15,6,(Insumos_a_comprar[Planilla]=E$1)/(Insumos_a_comprar[Planilla]=E$1)*ROW(Insumos_a_comprar[Planilla])-ROW(Insumos_a_comprar[[#Headers],[Planilla]]),ROWS('Insumos a comprar'!$B$5:G61))),"")</f>
        <v/>
      </c>
      <c r="F59" s="29" t="str">
        <f>IF(ROWS('Insumos a comprar'!$B$5:H61)&lt;=COUNTIF(Insumos_a_comprar[Planilla],F$1),INDEX(Insumos_a_comprar[Insumo],_xlfn.AGGREGATE(15,6,(Insumos_a_comprar[Planilla]=F$1)/(Insumos_a_comprar[Planilla]=F$1)*ROW(Insumos_a_comprar[Planilla])-ROW(Insumos_a_comprar[[#Headers],[Planilla]]),ROWS('Insumos a comprar'!$B$5:H61))),"")</f>
        <v/>
      </c>
      <c r="G59" s="29" t="str">
        <f>IF(ROWS('Insumos a comprar'!$B$5:I61)&lt;=COUNTIF(Insumos_a_comprar[Planilla],G$1),INDEX(Insumos_a_comprar[Insumo],_xlfn.AGGREGATE(15,6,(Insumos_a_comprar[Planilla]=G$1)/(Insumos_a_comprar[Planilla]=G$1)*ROW(Insumos_a_comprar[Planilla])-ROW(Insumos_a_comprar[[#Headers],[Planilla]]),ROWS('Insumos a comprar'!$B$5:I61))),"")</f>
        <v/>
      </c>
      <c r="H59" s="29" t="str">
        <f>IF(ROWS('Insumos a comprar'!$B$5:I61)&lt;=COUNTIF(Insumos_a_comprar[Planilla],H$1),INDEX(Insumos_a_comprar[Insumo],_xlfn.AGGREGATE(15,6,(Insumos_a_comprar[Planilla]=H$1)/(Insumos_a_comprar[Planilla]=H$1)*ROW(Insumos_a_comprar[Planilla])-ROW(Insumos_a_comprar[[#Headers],[Planilla]]),ROWS('Insumos a comprar'!$B$5:I61))),"")</f>
        <v xml:space="preserve">Espatulas chicas </v>
      </c>
      <c r="I59" s="29" t="str">
        <f>IF(ROWS('Insumos a comprar'!$B$5:I61)&lt;=COUNTIF(Insumos_a_comprar[Planilla],I$1),INDEX(Insumos_a_comprar[Insumo],_xlfn.AGGREGATE(15,6,(Insumos_a_comprar[Planilla]=I$1)/(Insumos_a_comprar[Planilla]=I$1)*ROW(Insumos_a_comprar[Planilla])-ROW(Insumos_a_comprar[[#Headers],[Planilla]]),ROWS('Insumos a comprar'!$B$5:I61))),"")</f>
        <v/>
      </c>
      <c r="J59" s="29" t="str">
        <f>IF(ROWS('Insumos a comprar'!$B$5:I61)&lt;=COUNTIF(Insumos_a_comprar[Planilla],J$1),INDEX(Insumos_a_comprar[Insumo],_xlfn.AGGREGATE(15,6,(Insumos_a_comprar[Planilla]=J$1)/(Insumos_a_comprar[Planilla]=J$1)*ROW(Insumos_a_comprar[Planilla])-ROW(Insumos_a_comprar[[#Headers],[Planilla]]),ROWS('Insumos a comprar'!$B$5:I61))),"")</f>
        <v>Septum Verde</v>
      </c>
      <c r="K59" s="29" t="str">
        <f>IF(ROWS('Insumos a comprar'!$B$5:I61)&lt;=COUNTIF(Insumos_a_comprar[Planilla],K$1),INDEX(Insumos_a_comprar[Insumo],_xlfn.AGGREGATE(15,6,(Insumos_a_comprar[Planilla]=K$1)/(Insumos_a_comprar[Planilla]=K$1)*ROW(Insumos_a_comprar[Planilla])-ROW(Insumos_a_comprar[[#Headers],[Planilla]]),ROWS('Insumos a comprar'!$B$5:I61))),"")</f>
        <v/>
      </c>
      <c r="L59" s="29" t="str">
        <f>IF(ROWS('Insumos a comprar'!$B$5:I61)&lt;=COUNTIF(Insumos_a_comprar[Planilla],L$1),INDEX(Insumos_a_comprar[Insumo],_xlfn.AGGREGATE(15,6,(Insumos_a_comprar[Planilla]=L$1)/(Insumos_a_comprar[Planilla]=L$1)*ROW(Insumos_a_comprar[Planilla])-ROW(Insumos_a_comprar[[#Headers],[Planilla]]),ROWS('Insumos a comprar'!$B$5:I61))),"")</f>
        <v/>
      </c>
      <c r="M59" s="29"/>
      <c r="N59" s="29"/>
      <c r="O59" s="29"/>
      <c r="P59" s="29"/>
      <c r="Q59" s="29"/>
    </row>
    <row r="60" spans="1:17" ht="78.75" x14ac:dyDescent="0.25">
      <c r="A60" s="29" t="str">
        <f>IF(ROWS('Insumos a comprar'!$B$5:B62)&lt;=COUNTIF(Insumos_a_comprar[Planilla],A$1),INDEX(Insumos_a_comprar[Insumo],_xlfn.AGGREGATE(15,6,(Insumos_a_comprar[Planilla]=A$1)/(Insumos_a_comprar[Planilla]=A$1)*ROW(Insumos_a_comprar[Planilla])-ROW(Insumos_a_comprar[[#Headers],[Planilla]]),ROWS('Insumos a comprar'!$B$5:B62))),"")</f>
        <v/>
      </c>
      <c r="B60" s="29" t="str">
        <f>IF(ROWS('Insumos a comprar'!$B$5:B62)&lt;=COUNTIF(Insumos_a_comprar[Planilla],B$1),INDEX(Insumos_a_comprar[Insumo],_xlfn.AGGREGATE(15,6,(Insumos_a_comprar[Planilla]=B$1)/(Insumos_a_comprar[Planilla]=B$1)*ROW(Insumos_a_comprar[Planilla])-ROW(Insumos_a_comprar[[#Headers],[Planilla]]),ROWS('Insumos a comprar'!$B$5:B62))),"")</f>
        <v>Sodio hexametafosfato  ((NaPO3)6)</v>
      </c>
      <c r="C60" s="29" t="str">
        <f>IF(ROWS('Insumos a comprar'!$B$5:E62)&lt;=COUNTIF(Insumos_a_comprar[Planilla],C$1),INDEX(Insumos_a_comprar[Insumo],_xlfn.AGGREGATE(15,6,(Insumos_a_comprar[Planilla]=C$1)/(Insumos_a_comprar[Planilla]=C$1)*ROW(Insumos_a_comprar[Planilla])-ROW(Insumos_a_comprar[[#Headers],[Planilla]]),ROWS('Insumos a comprar'!$B$5:E62))),"")</f>
        <v/>
      </c>
      <c r="D60" s="29" t="str">
        <f>IF(ROWS('Insumos a comprar'!$B$5:F62)&lt;=COUNTIF(Insumos_a_comprar[Planilla],D$1),INDEX(Insumos_a_comprar[Insumo],_xlfn.AGGREGATE(15,6,(Insumos_a_comprar[Planilla]=D$1)/(Insumos_a_comprar[Planilla]=D$1)*ROW(Insumos_a_comprar[Planilla])-ROW(Insumos_a_comprar[[#Headers],[Planilla]]),ROWS('Insumos a comprar'!$B$5:F62))),"")</f>
        <v/>
      </c>
      <c r="E60" s="29" t="str">
        <f>IF(ROWS('Insumos a comprar'!$B$5:G62)&lt;=COUNTIF(Insumos_a_comprar[Planilla],E$1),INDEX(Insumos_a_comprar[Insumo],_xlfn.AGGREGATE(15,6,(Insumos_a_comprar[Planilla]=E$1)/(Insumos_a_comprar[Planilla]=E$1)*ROW(Insumos_a_comprar[Planilla])-ROW(Insumos_a_comprar[[#Headers],[Planilla]]),ROWS('Insumos a comprar'!$B$5:G62))),"")</f>
        <v/>
      </c>
      <c r="F60" s="29" t="str">
        <f>IF(ROWS('Insumos a comprar'!$B$5:H62)&lt;=COUNTIF(Insumos_a_comprar[Planilla],F$1),INDEX(Insumos_a_comprar[Insumo],_xlfn.AGGREGATE(15,6,(Insumos_a_comprar[Planilla]=F$1)/(Insumos_a_comprar[Planilla]=F$1)*ROW(Insumos_a_comprar[Planilla])-ROW(Insumos_a_comprar[[#Headers],[Planilla]]),ROWS('Insumos a comprar'!$B$5:H62))),"")</f>
        <v/>
      </c>
      <c r="G60" s="29" t="str">
        <f>IF(ROWS('Insumos a comprar'!$B$5:I62)&lt;=COUNTIF(Insumos_a_comprar[Planilla],G$1),INDEX(Insumos_a_comprar[Insumo],_xlfn.AGGREGATE(15,6,(Insumos_a_comprar[Planilla]=G$1)/(Insumos_a_comprar[Planilla]=G$1)*ROW(Insumos_a_comprar[Planilla])-ROW(Insumos_a_comprar[[#Headers],[Planilla]]),ROWS('Insumos a comprar'!$B$5:I62))),"")</f>
        <v/>
      </c>
      <c r="H60" s="29" t="str">
        <f>IF(ROWS('Insumos a comprar'!$B$5:I62)&lt;=COUNTIF(Insumos_a_comprar[Planilla],H$1),INDEX(Insumos_a_comprar[Insumo],_xlfn.AGGREGATE(15,6,(Insumos_a_comprar[Planilla]=H$1)/(Insumos_a_comprar[Planilla]=H$1)*ROW(Insumos_a_comprar[Planilla])-ROW(Insumos_a_comprar[[#Headers],[Planilla]]),ROWS('Insumos a comprar'!$B$5:I62))),"")</f>
        <v xml:space="preserve">Espatulas grandes  </v>
      </c>
      <c r="I60" s="29" t="str">
        <f>IF(ROWS('Insumos a comprar'!$B$5:I62)&lt;=COUNTIF(Insumos_a_comprar[Planilla],I$1),INDEX(Insumos_a_comprar[Insumo],_xlfn.AGGREGATE(15,6,(Insumos_a_comprar[Planilla]=I$1)/(Insumos_a_comprar[Planilla]=I$1)*ROW(Insumos_a_comprar[Planilla])-ROW(Insumos_a_comprar[[#Headers],[Planilla]]),ROWS('Insumos a comprar'!$B$5:I62))),"")</f>
        <v/>
      </c>
      <c r="J60" s="29" t="str">
        <f>IF(ROWS('Insumos a comprar'!$B$5:I62)&lt;=COUNTIF(Insumos_a_comprar[Planilla],J$1),INDEX(Insumos_a_comprar[Insumo],_xlfn.AGGREGATE(15,6,(Insumos_a_comprar[Planilla]=J$1)/(Insumos_a_comprar[Planilla]=J$1)*ROW(Insumos_a_comprar[Planilla])-ROW(Insumos_a_comprar[[#Headers],[Planilla]]),ROWS('Insumos a comprar'!$B$5:I62))),"")</f>
        <v xml:space="preserve">Tapon  para inyector o detector </v>
      </c>
      <c r="K60" s="29" t="str">
        <f>IF(ROWS('Insumos a comprar'!$B$5:I62)&lt;=COUNTIF(Insumos_a_comprar[Planilla],K$1),INDEX(Insumos_a_comprar[Insumo],_xlfn.AGGREGATE(15,6,(Insumos_a_comprar[Planilla]=K$1)/(Insumos_a_comprar[Planilla]=K$1)*ROW(Insumos_a_comprar[Planilla])-ROW(Insumos_a_comprar[[#Headers],[Planilla]]),ROWS('Insumos a comprar'!$B$5:I62))),"")</f>
        <v/>
      </c>
      <c r="L60" s="29" t="str">
        <f>IF(ROWS('Insumos a comprar'!$B$5:I62)&lt;=COUNTIF(Insumos_a_comprar[Planilla],L$1),INDEX(Insumos_a_comprar[Insumo],_xlfn.AGGREGATE(15,6,(Insumos_a_comprar[Planilla]=L$1)/(Insumos_a_comprar[Planilla]=L$1)*ROW(Insumos_a_comprar[Planilla])-ROW(Insumos_a_comprar[[#Headers],[Planilla]]),ROWS('Insumos a comprar'!$B$5:I62))),"")</f>
        <v/>
      </c>
      <c r="M60" s="29"/>
      <c r="N60" s="29"/>
      <c r="O60" s="29"/>
      <c r="P60" s="29"/>
      <c r="Q60" s="29"/>
    </row>
    <row r="61" spans="1:17" ht="63" x14ac:dyDescent="0.25">
      <c r="A61" s="29" t="str">
        <f>IF(ROWS('Insumos a comprar'!$B$5:B63)&lt;=COUNTIF(Insumos_a_comprar[Planilla],A$1),INDEX(Insumos_a_comprar[Insumo],_xlfn.AGGREGATE(15,6,(Insumos_a_comprar[Planilla]=A$1)/(Insumos_a_comprar[Planilla]=A$1)*ROW(Insumos_a_comprar[Planilla])-ROW(Insumos_a_comprar[[#Headers],[Planilla]]),ROWS('Insumos a comprar'!$B$5:B63))),"")</f>
        <v/>
      </c>
      <c r="B61" s="29" t="str">
        <f>IF(ROWS('Insumos a comprar'!$B$5:B63)&lt;=COUNTIF(Insumos_a_comprar[Planilla],B$1),INDEX(Insumos_a_comprar[Insumo],_xlfn.AGGREGATE(15,6,(Insumos_a_comprar[Planilla]=B$1)/(Insumos_a_comprar[Planilla]=B$1)*ROW(Insumos_a_comprar[Planilla])-ROW(Insumos_a_comprar[[#Headers],[Planilla]]),ROWS('Insumos a comprar'!$B$5:B63))),"")</f>
        <v>Sodio laurilsulfato</v>
      </c>
      <c r="C61" s="29" t="str">
        <f>IF(ROWS('Insumos a comprar'!$B$5:E63)&lt;=COUNTIF(Insumos_a_comprar[Planilla],C$1),INDEX(Insumos_a_comprar[Insumo],_xlfn.AGGREGATE(15,6,(Insumos_a_comprar[Planilla]=C$1)/(Insumos_a_comprar[Planilla]=C$1)*ROW(Insumos_a_comprar[Planilla])-ROW(Insumos_a_comprar[[#Headers],[Planilla]]),ROWS('Insumos a comprar'!$B$5:E63))),"")</f>
        <v/>
      </c>
      <c r="D61" s="29" t="str">
        <f>IF(ROWS('Insumos a comprar'!$B$5:F63)&lt;=COUNTIF(Insumos_a_comprar[Planilla],D$1),INDEX(Insumos_a_comprar[Insumo],_xlfn.AGGREGATE(15,6,(Insumos_a_comprar[Planilla]=D$1)/(Insumos_a_comprar[Planilla]=D$1)*ROW(Insumos_a_comprar[Planilla])-ROW(Insumos_a_comprar[[#Headers],[Planilla]]),ROWS('Insumos a comprar'!$B$5:F63))),"")</f>
        <v/>
      </c>
      <c r="E61" s="29" t="str">
        <f>IF(ROWS('Insumos a comprar'!$B$5:G63)&lt;=COUNTIF(Insumos_a_comprar[Planilla],E$1),INDEX(Insumos_a_comprar[Insumo],_xlfn.AGGREGATE(15,6,(Insumos_a_comprar[Planilla]=E$1)/(Insumos_a_comprar[Planilla]=E$1)*ROW(Insumos_a_comprar[Planilla])-ROW(Insumos_a_comprar[[#Headers],[Planilla]]),ROWS('Insumos a comprar'!$B$5:G63))),"")</f>
        <v/>
      </c>
      <c r="F61" s="29" t="str">
        <f>IF(ROWS('Insumos a comprar'!$B$5:H63)&lt;=COUNTIF(Insumos_a_comprar[Planilla],F$1),INDEX(Insumos_a_comprar[Insumo],_xlfn.AGGREGATE(15,6,(Insumos_a_comprar[Planilla]=F$1)/(Insumos_a_comprar[Planilla]=F$1)*ROW(Insumos_a_comprar[Planilla])-ROW(Insumos_a_comprar[[#Headers],[Planilla]]),ROWS('Insumos a comprar'!$B$5:H63))),"")</f>
        <v/>
      </c>
      <c r="G61" s="29" t="str">
        <f>IF(ROWS('Insumos a comprar'!$B$5:I63)&lt;=COUNTIF(Insumos_a_comprar[Planilla],G$1),INDEX(Insumos_a_comprar[Insumo],_xlfn.AGGREGATE(15,6,(Insumos_a_comprar[Planilla]=G$1)/(Insumos_a_comprar[Planilla]=G$1)*ROW(Insumos_a_comprar[Planilla])-ROW(Insumos_a_comprar[[#Headers],[Planilla]]),ROWS('Insumos a comprar'!$B$5:I63))),"")</f>
        <v/>
      </c>
      <c r="H61" s="29" t="str">
        <f>IF(ROWS('Insumos a comprar'!$B$5:I63)&lt;=COUNTIF(Insumos_a_comprar[Planilla],H$1),INDEX(Insumos_a_comprar[Insumo],_xlfn.AGGREGATE(15,6,(Insumos_a_comprar[Planilla]=H$1)/(Insumos_a_comprar[Planilla]=H$1)*ROW(Insumos_a_comprar[Planilla])-ROW(Insumos_a_comprar[[#Headers],[Planilla]]),ROWS('Insumos a comprar'!$B$5:I63))),"")</f>
        <v xml:space="preserve">Kitasatos chico </v>
      </c>
      <c r="I61" s="29" t="str">
        <f>IF(ROWS('Insumos a comprar'!$B$5:I63)&lt;=COUNTIF(Insumos_a_comprar[Planilla],I$1),INDEX(Insumos_a_comprar[Insumo],_xlfn.AGGREGATE(15,6,(Insumos_a_comprar[Planilla]=I$1)/(Insumos_a_comprar[Planilla]=I$1)*ROW(Insumos_a_comprar[Planilla])-ROW(Insumos_a_comprar[[#Headers],[Planilla]]),ROWS('Insumos a comprar'!$B$5:I63))),"")</f>
        <v/>
      </c>
      <c r="J61" s="29" t="str">
        <f>IF(ROWS('Insumos a comprar'!$B$5:I63)&lt;=COUNTIF(Insumos_a_comprar[Planilla],J$1),INDEX(Insumos_a_comprar[Insumo],_xlfn.AGGREGATE(15,6,(Insumos_a_comprar[Planilla]=J$1)/(Insumos_a_comprar[Planilla]=J$1)*ROW(Insumos_a_comprar[Planilla])-ROW(Insumos_a_comprar[[#Headers],[Planilla]]),ROWS('Insumos a comprar'!$B$5:I63))),"")</f>
        <v>Tapon Para Split y purga</v>
      </c>
      <c r="K61" s="29" t="str">
        <f>IF(ROWS('Insumos a comprar'!$B$5:I63)&lt;=COUNTIF(Insumos_a_comprar[Planilla],K$1),INDEX(Insumos_a_comprar[Insumo],_xlfn.AGGREGATE(15,6,(Insumos_a_comprar[Planilla]=K$1)/(Insumos_a_comprar[Planilla]=K$1)*ROW(Insumos_a_comprar[Planilla])-ROW(Insumos_a_comprar[[#Headers],[Planilla]]),ROWS('Insumos a comprar'!$B$5:I63))),"")</f>
        <v/>
      </c>
      <c r="L61" s="29" t="str">
        <f>IF(ROWS('Insumos a comprar'!$B$5:I63)&lt;=COUNTIF(Insumos_a_comprar[Planilla],L$1),INDEX(Insumos_a_comprar[Insumo],_xlfn.AGGREGATE(15,6,(Insumos_a_comprar[Planilla]=L$1)/(Insumos_a_comprar[Planilla]=L$1)*ROW(Insumos_a_comprar[Planilla])-ROW(Insumos_a_comprar[[#Headers],[Planilla]]),ROWS('Insumos a comprar'!$B$5:I63))),"")</f>
        <v/>
      </c>
      <c r="M61" s="29"/>
      <c r="N61" s="29"/>
      <c r="O61" s="29"/>
      <c r="P61" s="29"/>
      <c r="Q61" s="29"/>
    </row>
    <row r="62" spans="1:17" ht="15.75" x14ac:dyDescent="0.25">
      <c r="A62" s="29" t="str">
        <f>IF(ROWS('Insumos a comprar'!$B$5:B64)&lt;=COUNTIF(Insumos_a_comprar[Planilla],A$1),INDEX(Insumos_a_comprar[Insumo],_xlfn.AGGREGATE(15,6,(Insumos_a_comprar[Planilla]=A$1)/(Insumos_a_comprar[Planilla]=A$1)*ROW(Insumos_a_comprar[Planilla])-ROW(Insumos_a_comprar[[#Headers],[Planilla]]),ROWS('Insumos a comprar'!$B$5:B64))),"")</f>
        <v/>
      </c>
      <c r="B62" s="29" t="str">
        <f>IF(ROWS('Insumos a comprar'!$B$5:B64)&lt;=COUNTIF(Insumos_a_comprar[Planilla],B$1),INDEX(Insumos_a_comprar[Insumo],_xlfn.AGGREGATE(15,6,(Insumos_a_comprar[Planilla]=B$1)/(Insumos_a_comprar[Planilla]=B$1)*ROW(Insumos_a_comprar[Planilla])-ROW(Insumos_a_comprar[[#Headers],[Planilla]]),ROWS('Insumos a comprar'!$B$5:B64))),"")</f>
        <v>Sodio meta arsenito  (NaAsO3)</v>
      </c>
      <c r="C62" s="29" t="str">
        <f>IF(ROWS('Insumos a comprar'!$B$5:E64)&lt;=COUNTIF(Insumos_a_comprar[Planilla],C$1),INDEX(Insumos_a_comprar[Insumo],_xlfn.AGGREGATE(15,6,(Insumos_a_comprar[Planilla]=C$1)/(Insumos_a_comprar[Planilla]=C$1)*ROW(Insumos_a_comprar[Planilla])-ROW(Insumos_a_comprar[[#Headers],[Planilla]]),ROWS('Insumos a comprar'!$B$5:E64))),"")</f>
        <v/>
      </c>
      <c r="D62" s="29" t="str">
        <f>IF(ROWS('Insumos a comprar'!$B$5:F64)&lt;=COUNTIF(Insumos_a_comprar[Planilla],D$1),INDEX(Insumos_a_comprar[Insumo],_xlfn.AGGREGATE(15,6,(Insumos_a_comprar[Planilla]=D$1)/(Insumos_a_comprar[Planilla]=D$1)*ROW(Insumos_a_comprar[Planilla])-ROW(Insumos_a_comprar[[#Headers],[Planilla]]),ROWS('Insumos a comprar'!$B$5:F64))),"")</f>
        <v/>
      </c>
      <c r="E62" s="29" t="str">
        <f>IF(ROWS('Insumos a comprar'!$B$5:G64)&lt;=COUNTIF(Insumos_a_comprar[Planilla],E$1),INDEX(Insumos_a_comprar[Insumo],_xlfn.AGGREGATE(15,6,(Insumos_a_comprar[Planilla]=E$1)/(Insumos_a_comprar[Planilla]=E$1)*ROW(Insumos_a_comprar[Planilla])-ROW(Insumos_a_comprar[[#Headers],[Planilla]]),ROWS('Insumos a comprar'!$B$5:G64))),"")</f>
        <v/>
      </c>
      <c r="F62" s="29" t="str">
        <f>IF(ROWS('Insumos a comprar'!$B$5:H64)&lt;=COUNTIF(Insumos_a_comprar[Planilla],F$1),INDEX(Insumos_a_comprar[Insumo],_xlfn.AGGREGATE(15,6,(Insumos_a_comprar[Planilla]=F$1)/(Insumos_a_comprar[Planilla]=F$1)*ROW(Insumos_a_comprar[Planilla])-ROW(Insumos_a_comprar[[#Headers],[Planilla]]),ROWS('Insumos a comprar'!$B$5:H64))),"")</f>
        <v/>
      </c>
      <c r="G62" s="29" t="str">
        <f>IF(ROWS('Insumos a comprar'!$B$5:I64)&lt;=COUNTIF(Insumos_a_comprar[Planilla],G$1),INDEX(Insumos_a_comprar[Insumo],_xlfn.AGGREGATE(15,6,(Insumos_a_comprar[Planilla]=G$1)/(Insumos_a_comprar[Planilla]=G$1)*ROW(Insumos_a_comprar[Planilla])-ROW(Insumos_a_comprar[[#Headers],[Planilla]]),ROWS('Insumos a comprar'!$B$5:I64))),"")</f>
        <v/>
      </c>
      <c r="H62" s="29" t="str">
        <f>IF(ROWS('Insumos a comprar'!$B$5:I64)&lt;=COUNTIF(Insumos_a_comprar[Planilla],H$1),INDEX(Insumos_a_comprar[Insumo],_xlfn.AGGREGATE(15,6,(Insumos_a_comprar[Planilla]=H$1)/(Insumos_a_comprar[Planilla]=H$1)*ROW(Insumos_a_comprar[Planilla])-ROW(Insumos_a_comprar[[#Headers],[Planilla]]),ROWS('Insumos a comprar'!$B$5:I64))),"")</f>
        <v xml:space="preserve">Kitasatos grande </v>
      </c>
      <c r="I62" s="29" t="str">
        <f>IF(ROWS('Insumos a comprar'!$B$5:I64)&lt;=COUNTIF(Insumos_a_comprar[Planilla],I$1),INDEX(Insumos_a_comprar[Insumo],_xlfn.AGGREGATE(15,6,(Insumos_a_comprar[Planilla]=I$1)/(Insumos_a_comprar[Planilla]=I$1)*ROW(Insumos_a_comprar[Planilla])-ROW(Insumos_a_comprar[[#Headers],[Planilla]]),ROWS('Insumos a comprar'!$B$5:I64))),"")</f>
        <v/>
      </c>
      <c r="J62" s="29" t="str">
        <f>IF(ROWS('Insumos a comprar'!$B$5:I64)&lt;=COUNTIF(Insumos_a_comprar[Planilla],J$1),INDEX(Insumos_a_comprar[Insumo],_xlfn.AGGREGATE(15,6,(Insumos_a_comprar[Planilla]=J$1)/(Insumos_a_comprar[Planilla]=J$1)*ROW(Insumos_a_comprar[Planilla])-ROW(Insumos_a_comprar[[#Headers],[Planilla]]),ROWS('Insumos a comprar'!$B$5:I64))),"")</f>
        <v xml:space="preserve">Tuercas </v>
      </c>
      <c r="K62" s="29" t="str">
        <f>IF(ROWS('Insumos a comprar'!$B$5:I64)&lt;=COUNTIF(Insumos_a_comprar[Planilla],K$1),INDEX(Insumos_a_comprar[Insumo],_xlfn.AGGREGATE(15,6,(Insumos_a_comprar[Planilla]=K$1)/(Insumos_a_comprar[Planilla]=K$1)*ROW(Insumos_a_comprar[Planilla])-ROW(Insumos_a_comprar[[#Headers],[Planilla]]),ROWS('Insumos a comprar'!$B$5:I64))),"")</f>
        <v/>
      </c>
      <c r="L62" s="29" t="str">
        <f>IF(ROWS('Insumos a comprar'!$B$5:I64)&lt;=COUNTIF(Insumos_a_comprar[Planilla],L$1),INDEX(Insumos_a_comprar[Insumo],_xlfn.AGGREGATE(15,6,(Insumos_a_comprar[Planilla]=L$1)/(Insumos_a_comprar[Planilla]=L$1)*ROW(Insumos_a_comprar[Planilla])-ROW(Insumos_a_comprar[[#Headers],[Planilla]]),ROWS('Insumos a comprar'!$B$5:I64))),"")</f>
        <v/>
      </c>
      <c r="M62" s="29"/>
      <c r="N62" s="29"/>
      <c r="O62" s="29"/>
      <c r="P62" s="29"/>
      <c r="Q62" s="29"/>
    </row>
    <row r="63" spans="1:17" ht="63" x14ac:dyDescent="0.25">
      <c r="A63" s="29" t="str">
        <f>IF(ROWS('Insumos a comprar'!$B$5:B65)&lt;=COUNTIF(Insumos_a_comprar[Planilla],A$1),INDEX(Insumos_a_comprar[Insumo],_xlfn.AGGREGATE(15,6,(Insumos_a_comprar[Planilla]=A$1)/(Insumos_a_comprar[Planilla]=A$1)*ROW(Insumos_a_comprar[Planilla])-ROW(Insumos_a_comprar[[#Headers],[Planilla]]),ROWS('Insumos a comprar'!$B$5:B65))),"")</f>
        <v/>
      </c>
      <c r="B63" s="29" t="str">
        <f>IF(ROWS('Insumos a comprar'!$B$5:B65)&lt;=COUNTIF(Insumos_a_comprar[Planilla],B$1),INDEX(Insumos_a_comprar[Insumo],_xlfn.AGGREGATE(15,6,(Insumos_a_comprar[Planilla]=B$1)/(Insumos_a_comprar[Planilla]=B$1)*ROW(Insumos_a_comprar[Planilla])-ROW(Insumos_a_comprar[[#Headers],[Planilla]]),ROWS('Insumos a comprar'!$B$5:B65))),"")</f>
        <v>Sodio nitrito (NaNO2)</v>
      </c>
      <c r="C63" s="29" t="str">
        <f>IF(ROWS('Insumos a comprar'!$B$5:E65)&lt;=COUNTIF(Insumos_a_comprar[Planilla],C$1),INDEX(Insumos_a_comprar[Insumo],_xlfn.AGGREGATE(15,6,(Insumos_a_comprar[Planilla]=C$1)/(Insumos_a_comprar[Planilla]=C$1)*ROW(Insumos_a_comprar[Planilla])-ROW(Insumos_a_comprar[[#Headers],[Planilla]]),ROWS('Insumos a comprar'!$B$5:E65))),"")</f>
        <v/>
      </c>
      <c r="D63" s="29" t="str">
        <f>IF(ROWS('Insumos a comprar'!$B$5:F65)&lt;=COUNTIF(Insumos_a_comprar[Planilla],D$1),INDEX(Insumos_a_comprar[Insumo],_xlfn.AGGREGATE(15,6,(Insumos_a_comprar[Planilla]=D$1)/(Insumos_a_comprar[Planilla]=D$1)*ROW(Insumos_a_comprar[Planilla])-ROW(Insumos_a_comprar[[#Headers],[Planilla]]),ROWS('Insumos a comprar'!$B$5:F65))),"")</f>
        <v/>
      </c>
      <c r="E63" s="29" t="str">
        <f>IF(ROWS('Insumos a comprar'!$B$5:G65)&lt;=COUNTIF(Insumos_a_comprar[Planilla],E$1),INDEX(Insumos_a_comprar[Insumo],_xlfn.AGGREGATE(15,6,(Insumos_a_comprar[Planilla]=E$1)/(Insumos_a_comprar[Planilla]=E$1)*ROW(Insumos_a_comprar[Planilla])-ROW(Insumos_a_comprar[[#Headers],[Planilla]]),ROWS('Insumos a comprar'!$B$5:G65))),"")</f>
        <v/>
      </c>
      <c r="F63" s="29" t="str">
        <f>IF(ROWS('Insumos a comprar'!$B$5:H65)&lt;=COUNTIF(Insumos_a_comprar[Planilla],F$1),INDEX(Insumos_a_comprar[Insumo],_xlfn.AGGREGATE(15,6,(Insumos_a_comprar[Planilla]=F$1)/(Insumos_a_comprar[Planilla]=F$1)*ROW(Insumos_a_comprar[Planilla])-ROW(Insumos_a_comprar[[#Headers],[Planilla]]),ROWS('Insumos a comprar'!$B$5:H65))),"")</f>
        <v/>
      </c>
      <c r="G63" s="29" t="str">
        <f>IF(ROWS('Insumos a comprar'!$B$5:I65)&lt;=COUNTIF(Insumos_a_comprar[Planilla],G$1),INDEX(Insumos_a_comprar[Insumo],_xlfn.AGGREGATE(15,6,(Insumos_a_comprar[Planilla]=G$1)/(Insumos_a_comprar[Planilla]=G$1)*ROW(Insumos_a_comprar[Planilla])-ROW(Insumos_a_comprar[[#Headers],[Planilla]]),ROWS('Insumos a comprar'!$B$5:I65))),"")</f>
        <v/>
      </c>
      <c r="H63" s="29" t="str">
        <f>IF(ROWS('Insumos a comprar'!$B$5:I65)&lt;=COUNTIF(Insumos_a_comprar[Planilla],H$1),INDEX(Insumos_a_comprar[Insumo],_xlfn.AGGREGATE(15,6,(Insumos_a_comprar[Planilla]=H$1)/(Insumos_a_comprar[Planilla]=H$1)*ROW(Insumos_a_comprar[Planilla])-ROW(Insumos_a_comprar[[#Headers],[Planilla]]),ROWS('Insumos a comprar'!$B$5:I65))),"")</f>
        <v>Matraces Aforados 10 ml</v>
      </c>
      <c r="I63" s="29" t="str">
        <f>IF(ROWS('Insumos a comprar'!$B$5:I65)&lt;=COUNTIF(Insumos_a_comprar[Planilla],I$1),INDEX(Insumos_a_comprar[Insumo],_xlfn.AGGREGATE(15,6,(Insumos_a_comprar[Planilla]=I$1)/(Insumos_a_comprar[Planilla]=I$1)*ROW(Insumos_a_comprar[Planilla])-ROW(Insumos_a_comprar[[#Headers],[Planilla]]),ROWS('Insumos a comprar'!$B$5:I65))),"")</f>
        <v/>
      </c>
      <c r="J63" s="29" t="str">
        <f>IF(ROWS('Insumos a comprar'!$B$5:I65)&lt;=COUNTIF(Insumos_a_comprar[Planilla],J$1),INDEX(Insumos_a_comprar[Insumo],_xlfn.AGGREGATE(15,6,(Insumos_a_comprar[Planilla]=J$1)/(Insumos_a_comprar[Planilla]=J$1)*ROW(Insumos_a_comprar[Planilla])-ROW(Insumos_a_comprar[[#Headers],[Planilla]]),ROWS('Insumos a comprar'!$B$5:I65))),"")</f>
        <v>Viales 1,5 ml graduados</v>
      </c>
      <c r="K63" s="29" t="str">
        <f>IF(ROWS('Insumos a comprar'!$B$5:I65)&lt;=COUNTIF(Insumos_a_comprar[Planilla],K$1),INDEX(Insumos_a_comprar[Insumo],_xlfn.AGGREGATE(15,6,(Insumos_a_comprar[Planilla]=K$1)/(Insumos_a_comprar[Planilla]=K$1)*ROW(Insumos_a_comprar[Planilla])-ROW(Insumos_a_comprar[[#Headers],[Planilla]]),ROWS('Insumos a comprar'!$B$5:I65))),"")</f>
        <v/>
      </c>
      <c r="L63" s="29" t="str">
        <f>IF(ROWS('Insumos a comprar'!$B$5:I65)&lt;=COUNTIF(Insumos_a_comprar[Planilla],L$1),INDEX(Insumos_a_comprar[Insumo],_xlfn.AGGREGATE(15,6,(Insumos_a_comprar[Planilla]=L$1)/(Insumos_a_comprar[Planilla]=L$1)*ROW(Insumos_a_comprar[Planilla])-ROW(Insumos_a_comprar[[#Headers],[Planilla]]),ROWS('Insumos a comprar'!$B$5:I65))),"")</f>
        <v/>
      </c>
      <c r="M63" s="29"/>
      <c r="N63" s="29"/>
      <c r="O63" s="29"/>
      <c r="P63" s="29"/>
      <c r="Q63" s="29"/>
    </row>
    <row r="64" spans="1:17" ht="94.5" x14ac:dyDescent="0.25">
      <c r="A64" s="29" t="str">
        <f>IF(ROWS('Insumos a comprar'!$B$5:B66)&lt;=COUNTIF(Insumos_a_comprar[Planilla],A$1),INDEX(Insumos_a_comprar[Insumo],_xlfn.AGGREGATE(15,6,(Insumos_a_comprar[Planilla]=A$1)/(Insumos_a_comprar[Planilla]=A$1)*ROW(Insumos_a_comprar[Planilla])-ROW(Insumos_a_comprar[[#Headers],[Planilla]]),ROWS('Insumos a comprar'!$B$5:B66))),"")</f>
        <v/>
      </c>
      <c r="B64" s="29" t="str">
        <f>IF(ROWS('Insumos a comprar'!$B$5:B66)&lt;=COUNTIF(Insumos_a_comprar[Planilla],B$1),INDEX(Insumos_a_comprar[Insumo],_xlfn.AGGREGATE(15,6,(Insumos_a_comprar[Planilla]=B$1)/(Insumos_a_comprar[Planilla]=B$1)*ROW(Insumos_a_comprar[Planilla])-ROW(Insumos_a_comprar[[#Headers],[Planilla]]),ROWS('Insumos a comprar'!$B$5:B66))),"")</f>
        <v>Sodio sulfito  anhidro (Na2SO3)</v>
      </c>
      <c r="C64" s="29" t="str">
        <f>IF(ROWS('Insumos a comprar'!$B$5:E66)&lt;=COUNTIF(Insumos_a_comprar[Planilla],C$1),INDEX(Insumos_a_comprar[Insumo],_xlfn.AGGREGATE(15,6,(Insumos_a_comprar[Planilla]=C$1)/(Insumos_a_comprar[Planilla]=C$1)*ROW(Insumos_a_comprar[Planilla])-ROW(Insumos_a_comprar[[#Headers],[Planilla]]),ROWS('Insumos a comprar'!$B$5:E66))),"")</f>
        <v/>
      </c>
      <c r="D64" s="29" t="str">
        <f>IF(ROWS('Insumos a comprar'!$B$5:F66)&lt;=COUNTIF(Insumos_a_comprar[Planilla],D$1),INDEX(Insumos_a_comprar[Insumo],_xlfn.AGGREGATE(15,6,(Insumos_a_comprar[Planilla]=D$1)/(Insumos_a_comprar[Planilla]=D$1)*ROW(Insumos_a_comprar[Planilla])-ROW(Insumos_a_comprar[[#Headers],[Planilla]]),ROWS('Insumos a comprar'!$B$5:F66))),"")</f>
        <v/>
      </c>
      <c r="E64" s="29" t="str">
        <f>IF(ROWS('Insumos a comprar'!$B$5:G66)&lt;=COUNTIF(Insumos_a_comprar[Planilla],E$1),INDEX(Insumos_a_comprar[Insumo],_xlfn.AGGREGATE(15,6,(Insumos_a_comprar[Planilla]=E$1)/(Insumos_a_comprar[Planilla]=E$1)*ROW(Insumos_a_comprar[Planilla])-ROW(Insumos_a_comprar[[#Headers],[Planilla]]),ROWS('Insumos a comprar'!$B$5:G66))),"")</f>
        <v/>
      </c>
      <c r="F64" s="29" t="str">
        <f>IF(ROWS('Insumos a comprar'!$B$5:H66)&lt;=COUNTIF(Insumos_a_comprar[Planilla],F$1),INDEX(Insumos_a_comprar[Insumo],_xlfn.AGGREGATE(15,6,(Insumos_a_comprar[Planilla]=F$1)/(Insumos_a_comprar[Planilla]=F$1)*ROW(Insumos_a_comprar[Planilla])-ROW(Insumos_a_comprar[[#Headers],[Planilla]]),ROWS('Insumos a comprar'!$B$5:H66))),"")</f>
        <v/>
      </c>
      <c r="G64" s="29" t="str">
        <f>IF(ROWS('Insumos a comprar'!$B$5:I66)&lt;=COUNTIF(Insumos_a_comprar[Planilla],G$1),INDEX(Insumos_a_comprar[Insumo],_xlfn.AGGREGATE(15,6,(Insumos_a_comprar[Planilla]=G$1)/(Insumos_a_comprar[Planilla]=G$1)*ROW(Insumos_a_comprar[Planilla])-ROW(Insumos_a_comprar[[#Headers],[Planilla]]),ROWS('Insumos a comprar'!$B$5:I66))),"")</f>
        <v/>
      </c>
      <c r="H64" s="29" t="str">
        <f>IF(ROWS('Insumos a comprar'!$B$5:I66)&lt;=COUNTIF(Insumos_a_comprar[Planilla],H$1),INDEX(Insumos_a_comprar[Insumo],_xlfn.AGGREGATE(15,6,(Insumos_a_comprar[Planilla]=H$1)/(Insumos_a_comprar[Planilla]=H$1)*ROW(Insumos_a_comprar[Planilla])-ROW(Insumos_a_comprar[[#Headers],[Planilla]]),ROWS('Insumos a comprar'!$B$5:I66))),"")</f>
        <v>Matraces Aforados 100 ml</v>
      </c>
      <c r="I64" s="29" t="str">
        <f>IF(ROWS('Insumos a comprar'!$B$5:I66)&lt;=COUNTIF(Insumos_a_comprar[Planilla],I$1),INDEX(Insumos_a_comprar[Insumo],_xlfn.AGGREGATE(15,6,(Insumos_a_comprar[Planilla]=I$1)/(Insumos_a_comprar[Planilla]=I$1)*ROW(Insumos_a_comprar[Planilla])-ROW(Insumos_a_comprar[[#Headers],[Planilla]]),ROWS('Insumos a comprar'!$B$5:I66))),"")</f>
        <v/>
      </c>
      <c r="J64" s="29" t="str">
        <f>IF(ROWS('Insumos a comprar'!$B$5:I66)&lt;=COUNTIF(Insumos_a_comprar[Planilla],J$1),INDEX(Insumos_a_comprar[Insumo],_xlfn.AGGREGATE(15,6,(Insumos_a_comprar[Planilla]=J$1)/(Insumos_a_comprar[Planilla]=J$1)*ROW(Insumos_a_comprar[Planilla])-ROW(Insumos_a_comprar[[#Headers],[Planilla]]),ROWS('Insumos a comprar'!$B$5:I66))),"")</f>
        <v>Viales 1,5 ml no graduados boca chica</v>
      </c>
      <c r="K64" s="29" t="str">
        <f>IF(ROWS('Insumos a comprar'!$B$5:I66)&lt;=COUNTIF(Insumos_a_comprar[Planilla],K$1),INDEX(Insumos_a_comprar[Insumo],_xlfn.AGGREGATE(15,6,(Insumos_a_comprar[Planilla]=K$1)/(Insumos_a_comprar[Planilla]=K$1)*ROW(Insumos_a_comprar[Planilla])-ROW(Insumos_a_comprar[[#Headers],[Planilla]]),ROWS('Insumos a comprar'!$B$5:I66))),"")</f>
        <v/>
      </c>
      <c r="L64" s="29" t="str">
        <f>IF(ROWS('Insumos a comprar'!$B$5:I66)&lt;=COUNTIF(Insumos_a_comprar[Planilla],L$1),INDEX(Insumos_a_comprar[Insumo],_xlfn.AGGREGATE(15,6,(Insumos_a_comprar[Planilla]=L$1)/(Insumos_a_comprar[Planilla]=L$1)*ROW(Insumos_a_comprar[Planilla])-ROW(Insumos_a_comprar[[#Headers],[Planilla]]),ROWS('Insumos a comprar'!$B$5:I66))),"")</f>
        <v/>
      </c>
      <c r="M64" s="29"/>
      <c r="N64" s="29"/>
      <c r="O64" s="29"/>
      <c r="P64" s="29"/>
      <c r="Q64" s="29"/>
    </row>
    <row r="65" spans="1:17" ht="94.5" x14ac:dyDescent="0.25">
      <c r="A65" s="29" t="str">
        <f>IF(ROWS('Insumos a comprar'!$B$5:B67)&lt;=COUNTIF(Insumos_a_comprar[Planilla],A$1),INDEX(Insumos_a_comprar[Insumo],_xlfn.AGGREGATE(15,6,(Insumos_a_comprar[Planilla]=A$1)/(Insumos_a_comprar[Planilla]=A$1)*ROW(Insumos_a_comprar[Planilla])-ROW(Insumos_a_comprar[[#Headers],[Planilla]]),ROWS('Insumos a comprar'!$B$5:B67))),"")</f>
        <v/>
      </c>
      <c r="B65" s="29" t="str">
        <f>IF(ROWS('Insumos a comprar'!$B$5:B67)&lt;=COUNTIF(Insumos_a_comprar[Planilla],B$1),INDEX(Insumos_a_comprar[Insumo],_xlfn.AGGREGATE(15,6,(Insumos_a_comprar[Planilla]=B$1)/(Insumos_a_comprar[Planilla]=B$1)*ROW(Insumos_a_comprar[Planilla])-ROW(Insumos_a_comprar[[#Headers],[Planilla]]),ROWS('Insumos a comprar'!$B$5:B67))),"")</f>
        <v>Sodio sulfuro  (Na2S xH2O)</v>
      </c>
      <c r="C65" s="29" t="str">
        <f>IF(ROWS('Insumos a comprar'!$B$5:E67)&lt;=COUNTIF(Insumos_a_comprar[Planilla],C$1),INDEX(Insumos_a_comprar[Insumo],_xlfn.AGGREGATE(15,6,(Insumos_a_comprar[Planilla]=C$1)/(Insumos_a_comprar[Planilla]=C$1)*ROW(Insumos_a_comprar[Planilla])-ROW(Insumos_a_comprar[[#Headers],[Planilla]]),ROWS('Insumos a comprar'!$B$5:E67))),"")</f>
        <v/>
      </c>
      <c r="D65" s="29" t="str">
        <f>IF(ROWS('Insumos a comprar'!$B$5:F67)&lt;=COUNTIF(Insumos_a_comprar[Planilla],D$1),INDEX(Insumos_a_comprar[Insumo],_xlfn.AGGREGATE(15,6,(Insumos_a_comprar[Planilla]=D$1)/(Insumos_a_comprar[Planilla]=D$1)*ROW(Insumos_a_comprar[Planilla])-ROW(Insumos_a_comprar[[#Headers],[Planilla]]),ROWS('Insumos a comprar'!$B$5:F67))),"")</f>
        <v/>
      </c>
      <c r="E65" s="29" t="str">
        <f>IF(ROWS('Insumos a comprar'!$B$5:G67)&lt;=COUNTIF(Insumos_a_comprar[Planilla],E$1),INDEX(Insumos_a_comprar[Insumo],_xlfn.AGGREGATE(15,6,(Insumos_a_comprar[Planilla]=E$1)/(Insumos_a_comprar[Planilla]=E$1)*ROW(Insumos_a_comprar[Planilla])-ROW(Insumos_a_comprar[[#Headers],[Planilla]]),ROWS('Insumos a comprar'!$B$5:G67))),"")</f>
        <v/>
      </c>
      <c r="F65" s="29" t="str">
        <f>IF(ROWS('Insumos a comprar'!$B$5:H67)&lt;=COUNTIF(Insumos_a_comprar[Planilla],F$1),INDEX(Insumos_a_comprar[Insumo],_xlfn.AGGREGATE(15,6,(Insumos_a_comprar[Planilla]=F$1)/(Insumos_a_comprar[Planilla]=F$1)*ROW(Insumos_a_comprar[Planilla])-ROW(Insumos_a_comprar[[#Headers],[Planilla]]),ROWS('Insumos a comprar'!$B$5:H67))),"")</f>
        <v/>
      </c>
      <c r="G65" s="29" t="str">
        <f>IF(ROWS('Insumos a comprar'!$B$5:I67)&lt;=COUNTIF(Insumos_a_comprar[Planilla],G$1),INDEX(Insumos_a_comprar[Insumo],_xlfn.AGGREGATE(15,6,(Insumos_a_comprar[Planilla]=G$1)/(Insumos_a_comprar[Planilla]=G$1)*ROW(Insumos_a_comprar[Planilla])-ROW(Insumos_a_comprar[[#Headers],[Planilla]]),ROWS('Insumos a comprar'!$B$5:I67))),"")</f>
        <v/>
      </c>
      <c r="H65" s="29" t="str">
        <f>IF(ROWS('Insumos a comprar'!$B$5:I67)&lt;=COUNTIF(Insumos_a_comprar[Planilla],H$1),INDEX(Insumos_a_comprar[Insumo],_xlfn.AGGREGATE(15,6,(Insumos_a_comprar[Planilla]=H$1)/(Insumos_a_comprar[Planilla]=H$1)*ROW(Insumos_a_comprar[Planilla])-ROW(Insumos_a_comprar[[#Headers],[Planilla]]),ROWS('Insumos a comprar'!$B$5:I67))),"")</f>
        <v>Matraces Aforados 1000 ml</v>
      </c>
      <c r="I65" s="29" t="str">
        <f>IF(ROWS('Insumos a comprar'!$B$5:I67)&lt;=COUNTIF(Insumos_a_comprar[Planilla],I$1),INDEX(Insumos_a_comprar[Insumo],_xlfn.AGGREGATE(15,6,(Insumos_a_comprar[Planilla]=I$1)/(Insumos_a_comprar[Planilla]=I$1)*ROW(Insumos_a_comprar[Planilla])-ROW(Insumos_a_comprar[[#Headers],[Planilla]]),ROWS('Insumos a comprar'!$B$5:I67))),"")</f>
        <v/>
      </c>
      <c r="J65" s="29" t="str">
        <f>IF(ROWS('Insumos a comprar'!$B$5:I67)&lt;=COUNTIF(Insumos_a_comprar[Planilla],J$1),INDEX(Insumos_a_comprar[Insumo],_xlfn.AGGREGATE(15,6,(Insumos_a_comprar[Planilla]=J$1)/(Insumos_a_comprar[Planilla]=J$1)*ROW(Insumos_a_comprar[Planilla])-ROW(Insumos_a_comprar[[#Headers],[Planilla]]),ROWS('Insumos a comprar'!$B$5:I67))),"")</f>
        <v>Viales 1,5 ml no graduados boca grande</v>
      </c>
      <c r="K65" s="29" t="str">
        <f>IF(ROWS('Insumos a comprar'!$B$5:I67)&lt;=COUNTIF(Insumos_a_comprar[Planilla],K$1),INDEX(Insumos_a_comprar[Insumo],_xlfn.AGGREGATE(15,6,(Insumos_a_comprar[Planilla]=K$1)/(Insumos_a_comprar[Planilla]=K$1)*ROW(Insumos_a_comprar[Planilla])-ROW(Insumos_a_comprar[[#Headers],[Planilla]]),ROWS('Insumos a comprar'!$B$5:I67))),"")</f>
        <v/>
      </c>
      <c r="L65" s="29" t="str">
        <f>IF(ROWS('Insumos a comprar'!$B$5:I67)&lt;=COUNTIF(Insumos_a_comprar[Planilla],L$1),INDEX(Insumos_a_comprar[Insumo],_xlfn.AGGREGATE(15,6,(Insumos_a_comprar[Planilla]=L$1)/(Insumos_a_comprar[Planilla]=L$1)*ROW(Insumos_a_comprar[Planilla])-ROW(Insumos_a_comprar[[#Headers],[Planilla]]),ROWS('Insumos a comprar'!$B$5:I67))),"")</f>
        <v/>
      </c>
      <c r="M65" s="29"/>
      <c r="N65" s="29"/>
      <c r="O65" s="29"/>
      <c r="P65" s="29"/>
      <c r="Q65" s="29"/>
    </row>
    <row r="66" spans="1:17" ht="31.5" x14ac:dyDescent="0.25">
      <c r="A66" s="29" t="str">
        <f>IF(ROWS('Insumos a comprar'!$B$5:B68)&lt;=COUNTIF(Insumos_a_comprar[Planilla],A$1),INDEX(Insumos_a_comprar[Insumo],_xlfn.AGGREGATE(15,6,(Insumos_a_comprar[Planilla]=A$1)/(Insumos_a_comprar[Planilla]=A$1)*ROW(Insumos_a_comprar[Planilla])-ROW(Insumos_a_comprar[[#Headers],[Planilla]]),ROWS('Insumos a comprar'!$B$5:B68))),"")</f>
        <v/>
      </c>
      <c r="B66" s="29" t="str">
        <f>IF(ROWS('Insumos a comprar'!$B$5:B68)&lt;=COUNTIF(Insumos_a_comprar[Planilla],B$1),INDEX(Insumos_a_comprar[Insumo],_xlfn.AGGREGATE(15,6,(Insumos_a_comprar[Planilla]=B$1)/(Insumos_a_comprar[Planilla]=B$1)*ROW(Insumos_a_comprar[Planilla])-ROW(Insumos_a_comprar[[#Headers],[Planilla]]),ROWS('Insumos a comprar'!$B$5:B68))),"")</f>
        <v/>
      </c>
      <c r="C66" s="29" t="str">
        <f>IF(ROWS('Insumos a comprar'!$B$5:E68)&lt;=COUNTIF(Insumos_a_comprar[Planilla],C$1),INDEX(Insumos_a_comprar[Insumo],_xlfn.AGGREGATE(15,6,(Insumos_a_comprar[Planilla]=C$1)/(Insumos_a_comprar[Planilla]=C$1)*ROW(Insumos_a_comprar[Planilla])-ROW(Insumos_a_comprar[[#Headers],[Planilla]]),ROWS('Insumos a comprar'!$B$5:E68))),"")</f>
        <v/>
      </c>
      <c r="D66" s="29" t="str">
        <f>IF(ROWS('Insumos a comprar'!$B$5:F68)&lt;=COUNTIF(Insumos_a_comprar[Planilla],D$1),INDEX(Insumos_a_comprar[Insumo],_xlfn.AGGREGATE(15,6,(Insumos_a_comprar[Planilla]=D$1)/(Insumos_a_comprar[Planilla]=D$1)*ROW(Insumos_a_comprar[Planilla])-ROW(Insumos_a_comprar[[#Headers],[Planilla]]),ROWS('Insumos a comprar'!$B$5:F68))),"")</f>
        <v/>
      </c>
      <c r="E66" s="29" t="str">
        <f>IF(ROWS('Insumos a comprar'!$B$5:G68)&lt;=COUNTIF(Insumos_a_comprar[Planilla],E$1),INDEX(Insumos_a_comprar[Insumo],_xlfn.AGGREGATE(15,6,(Insumos_a_comprar[Planilla]=E$1)/(Insumos_a_comprar[Planilla]=E$1)*ROW(Insumos_a_comprar[Planilla])-ROW(Insumos_a_comprar[[#Headers],[Planilla]]),ROWS('Insumos a comprar'!$B$5:G68))),"")</f>
        <v/>
      </c>
      <c r="F66" s="29" t="str">
        <f>IF(ROWS('Insumos a comprar'!$B$5:H68)&lt;=COUNTIF(Insumos_a_comprar[Planilla],F$1),INDEX(Insumos_a_comprar[Insumo],_xlfn.AGGREGATE(15,6,(Insumos_a_comprar[Planilla]=F$1)/(Insumos_a_comprar[Planilla]=F$1)*ROW(Insumos_a_comprar[Planilla])-ROW(Insumos_a_comprar[[#Headers],[Planilla]]),ROWS('Insumos a comprar'!$B$5:H68))),"")</f>
        <v/>
      </c>
      <c r="G66" s="29" t="str">
        <f>IF(ROWS('Insumos a comprar'!$B$5:I68)&lt;=COUNTIF(Insumos_a_comprar[Planilla],G$1),INDEX(Insumos_a_comprar[Insumo],_xlfn.AGGREGATE(15,6,(Insumos_a_comprar[Planilla]=G$1)/(Insumos_a_comprar[Planilla]=G$1)*ROW(Insumos_a_comprar[Planilla])-ROW(Insumos_a_comprar[[#Headers],[Planilla]]),ROWS('Insumos a comprar'!$B$5:I68))),"")</f>
        <v/>
      </c>
      <c r="H66" s="29" t="str">
        <f>IF(ROWS('Insumos a comprar'!$B$5:I68)&lt;=COUNTIF(Insumos_a_comprar[Planilla],H$1),INDEX(Insumos_a_comprar[Insumo],_xlfn.AGGREGATE(15,6,(Insumos_a_comprar[Planilla]=H$1)/(Insumos_a_comprar[Planilla]=H$1)*ROW(Insumos_a_comprar[Planilla])-ROW(Insumos_a_comprar[[#Headers],[Planilla]]),ROWS('Insumos a comprar'!$B$5:I68))),"")</f>
        <v>Matraces Aforados 200 ml</v>
      </c>
      <c r="I66" s="29" t="str">
        <f>IF(ROWS('Insumos a comprar'!$B$5:I68)&lt;=COUNTIF(Insumos_a_comprar[Planilla],I$1),INDEX(Insumos_a_comprar[Insumo],_xlfn.AGGREGATE(15,6,(Insumos_a_comprar[Planilla]=I$1)/(Insumos_a_comprar[Planilla]=I$1)*ROW(Insumos_a_comprar[Planilla])-ROW(Insumos_a_comprar[[#Headers],[Planilla]]),ROWS('Insumos a comprar'!$B$5:I68))),"")</f>
        <v/>
      </c>
      <c r="J66" s="29" t="str">
        <f>IF(ROWS('Insumos a comprar'!$B$5:I68)&lt;=COUNTIF(Insumos_a_comprar[Planilla],J$1),INDEX(Insumos_a_comprar[Insumo],_xlfn.AGGREGATE(15,6,(Insumos_a_comprar[Planilla]=J$1)/(Insumos_a_comprar[Planilla]=J$1)*ROW(Insumos_a_comprar[Planilla])-ROW(Insumos_a_comprar[[#Headers],[Planilla]]),ROWS('Insumos a comprar'!$B$5:I68))),"")</f>
        <v>Viales 4 ml</v>
      </c>
      <c r="K66" s="29" t="str">
        <f>IF(ROWS('Insumos a comprar'!$B$5:I68)&lt;=COUNTIF(Insumos_a_comprar[Planilla],K$1),INDEX(Insumos_a_comprar[Insumo],_xlfn.AGGREGATE(15,6,(Insumos_a_comprar[Planilla]=K$1)/(Insumos_a_comprar[Planilla]=K$1)*ROW(Insumos_a_comprar[Planilla])-ROW(Insumos_a_comprar[[#Headers],[Planilla]]),ROWS('Insumos a comprar'!$B$5:I68))),"")</f>
        <v/>
      </c>
      <c r="L66" s="29" t="str">
        <f>IF(ROWS('Insumos a comprar'!$B$5:I68)&lt;=COUNTIF(Insumos_a_comprar[Planilla],L$1),INDEX(Insumos_a_comprar[Insumo],_xlfn.AGGREGATE(15,6,(Insumos_a_comprar[Planilla]=L$1)/(Insumos_a_comprar[Planilla]=L$1)*ROW(Insumos_a_comprar[Planilla])-ROW(Insumos_a_comprar[[#Headers],[Planilla]]),ROWS('Insumos a comprar'!$B$5:I68))),"")</f>
        <v/>
      </c>
      <c r="M66" s="29"/>
      <c r="N66" s="29"/>
      <c r="O66" s="29"/>
      <c r="P66" s="29"/>
      <c r="Q66" s="29"/>
    </row>
    <row r="67" spans="1:17" ht="63" x14ac:dyDescent="0.25">
      <c r="A67" s="29" t="str">
        <f>IF(ROWS('Insumos a comprar'!$B$5:B69)&lt;=COUNTIF(Insumos_a_comprar[Planilla],A$1),INDEX(Insumos_a_comprar[Insumo],_xlfn.AGGREGATE(15,6,(Insumos_a_comprar[Planilla]=A$1)/(Insumos_a_comprar[Planilla]=A$1)*ROW(Insumos_a_comprar[Planilla])-ROW(Insumos_a_comprar[[#Headers],[Planilla]]),ROWS('Insumos a comprar'!$B$5:B69))),"")</f>
        <v/>
      </c>
      <c r="B67" s="29" t="str">
        <f>IF(ROWS('Insumos a comprar'!$B$5:B69)&lt;=COUNTIF(Insumos_a_comprar[Planilla],B$1),INDEX(Insumos_a_comprar[Insumo],_xlfn.AGGREGATE(15,6,(Insumos_a_comprar[Planilla]=B$1)/(Insumos_a_comprar[Planilla]=B$1)*ROW(Insumos_a_comprar[Planilla])-ROW(Insumos_a_comprar[[#Headers],[Planilla]]),ROWS('Insumos a comprar'!$B$5:B69))),"")</f>
        <v/>
      </c>
      <c r="C67" s="29" t="str">
        <f>IF(ROWS('Insumos a comprar'!$B$5:E69)&lt;=COUNTIF(Insumos_a_comprar[Planilla],C$1),INDEX(Insumos_a_comprar[Insumo],_xlfn.AGGREGATE(15,6,(Insumos_a_comprar[Planilla]=C$1)/(Insumos_a_comprar[Planilla]=C$1)*ROW(Insumos_a_comprar[Planilla])-ROW(Insumos_a_comprar[[#Headers],[Planilla]]),ROWS('Insumos a comprar'!$B$5:E69))),"")</f>
        <v/>
      </c>
      <c r="D67" s="29" t="str">
        <f>IF(ROWS('Insumos a comprar'!$B$5:F69)&lt;=COUNTIF(Insumos_a_comprar[Planilla],D$1),INDEX(Insumos_a_comprar[Insumo],_xlfn.AGGREGATE(15,6,(Insumos_a_comprar[Planilla]=D$1)/(Insumos_a_comprar[Planilla]=D$1)*ROW(Insumos_a_comprar[Planilla])-ROW(Insumos_a_comprar[[#Headers],[Planilla]]),ROWS('Insumos a comprar'!$B$5:F69))),"")</f>
        <v/>
      </c>
      <c r="E67" s="29" t="str">
        <f>IF(ROWS('Insumos a comprar'!$B$5:G69)&lt;=COUNTIF(Insumos_a_comprar[Planilla],E$1),INDEX(Insumos_a_comprar[Insumo],_xlfn.AGGREGATE(15,6,(Insumos_a_comprar[Planilla]=E$1)/(Insumos_a_comprar[Planilla]=E$1)*ROW(Insumos_a_comprar[Planilla])-ROW(Insumos_a_comprar[[#Headers],[Planilla]]),ROWS('Insumos a comprar'!$B$5:G69))),"")</f>
        <v/>
      </c>
      <c r="F67" s="29" t="str">
        <f>IF(ROWS('Insumos a comprar'!$B$5:H69)&lt;=COUNTIF(Insumos_a_comprar[Planilla],F$1),INDEX(Insumos_a_comprar[Insumo],_xlfn.AGGREGATE(15,6,(Insumos_a_comprar[Planilla]=F$1)/(Insumos_a_comprar[Planilla]=F$1)*ROW(Insumos_a_comprar[Planilla])-ROW(Insumos_a_comprar[[#Headers],[Planilla]]),ROWS('Insumos a comprar'!$B$5:H69))),"")</f>
        <v/>
      </c>
      <c r="G67" s="29" t="str">
        <f>IF(ROWS('Insumos a comprar'!$B$5:I69)&lt;=COUNTIF(Insumos_a_comprar[Planilla],G$1),INDEX(Insumos_a_comprar[Insumo],_xlfn.AGGREGATE(15,6,(Insumos_a_comprar[Planilla]=G$1)/(Insumos_a_comprar[Planilla]=G$1)*ROW(Insumos_a_comprar[Planilla])-ROW(Insumos_a_comprar[[#Headers],[Planilla]]),ROWS('Insumos a comprar'!$B$5:I69))),"")</f>
        <v/>
      </c>
      <c r="H67" s="29" t="str">
        <f>IF(ROWS('Insumos a comprar'!$B$5:I69)&lt;=COUNTIF(Insumos_a_comprar[Planilla],H$1),INDEX(Insumos_a_comprar[Insumo],_xlfn.AGGREGATE(15,6,(Insumos_a_comprar[Planilla]=H$1)/(Insumos_a_comprar[Planilla]=H$1)*ROW(Insumos_a_comprar[Planilla])-ROW(Insumos_a_comprar[[#Headers],[Planilla]]),ROWS('Insumos a comprar'!$B$5:I69))),"")</f>
        <v>Matraces Aforados 2000 ml</v>
      </c>
      <c r="I67" s="29" t="str">
        <f>IF(ROWS('Insumos a comprar'!$B$5:I69)&lt;=COUNTIF(Insumos_a_comprar[Planilla],I$1),INDEX(Insumos_a_comprar[Insumo],_xlfn.AGGREGATE(15,6,(Insumos_a_comprar[Planilla]=I$1)/(Insumos_a_comprar[Planilla]=I$1)*ROW(Insumos_a_comprar[Planilla])-ROW(Insumos_a_comprar[[#Headers],[Planilla]]),ROWS('Insumos a comprar'!$B$5:I69))),"")</f>
        <v/>
      </c>
      <c r="J67" s="29" t="str">
        <f>IF(ROWS('Insumos a comprar'!$B$5:I69)&lt;=COUNTIF(Insumos_a_comprar[Planilla],J$1),INDEX(Insumos_a_comprar[Insumo],_xlfn.AGGREGATE(15,6,(Insumos_a_comprar[Planilla]=J$1)/(Insumos_a_comprar[Planilla]=J$1)*ROW(Insumos_a_comprar[Planilla])-ROW(Insumos_a_comprar[[#Headers],[Planilla]]),ROWS('Insumos a comprar'!$B$5:I69))),"")</f>
        <v>Viales Headspace nuevos</v>
      </c>
      <c r="K67" s="29" t="str">
        <f>IF(ROWS('Insumos a comprar'!$B$5:I69)&lt;=COUNTIF(Insumos_a_comprar[Planilla],K$1),INDEX(Insumos_a_comprar[Insumo],_xlfn.AGGREGATE(15,6,(Insumos_a_comprar[Planilla]=K$1)/(Insumos_a_comprar[Planilla]=K$1)*ROW(Insumos_a_comprar[Planilla])-ROW(Insumos_a_comprar[[#Headers],[Planilla]]),ROWS('Insumos a comprar'!$B$5:I69))),"")</f>
        <v/>
      </c>
      <c r="L67" s="29" t="str">
        <f>IF(ROWS('Insumos a comprar'!$B$5:I69)&lt;=COUNTIF(Insumos_a_comprar[Planilla],L$1),INDEX(Insumos_a_comprar[Insumo],_xlfn.AGGREGATE(15,6,(Insumos_a_comprar[Planilla]=L$1)/(Insumos_a_comprar[Planilla]=L$1)*ROW(Insumos_a_comprar[Planilla])-ROW(Insumos_a_comprar[[#Headers],[Planilla]]),ROWS('Insumos a comprar'!$B$5:I69))),"")</f>
        <v/>
      </c>
      <c r="M67" s="29"/>
      <c r="N67" s="29"/>
      <c r="O67" s="29"/>
      <c r="P67" s="29"/>
      <c r="Q67" s="29"/>
    </row>
    <row r="68" spans="1:17" ht="78.75" x14ac:dyDescent="0.25">
      <c r="A68" s="29" t="str">
        <f>IF(ROWS('Insumos a comprar'!$B$5:B70)&lt;=COUNTIF(Insumos_a_comprar[Planilla],A$1),INDEX(Insumos_a_comprar[Insumo],_xlfn.AGGREGATE(15,6,(Insumos_a_comprar[Planilla]=A$1)/(Insumos_a_comprar[Planilla]=A$1)*ROW(Insumos_a_comprar[Planilla])-ROW(Insumos_a_comprar[[#Headers],[Planilla]]),ROWS('Insumos a comprar'!$B$5:B70))),"")</f>
        <v/>
      </c>
      <c r="B68" s="29" t="str">
        <f>IF(ROWS('Insumos a comprar'!$B$5:B70)&lt;=COUNTIF(Insumos_a_comprar[Planilla],B$1),INDEX(Insumos_a_comprar[Insumo],_xlfn.AGGREGATE(15,6,(Insumos_a_comprar[Planilla]=B$1)/(Insumos_a_comprar[Planilla]=B$1)*ROW(Insumos_a_comprar[Planilla])-ROW(Insumos_a_comprar[[#Headers],[Planilla]]),ROWS('Insumos a comprar'!$B$5:B70))),"")</f>
        <v/>
      </c>
      <c r="C68" s="29" t="str">
        <f>IF(ROWS('Insumos a comprar'!$B$5:E70)&lt;=COUNTIF(Insumos_a_comprar[Planilla],C$1),INDEX(Insumos_a_comprar[Insumo],_xlfn.AGGREGATE(15,6,(Insumos_a_comprar[Planilla]=C$1)/(Insumos_a_comprar[Planilla]=C$1)*ROW(Insumos_a_comprar[Planilla])-ROW(Insumos_a_comprar[[#Headers],[Planilla]]),ROWS('Insumos a comprar'!$B$5:E70))),"")</f>
        <v/>
      </c>
      <c r="D68" s="29" t="str">
        <f>IF(ROWS('Insumos a comprar'!$B$5:F70)&lt;=COUNTIF(Insumos_a_comprar[Planilla],D$1),INDEX(Insumos_a_comprar[Insumo],_xlfn.AGGREGATE(15,6,(Insumos_a_comprar[Planilla]=D$1)/(Insumos_a_comprar[Planilla]=D$1)*ROW(Insumos_a_comprar[Planilla])-ROW(Insumos_a_comprar[[#Headers],[Planilla]]),ROWS('Insumos a comprar'!$B$5:F70))),"")</f>
        <v/>
      </c>
      <c r="E68" s="29" t="str">
        <f>IF(ROWS('Insumos a comprar'!$B$5:G70)&lt;=COUNTIF(Insumos_a_comprar[Planilla],E$1),INDEX(Insumos_a_comprar[Insumo],_xlfn.AGGREGATE(15,6,(Insumos_a_comprar[Planilla]=E$1)/(Insumos_a_comprar[Planilla]=E$1)*ROW(Insumos_a_comprar[Planilla])-ROW(Insumos_a_comprar[[#Headers],[Planilla]]),ROWS('Insumos a comprar'!$B$5:G70))),"")</f>
        <v/>
      </c>
      <c r="F68" s="29" t="str">
        <f>IF(ROWS('Insumos a comprar'!$B$5:H70)&lt;=COUNTIF(Insumos_a_comprar[Planilla],F$1),INDEX(Insumos_a_comprar[Insumo],_xlfn.AGGREGATE(15,6,(Insumos_a_comprar[Planilla]=F$1)/(Insumos_a_comprar[Planilla]=F$1)*ROW(Insumos_a_comprar[Planilla])-ROW(Insumos_a_comprar[[#Headers],[Planilla]]),ROWS('Insumos a comprar'!$B$5:H70))),"")</f>
        <v/>
      </c>
      <c r="G68" s="29" t="str">
        <f>IF(ROWS('Insumos a comprar'!$B$5:I70)&lt;=COUNTIF(Insumos_a_comprar[Planilla],G$1),INDEX(Insumos_a_comprar[Insumo],_xlfn.AGGREGATE(15,6,(Insumos_a_comprar[Planilla]=G$1)/(Insumos_a_comprar[Planilla]=G$1)*ROW(Insumos_a_comprar[Planilla])-ROW(Insumos_a_comprar[[#Headers],[Planilla]]),ROWS('Insumos a comprar'!$B$5:I70))),"")</f>
        <v/>
      </c>
      <c r="H68" s="29" t="str">
        <f>IF(ROWS('Insumos a comprar'!$B$5:I70)&lt;=COUNTIF(Insumos_a_comprar[Planilla],H$1),INDEX(Insumos_a_comprar[Insumo],_xlfn.AGGREGATE(15,6,(Insumos_a_comprar[Planilla]=H$1)/(Insumos_a_comprar[Planilla]=H$1)*ROW(Insumos_a_comprar[Planilla])-ROW(Insumos_a_comprar[[#Headers],[Planilla]]),ROWS('Insumos a comprar'!$B$5:I70))),"")</f>
        <v>Matraces Aforados 25 ml</v>
      </c>
      <c r="I68" s="29" t="str">
        <f>IF(ROWS('Insumos a comprar'!$B$5:I70)&lt;=COUNTIF(Insumos_a_comprar[Planilla],I$1),INDEX(Insumos_a_comprar[Insumo],_xlfn.AGGREGATE(15,6,(Insumos_a_comprar[Planilla]=I$1)/(Insumos_a_comprar[Planilla]=I$1)*ROW(Insumos_a_comprar[Planilla])-ROW(Insumos_a_comprar[[#Headers],[Planilla]]),ROWS('Insumos a comprar'!$B$5:I70))),"")</f>
        <v/>
      </c>
      <c r="J68" s="29" t="str">
        <f>IF(ROWS('Insumos a comprar'!$B$5:I70)&lt;=COUNTIF(Insumos_a_comprar[Planilla],J$1),INDEX(Insumos_a_comprar[Insumo],_xlfn.AGGREGATE(15,6,(Insumos_a_comprar[Planilla]=J$1)/(Insumos_a_comprar[Planilla]=J$1)*ROW(Insumos_a_comprar[Planilla])-ROW(Insumos_a_comprar[[#Headers],[Planilla]]),ROWS('Insumos a comprar'!$B$5:I70))),"")</f>
        <v>Viales Headspace recuperados</v>
      </c>
      <c r="K68" s="29" t="str">
        <f>IF(ROWS('Insumos a comprar'!$B$5:I70)&lt;=COUNTIF(Insumos_a_comprar[Planilla],K$1),INDEX(Insumos_a_comprar[Insumo],_xlfn.AGGREGATE(15,6,(Insumos_a_comprar[Planilla]=K$1)/(Insumos_a_comprar[Planilla]=K$1)*ROW(Insumos_a_comprar[Planilla])-ROW(Insumos_a_comprar[[#Headers],[Planilla]]),ROWS('Insumos a comprar'!$B$5:I70))),"")</f>
        <v/>
      </c>
      <c r="L68" s="29" t="str">
        <f>IF(ROWS('Insumos a comprar'!$B$5:I70)&lt;=COUNTIF(Insumos_a_comprar[Planilla],L$1),INDEX(Insumos_a_comprar[Insumo],_xlfn.AGGREGATE(15,6,(Insumos_a_comprar[Planilla]=L$1)/(Insumos_a_comprar[Planilla]=L$1)*ROW(Insumos_a_comprar[Planilla])-ROW(Insumos_a_comprar[[#Headers],[Planilla]]),ROWS('Insumos a comprar'!$B$5:I70))),"")</f>
        <v/>
      </c>
      <c r="M68" s="29"/>
      <c r="N68" s="29"/>
      <c r="O68" s="29"/>
      <c r="P68" s="29"/>
      <c r="Q68" s="29"/>
    </row>
    <row r="69" spans="1:17" ht="63" x14ac:dyDescent="0.25">
      <c r="A69" s="29" t="str">
        <f>IF(ROWS('Insumos a comprar'!$B$5:B71)&lt;=COUNTIF(Insumos_a_comprar[Planilla],A$1),INDEX(Insumos_a_comprar[Insumo],_xlfn.AGGREGATE(15,6,(Insumos_a_comprar[Planilla]=A$1)/(Insumos_a_comprar[Planilla]=A$1)*ROW(Insumos_a_comprar[Planilla])-ROW(Insumos_a_comprar[[#Headers],[Planilla]]),ROWS('Insumos a comprar'!$B$5:B71))),"")</f>
        <v/>
      </c>
      <c r="B69" s="29" t="str">
        <f>IF(ROWS('Insumos a comprar'!$B$5:B71)&lt;=COUNTIF(Insumos_a_comprar[Planilla],B$1),INDEX(Insumos_a_comprar[Insumo],_xlfn.AGGREGATE(15,6,(Insumos_a_comprar[Planilla]=B$1)/(Insumos_a_comprar[Planilla]=B$1)*ROW(Insumos_a_comprar[Planilla])-ROW(Insumos_a_comprar[[#Headers],[Planilla]]),ROWS('Insumos a comprar'!$B$5:B71))),"")</f>
        <v/>
      </c>
      <c r="C69" s="29" t="str">
        <f>IF(ROWS('Insumos a comprar'!$B$5:E71)&lt;=COUNTIF(Insumos_a_comprar[Planilla],C$1),INDEX(Insumos_a_comprar[Insumo],_xlfn.AGGREGATE(15,6,(Insumos_a_comprar[Planilla]=C$1)/(Insumos_a_comprar[Planilla]=C$1)*ROW(Insumos_a_comprar[Planilla])-ROW(Insumos_a_comprar[[#Headers],[Planilla]]),ROWS('Insumos a comprar'!$B$5:E71))),"")</f>
        <v/>
      </c>
      <c r="D69" s="29" t="str">
        <f>IF(ROWS('Insumos a comprar'!$B$5:F71)&lt;=COUNTIF(Insumos_a_comprar[Planilla],D$1),INDEX(Insumos_a_comprar[Insumo],_xlfn.AGGREGATE(15,6,(Insumos_a_comprar[Planilla]=D$1)/(Insumos_a_comprar[Planilla]=D$1)*ROW(Insumos_a_comprar[Planilla])-ROW(Insumos_a_comprar[[#Headers],[Planilla]]),ROWS('Insumos a comprar'!$B$5:F71))),"")</f>
        <v/>
      </c>
      <c r="E69" s="29" t="str">
        <f>IF(ROWS('Insumos a comprar'!$B$5:G71)&lt;=COUNTIF(Insumos_a_comprar[Planilla],E$1),INDEX(Insumos_a_comprar[Insumo],_xlfn.AGGREGATE(15,6,(Insumos_a_comprar[Planilla]=E$1)/(Insumos_a_comprar[Planilla]=E$1)*ROW(Insumos_a_comprar[Planilla])-ROW(Insumos_a_comprar[[#Headers],[Planilla]]),ROWS('Insumos a comprar'!$B$5:G71))),"")</f>
        <v/>
      </c>
      <c r="F69" s="29" t="str">
        <f>IF(ROWS('Insumos a comprar'!$B$5:H71)&lt;=COUNTIF(Insumos_a_comprar[Planilla],F$1),INDEX(Insumos_a_comprar[Insumo],_xlfn.AGGREGATE(15,6,(Insumos_a_comprar[Planilla]=F$1)/(Insumos_a_comprar[Planilla]=F$1)*ROW(Insumos_a_comprar[Planilla])-ROW(Insumos_a_comprar[[#Headers],[Planilla]]),ROWS('Insumos a comprar'!$B$5:H71))),"")</f>
        <v/>
      </c>
      <c r="G69" s="29" t="str">
        <f>IF(ROWS('Insumos a comprar'!$B$5:I71)&lt;=COUNTIF(Insumos_a_comprar[Planilla],G$1),INDEX(Insumos_a_comprar[Insumo],_xlfn.AGGREGATE(15,6,(Insumos_a_comprar[Planilla]=G$1)/(Insumos_a_comprar[Planilla]=G$1)*ROW(Insumos_a_comprar[Planilla])-ROW(Insumos_a_comprar[[#Headers],[Planilla]]),ROWS('Insumos a comprar'!$B$5:I71))),"")</f>
        <v/>
      </c>
      <c r="H69" s="29" t="str">
        <f>IF(ROWS('Insumos a comprar'!$B$5:I71)&lt;=COUNTIF(Insumos_a_comprar[Planilla],H$1),INDEX(Insumos_a_comprar[Insumo],_xlfn.AGGREGATE(15,6,(Insumos_a_comprar[Planilla]=H$1)/(Insumos_a_comprar[Planilla]=H$1)*ROW(Insumos_a_comprar[Planilla])-ROW(Insumos_a_comprar[[#Headers],[Planilla]]),ROWS('Insumos a comprar'!$B$5:I71))),"")</f>
        <v>Matraces Aforados 250 ml</v>
      </c>
      <c r="I69" s="29" t="str">
        <f>IF(ROWS('Insumos a comprar'!$B$5:I71)&lt;=COUNTIF(Insumos_a_comprar[Planilla],I$1),INDEX(Insumos_a_comprar[Insumo],_xlfn.AGGREGATE(15,6,(Insumos_a_comprar[Planilla]=I$1)/(Insumos_a_comprar[Planilla]=I$1)*ROW(Insumos_a_comprar[Planilla])-ROW(Insumos_a_comprar[[#Headers],[Planilla]]),ROWS('Insumos a comprar'!$B$5:I71))),"")</f>
        <v/>
      </c>
      <c r="J69" s="29" t="str">
        <f>IF(ROWS('Insumos a comprar'!$B$5:I71)&lt;=COUNTIF(Insumos_a_comprar[Planilla],J$1),INDEX(Insumos_a_comprar[Insumo],_xlfn.AGGREGATE(15,6,(Insumos_a_comprar[Planilla]=J$1)/(Insumos_a_comprar[Planilla]=J$1)*ROW(Insumos_a_comprar[Planilla])-ROW(Insumos_a_comprar[[#Headers],[Planilla]]),ROWS('Insumos a comprar'!$B$5:I71))),"")</f>
        <v>Viales Inserto (microvial)</v>
      </c>
      <c r="K69" s="29" t="str">
        <f>IF(ROWS('Insumos a comprar'!$B$5:I71)&lt;=COUNTIF(Insumos_a_comprar[Planilla],K$1),INDEX(Insumos_a_comprar[Insumo],_xlfn.AGGREGATE(15,6,(Insumos_a_comprar[Planilla]=K$1)/(Insumos_a_comprar[Planilla]=K$1)*ROW(Insumos_a_comprar[Planilla])-ROW(Insumos_a_comprar[[#Headers],[Planilla]]),ROWS('Insumos a comprar'!$B$5:I71))),"")</f>
        <v/>
      </c>
      <c r="L69" s="29" t="str">
        <f>IF(ROWS('Insumos a comprar'!$B$5:I71)&lt;=COUNTIF(Insumos_a_comprar[Planilla],L$1),INDEX(Insumos_a_comprar[Insumo],_xlfn.AGGREGATE(15,6,(Insumos_a_comprar[Planilla]=L$1)/(Insumos_a_comprar[Planilla]=L$1)*ROW(Insumos_a_comprar[Planilla])-ROW(Insumos_a_comprar[[#Headers],[Planilla]]),ROWS('Insumos a comprar'!$B$5:I71))),"")</f>
        <v/>
      </c>
      <c r="M69" s="29"/>
      <c r="N69" s="29"/>
      <c r="O69" s="29"/>
      <c r="P69" s="29"/>
      <c r="Q69" s="29"/>
    </row>
    <row r="70" spans="1:17" ht="63" x14ac:dyDescent="0.25">
      <c r="A70" s="29" t="str">
        <f>IF(ROWS('Insumos a comprar'!$B$5:B72)&lt;=COUNTIF(Insumos_a_comprar[Planilla],A$1),INDEX(Insumos_a_comprar[Insumo],_xlfn.AGGREGATE(15,6,(Insumos_a_comprar[Planilla]=A$1)/(Insumos_a_comprar[Planilla]=A$1)*ROW(Insumos_a_comprar[Planilla])-ROW(Insumos_a_comprar[[#Headers],[Planilla]]),ROWS('Insumos a comprar'!$B$5:B72))),"")</f>
        <v/>
      </c>
      <c r="B70" s="29" t="str">
        <f>IF(ROWS('Insumos a comprar'!$B$5:B72)&lt;=COUNTIF(Insumos_a_comprar[Planilla],B$1),INDEX(Insumos_a_comprar[Insumo],_xlfn.AGGREGATE(15,6,(Insumos_a_comprar[Planilla]=B$1)/(Insumos_a_comprar[Planilla]=B$1)*ROW(Insumos_a_comprar[Planilla])-ROW(Insumos_a_comprar[[#Headers],[Planilla]]),ROWS('Insumos a comprar'!$B$5:B72))),"")</f>
        <v/>
      </c>
      <c r="C70" s="29" t="str">
        <f>IF(ROWS('Insumos a comprar'!$B$5:E72)&lt;=COUNTIF(Insumos_a_comprar[Planilla],C$1),INDEX(Insumos_a_comprar[Insumo],_xlfn.AGGREGATE(15,6,(Insumos_a_comprar[Planilla]=C$1)/(Insumos_a_comprar[Planilla]=C$1)*ROW(Insumos_a_comprar[Planilla])-ROW(Insumos_a_comprar[[#Headers],[Planilla]]),ROWS('Insumos a comprar'!$B$5:E72))),"")</f>
        <v/>
      </c>
      <c r="D70" s="29" t="str">
        <f>IF(ROWS('Insumos a comprar'!$B$5:F72)&lt;=COUNTIF(Insumos_a_comprar[Planilla],D$1),INDEX(Insumos_a_comprar[Insumo],_xlfn.AGGREGATE(15,6,(Insumos_a_comprar[Planilla]=D$1)/(Insumos_a_comprar[Planilla]=D$1)*ROW(Insumos_a_comprar[Planilla])-ROW(Insumos_a_comprar[[#Headers],[Planilla]]),ROWS('Insumos a comprar'!$B$5:F72))),"")</f>
        <v/>
      </c>
      <c r="E70" s="29" t="str">
        <f>IF(ROWS('Insumos a comprar'!$B$5:G72)&lt;=COUNTIF(Insumos_a_comprar[Planilla],E$1),INDEX(Insumos_a_comprar[Insumo],_xlfn.AGGREGATE(15,6,(Insumos_a_comprar[Planilla]=E$1)/(Insumos_a_comprar[Planilla]=E$1)*ROW(Insumos_a_comprar[Planilla])-ROW(Insumos_a_comprar[[#Headers],[Planilla]]),ROWS('Insumos a comprar'!$B$5:G72))),"")</f>
        <v/>
      </c>
      <c r="F70" s="29" t="str">
        <f>IF(ROWS('Insumos a comprar'!$B$5:H72)&lt;=COUNTIF(Insumos_a_comprar[Planilla],F$1),INDEX(Insumos_a_comprar[Insumo],_xlfn.AGGREGATE(15,6,(Insumos_a_comprar[Planilla]=F$1)/(Insumos_a_comprar[Planilla]=F$1)*ROW(Insumos_a_comprar[Planilla])-ROW(Insumos_a_comprar[[#Headers],[Planilla]]),ROWS('Insumos a comprar'!$B$5:H72))),"")</f>
        <v/>
      </c>
      <c r="G70" s="29" t="str">
        <f>IF(ROWS('Insumos a comprar'!$B$5:I72)&lt;=COUNTIF(Insumos_a_comprar[Planilla],G$1),INDEX(Insumos_a_comprar[Insumo],_xlfn.AGGREGATE(15,6,(Insumos_a_comprar[Planilla]=G$1)/(Insumos_a_comprar[Planilla]=G$1)*ROW(Insumos_a_comprar[Planilla])-ROW(Insumos_a_comprar[[#Headers],[Planilla]]),ROWS('Insumos a comprar'!$B$5:I72))),"")</f>
        <v/>
      </c>
      <c r="H70" s="29" t="str">
        <f>IF(ROWS('Insumos a comprar'!$B$5:I72)&lt;=COUNTIF(Insumos_a_comprar[Planilla],H$1),INDEX(Insumos_a_comprar[Insumo],_xlfn.AGGREGATE(15,6,(Insumos_a_comprar[Planilla]=H$1)/(Insumos_a_comprar[Planilla]=H$1)*ROW(Insumos_a_comprar[Planilla])-ROW(Insumos_a_comprar[[#Headers],[Planilla]]),ROWS('Insumos a comprar'!$B$5:I72))),"")</f>
        <v>Matraces Aforados 50 ml</v>
      </c>
      <c r="I70" s="29" t="str">
        <f>IF(ROWS('Insumos a comprar'!$B$5:I72)&lt;=COUNTIF(Insumos_a_comprar[Planilla],I$1),INDEX(Insumos_a_comprar[Insumo],_xlfn.AGGREGATE(15,6,(Insumos_a_comprar[Planilla]=I$1)/(Insumos_a_comprar[Planilla]=I$1)*ROW(Insumos_a_comprar[Planilla])-ROW(Insumos_a_comprar[[#Headers],[Planilla]]),ROWS('Insumos a comprar'!$B$5:I72))),"")</f>
        <v/>
      </c>
      <c r="J70" s="29" t="str">
        <f>IF(ROWS('Insumos a comprar'!$B$5:I72)&lt;=COUNTIF(Insumos_a_comprar[Planilla],J$1),INDEX(Insumos_a_comprar[Insumo],_xlfn.AGGREGATE(15,6,(Insumos_a_comprar[Planilla]=J$1)/(Insumos_a_comprar[Planilla]=J$1)*ROW(Insumos_a_comprar[Planilla])-ROW(Insumos_a_comprar[[#Headers],[Planilla]]),ROWS('Insumos a comprar'!$B$5:I72))),"")</f>
        <v>Viales Tapas 1,5 boca chica</v>
      </c>
      <c r="K70" s="29" t="str">
        <f>IF(ROWS('Insumos a comprar'!$B$5:I72)&lt;=COUNTIF(Insumos_a_comprar[Planilla],K$1),INDEX(Insumos_a_comprar[Insumo],_xlfn.AGGREGATE(15,6,(Insumos_a_comprar[Planilla]=K$1)/(Insumos_a_comprar[Planilla]=K$1)*ROW(Insumos_a_comprar[Planilla])-ROW(Insumos_a_comprar[[#Headers],[Planilla]]),ROWS('Insumos a comprar'!$B$5:I72))),"")</f>
        <v/>
      </c>
      <c r="L70" s="29" t="str">
        <f>IF(ROWS('Insumos a comprar'!$B$5:I72)&lt;=COUNTIF(Insumos_a_comprar[Planilla],L$1),INDEX(Insumos_a_comprar[Insumo],_xlfn.AGGREGATE(15,6,(Insumos_a_comprar[Planilla]=L$1)/(Insumos_a_comprar[Planilla]=L$1)*ROW(Insumos_a_comprar[Planilla])-ROW(Insumos_a_comprar[[#Headers],[Planilla]]),ROWS('Insumos a comprar'!$B$5:I72))),"")</f>
        <v/>
      </c>
      <c r="M70" s="29"/>
      <c r="N70" s="29"/>
      <c r="O70" s="29"/>
      <c r="P70" s="29"/>
      <c r="Q70" s="29"/>
    </row>
    <row r="71" spans="1:17" ht="63" x14ac:dyDescent="0.25">
      <c r="A71" s="29" t="str">
        <f>IF(ROWS('Insumos a comprar'!$B$5:B73)&lt;=COUNTIF(Insumos_a_comprar[Planilla],A$1),INDEX(Insumos_a_comprar[Insumo],_xlfn.AGGREGATE(15,6,(Insumos_a_comprar[Planilla]=A$1)/(Insumos_a_comprar[Planilla]=A$1)*ROW(Insumos_a_comprar[Planilla])-ROW(Insumos_a_comprar[[#Headers],[Planilla]]),ROWS('Insumos a comprar'!$B$5:B73))),"")</f>
        <v/>
      </c>
      <c r="B71" s="29" t="str">
        <f>IF(ROWS('Insumos a comprar'!$B$5:B73)&lt;=COUNTIF(Insumos_a_comprar[Planilla],B$1),INDEX(Insumos_a_comprar[Insumo],_xlfn.AGGREGATE(15,6,(Insumos_a_comprar[Planilla]=B$1)/(Insumos_a_comprar[Planilla]=B$1)*ROW(Insumos_a_comprar[Planilla])-ROW(Insumos_a_comprar[[#Headers],[Planilla]]),ROWS('Insumos a comprar'!$B$5:B73))),"")</f>
        <v/>
      </c>
      <c r="C71" s="29" t="str">
        <f>IF(ROWS('Insumos a comprar'!$B$5:E73)&lt;=COUNTIF(Insumos_a_comprar[Planilla],C$1),INDEX(Insumos_a_comprar[Insumo],_xlfn.AGGREGATE(15,6,(Insumos_a_comprar[Planilla]=C$1)/(Insumos_a_comprar[Planilla]=C$1)*ROW(Insumos_a_comprar[Planilla])-ROW(Insumos_a_comprar[[#Headers],[Planilla]]),ROWS('Insumos a comprar'!$B$5:E73))),"")</f>
        <v/>
      </c>
      <c r="D71" s="29" t="str">
        <f>IF(ROWS('Insumos a comprar'!$B$5:F73)&lt;=COUNTIF(Insumos_a_comprar[Planilla],D$1),INDEX(Insumos_a_comprar[Insumo],_xlfn.AGGREGATE(15,6,(Insumos_a_comprar[Planilla]=D$1)/(Insumos_a_comprar[Planilla]=D$1)*ROW(Insumos_a_comprar[Planilla])-ROW(Insumos_a_comprar[[#Headers],[Planilla]]),ROWS('Insumos a comprar'!$B$5:F73))),"")</f>
        <v/>
      </c>
      <c r="E71" s="29" t="str">
        <f>IF(ROWS('Insumos a comprar'!$B$5:G73)&lt;=COUNTIF(Insumos_a_comprar[Planilla],E$1),INDEX(Insumos_a_comprar[Insumo],_xlfn.AGGREGATE(15,6,(Insumos_a_comprar[Planilla]=E$1)/(Insumos_a_comprar[Planilla]=E$1)*ROW(Insumos_a_comprar[Planilla])-ROW(Insumos_a_comprar[[#Headers],[Planilla]]),ROWS('Insumos a comprar'!$B$5:G73))),"")</f>
        <v/>
      </c>
      <c r="F71" s="29" t="str">
        <f>IF(ROWS('Insumos a comprar'!$B$5:H73)&lt;=COUNTIF(Insumos_a_comprar[Planilla],F$1),INDEX(Insumos_a_comprar[Insumo],_xlfn.AGGREGATE(15,6,(Insumos_a_comprar[Planilla]=F$1)/(Insumos_a_comprar[Planilla]=F$1)*ROW(Insumos_a_comprar[Planilla])-ROW(Insumos_a_comprar[[#Headers],[Planilla]]),ROWS('Insumos a comprar'!$B$5:H73))),"")</f>
        <v/>
      </c>
      <c r="G71" s="29" t="str">
        <f>IF(ROWS('Insumos a comprar'!$B$5:I73)&lt;=COUNTIF(Insumos_a_comprar[Planilla],G$1),INDEX(Insumos_a_comprar[Insumo],_xlfn.AGGREGATE(15,6,(Insumos_a_comprar[Planilla]=G$1)/(Insumos_a_comprar[Planilla]=G$1)*ROW(Insumos_a_comprar[Planilla])-ROW(Insumos_a_comprar[[#Headers],[Planilla]]),ROWS('Insumos a comprar'!$B$5:I73))),"")</f>
        <v/>
      </c>
      <c r="H71" s="29" t="str">
        <f>IF(ROWS('Insumos a comprar'!$B$5:I73)&lt;=COUNTIF(Insumos_a_comprar[Planilla],H$1),INDEX(Insumos_a_comprar[Insumo],_xlfn.AGGREGATE(15,6,(Insumos_a_comprar[Planilla]=H$1)/(Insumos_a_comprar[Planilla]=H$1)*ROW(Insumos_a_comprar[Planilla])-ROW(Insumos_a_comprar[[#Headers],[Planilla]]),ROWS('Insumos a comprar'!$B$5:I73))),"")</f>
        <v>Matraces Aforados 500 ml</v>
      </c>
      <c r="I71" s="29" t="str">
        <f>IF(ROWS('Insumos a comprar'!$B$5:I73)&lt;=COUNTIF(Insumos_a_comprar[Planilla],I$1),INDEX(Insumos_a_comprar[Insumo],_xlfn.AGGREGATE(15,6,(Insumos_a_comprar[Planilla]=I$1)/(Insumos_a_comprar[Planilla]=I$1)*ROW(Insumos_a_comprar[Planilla])-ROW(Insumos_a_comprar[[#Headers],[Planilla]]),ROWS('Insumos a comprar'!$B$5:I73))),"")</f>
        <v/>
      </c>
      <c r="J71" s="29" t="str">
        <f>IF(ROWS('Insumos a comprar'!$B$5:I73)&lt;=COUNTIF(Insumos_a_comprar[Planilla],J$1),INDEX(Insumos_a_comprar[Insumo],_xlfn.AGGREGATE(15,6,(Insumos_a_comprar[Planilla]=J$1)/(Insumos_a_comprar[Planilla]=J$1)*ROW(Insumos_a_comprar[Planilla])-ROW(Insumos_a_comprar[[#Headers],[Planilla]]),ROWS('Insumos a comprar'!$B$5:I73))),"")</f>
        <v>Viales Tapas 1,5 boca grande</v>
      </c>
      <c r="K71" s="29" t="str">
        <f>IF(ROWS('Insumos a comprar'!$B$5:I73)&lt;=COUNTIF(Insumos_a_comprar[Planilla],K$1),INDEX(Insumos_a_comprar[Insumo],_xlfn.AGGREGATE(15,6,(Insumos_a_comprar[Planilla]=K$1)/(Insumos_a_comprar[Planilla]=K$1)*ROW(Insumos_a_comprar[Planilla])-ROW(Insumos_a_comprar[[#Headers],[Planilla]]),ROWS('Insumos a comprar'!$B$5:I73))),"")</f>
        <v/>
      </c>
      <c r="L71" s="29" t="str">
        <f>IF(ROWS('Insumos a comprar'!$B$5:I73)&lt;=COUNTIF(Insumos_a_comprar[Planilla],L$1),INDEX(Insumos_a_comprar[Insumo],_xlfn.AGGREGATE(15,6,(Insumos_a_comprar[Planilla]=L$1)/(Insumos_a_comprar[Planilla]=L$1)*ROW(Insumos_a_comprar[Planilla])-ROW(Insumos_a_comprar[[#Headers],[Planilla]]),ROWS('Insumos a comprar'!$B$5:I73))),"")</f>
        <v/>
      </c>
      <c r="M71" s="29"/>
      <c r="N71" s="29"/>
      <c r="O71" s="29"/>
      <c r="P71" s="29"/>
      <c r="Q71" s="29"/>
    </row>
    <row r="72" spans="1:17" ht="63" x14ac:dyDescent="0.25">
      <c r="A72" s="29" t="str">
        <f>IF(ROWS('Insumos a comprar'!$B$5:B74)&lt;=COUNTIF(Insumos_a_comprar[Planilla],A$1),INDEX(Insumos_a_comprar[Insumo],_xlfn.AGGREGATE(15,6,(Insumos_a_comprar[Planilla]=A$1)/(Insumos_a_comprar[Planilla]=A$1)*ROW(Insumos_a_comprar[Planilla])-ROW(Insumos_a_comprar[[#Headers],[Planilla]]),ROWS('Insumos a comprar'!$B$5:B74))),"")</f>
        <v/>
      </c>
      <c r="B72" s="29" t="str">
        <f>IF(ROWS('Insumos a comprar'!$B$5:B74)&lt;=COUNTIF(Insumos_a_comprar[Planilla],B$1),INDEX(Insumos_a_comprar[Insumo],_xlfn.AGGREGATE(15,6,(Insumos_a_comprar[Planilla]=B$1)/(Insumos_a_comprar[Planilla]=B$1)*ROW(Insumos_a_comprar[Planilla])-ROW(Insumos_a_comprar[[#Headers],[Planilla]]),ROWS('Insumos a comprar'!$B$5:B74))),"")</f>
        <v/>
      </c>
      <c r="C72" s="29" t="str">
        <f>IF(ROWS('Insumos a comprar'!$B$5:E74)&lt;=COUNTIF(Insumos_a_comprar[Planilla],C$1),INDEX(Insumos_a_comprar[Insumo],_xlfn.AGGREGATE(15,6,(Insumos_a_comprar[Planilla]=C$1)/(Insumos_a_comprar[Planilla]=C$1)*ROW(Insumos_a_comprar[Planilla])-ROW(Insumos_a_comprar[[#Headers],[Planilla]]),ROWS('Insumos a comprar'!$B$5:E74))),"")</f>
        <v/>
      </c>
      <c r="D72" s="29" t="str">
        <f>IF(ROWS('Insumos a comprar'!$B$5:F74)&lt;=COUNTIF(Insumos_a_comprar[Planilla],D$1),INDEX(Insumos_a_comprar[Insumo],_xlfn.AGGREGATE(15,6,(Insumos_a_comprar[Planilla]=D$1)/(Insumos_a_comprar[Planilla]=D$1)*ROW(Insumos_a_comprar[Planilla])-ROW(Insumos_a_comprar[[#Headers],[Planilla]]),ROWS('Insumos a comprar'!$B$5:F74))),"")</f>
        <v/>
      </c>
      <c r="E72" s="29" t="str">
        <f>IF(ROWS('Insumos a comprar'!$B$5:G74)&lt;=COUNTIF(Insumos_a_comprar[Planilla],E$1),INDEX(Insumos_a_comprar[Insumo],_xlfn.AGGREGATE(15,6,(Insumos_a_comprar[Planilla]=E$1)/(Insumos_a_comprar[Planilla]=E$1)*ROW(Insumos_a_comprar[Planilla])-ROW(Insumos_a_comprar[[#Headers],[Planilla]]),ROWS('Insumos a comprar'!$B$5:G74))),"")</f>
        <v/>
      </c>
      <c r="F72" s="29" t="str">
        <f>IF(ROWS('Insumos a comprar'!$B$5:H74)&lt;=COUNTIF(Insumos_a_comprar[Planilla],F$1),INDEX(Insumos_a_comprar[Insumo],_xlfn.AGGREGATE(15,6,(Insumos_a_comprar[Planilla]=F$1)/(Insumos_a_comprar[Planilla]=F$1)*ROW(Insumos_a_comprar[Planilla])-ROW(Insumos_a_comprar[[#Headers],[Planilla]]),ROWS('Insumos a comprar'!$B$5:H74))),"")</f>
        <v/>
      </c>
      <c r="G72" s="29" t="str">
        <f>IF(ROWS('Insumos a comprar'!$B$5:I74)&lt;=COUNTIF(Insumos_a_comprar[Planilla],G$1),INDEX(Insumos_a_comprar[Insumo],_xlfn.AGGREGATE(15,6,(Insumos_a_comprar[Planilla]=G$1)/(Insumos_a_comprar[Planilla]=G$1)*ROW(Insumos_a_comprar[Planilla])-ROW(Insumos_a_comprar[[#Headers],[Planilla]]),ROWS('Insumos a comprar'!$B$5:I74))),"")</f>
        <v/>
      </c>
      <c r="H72" s="29" t="str">
        <f>IF(ROWS('Insumos a comprar'!$B$5:I74)&lt;=COUNTIF(Insumos_a_comprar[Planilla],H$1),INDEX(Insumos_a_comprar[Insumo],_xlfn.AGGREGATE(15,6,(Insumos_a_comprar[Planilla]=H$1)/(Insumos_a_comprar[Planilla]=H$1)*ROW(Insumos_a_comprar[Planilla])-ROW(Insumos_a_comprar[[#Headers],[Planilla]]),ROWS('Insumos a comprar'!$B$5:I74))),"")</f>
        <v xml:space="preserve">Peritas chicas </v>
      </c>
      <c r="I72" s="29" t="str">
        <f>IF(ROWS('Insumos a comprar'!$B$5:I74)&lt;=COUNTIF(Insumos_a_comprar[Planilla],I$1),INDEX(Insumos_a_comprar[Insumo],_xlfn.AGGREGATE(15,6,(Insumos_a_comprar[Planilla]=I$1)/(Insumos_a_comprar[Planilla]=I$1)*ROW(Insumos_a_comprar[Planilla])-ROW(Insumos_a_comprar[[#Headers],[Planilla]]),ROWS('Insumos a comprar'!$B$5:I74))),"")</f>
        <v/>
      </c>
      <c r="J72" s="29" t="str">
        <f>IF(ROWS('Insumos a comprar'!$B$5:I74)&lt;=COUNTIF(Insumos_a_comprar[Planilla],J$1),INDEX(Insumos_a_comprar[Insumo],_xlfn.AGGREGATE(15,6,(Insumos_a_comprar[Planilla]=J$1)/(Insumos_a_comprar[Planilla]=J$1)*ROW(Insumos_a_comprar[Planilla])-ROW(Insumos_a_comprar[[#Headers],[Planilla]]),ROWS('Insumos a comprar'!$B$5:I74))),"")</f>
        <v>Viales Tapas Head space</v>
      </c>
      <c r="K72" s="29" t="str">
        <f>IF(ROWS('Insumos a comprar'!$B$5:I74)&lt;=COUNTIF(Insumos_a_comprar[Planilla],K$1),INDEX(Insumos_a_comprar[Insumo],_xlfn.AGGREGATE(15,6,(Insumos_a_comprar[Planilla]=K$1)/(Insumos_a_comprar[Planilla]=K$1)*ROW(Insumos_a_comprar[Planilla])-ROW(Insumos_a_comprar[[#Headers],[Planilla]]),ROWS('Insumos a comprar'!$B$5:I74))),"")</f>
        <v/>
      </c>
      <c r="L72" s="29" t="str">
        <f>IF(ROWS('Insumos a comprar'!$B$5:I74)&lt;=COUNTIF(Insumos_a_comprar[Planilla],L$1),INDEX(Insumos_a_comprar[Insumo],_xlfn.AGGREGATE(15,6,(Insumos_a_comprar[Planilla]=L$1)/(Insumos_a_comprar[Planilla]=L$1)*ROW(Insumos_a_comprar[Planilla])-ROW(Insumos_a_comprar[[#Headers],[Planilla]]),ROWS('Insumos a comprar'!$B$5:I74))),"")</f>
        <v/>
      </c>
      <c r="M72" s="29"/>
      <c r="N72" s="29"/>
      <c r="O72" s="29"/>
      <c r="P72" s="29"/>
      <c r="Q72" s="29"/>
    </row>
    <row r="73" spans="1:17" ht="31.5" x14ac:dyDescent="0.25">
      <c r="A73" s="29" t="str">
        <f>IF(ROWS('Insumos a comprar'!$B$5:B75)&lt;=COUNTIF(Insumos_a_comprar[Planilla],A$1),INDEX(Insumos_a_comprar[Insumo],_xlfn.AGGREGATE(15,6,(Insumos_a_comprar[Planilla]=A$1)/(Insumos_a_comprar[Planilla]=A$1)*ROW(Insumos_a_comprar[Planilla])-ROW(Insumos_a_comprar[[#Headers],[Planilla]]),ROWS('Insumos a comprar'!$B$5:B75))),"")</f>
        <v/>
      </c>
      <c r="B73" s="29" t="str">
        <f>IF(ROWS('Insumos a comprar'!$B$5:B75)&lt;=COUNTIF(Insumos_a_comprar[Planilla],B$1),INDEX(Insumos_a_comprar[Insumo],_xlfn.AGGREGATE(15,6,(Insumos_a_comprar[Planilla]=B$1)/(Insumos_a_comprar[Planilla]=B$1)*ROW(Insumos_a_comprar[Planilla])-ROW(Insumos_a_comprar[[#Headers],[Planilla]]),ROWS('Insumos a comprar'!$B$5:B75))),"")</f>
        <v/>
      </c>
      <c r="C73" s="29" t="str">
        <f>IF(ROWS('Insumos a comprar'!$B$5:E75)&lt;=COUNTIF(Insumos_a_comprar[Planilla],C$1),INDEX(Insumos_a_comprar[Insumo],_xlfn.AGGREGATE(15,6,(Insumos_a_comprar[Planilla]=C$1)/(Insumos_a_comprar[Planilla]=C$1)*ROW(Insumos_a_comprar[Planilla])-ROW(Insumos_a_comprar[[#Headers],[Planilla]]),ROWS('Insumos a comprar'!$B$5:E75))),"")</f>
        <v/>
      </c>
      <c r="D73" s="29" t="str">
        <f>IF(ROWS('Insumos a comprar'!$B$5:F75)&lt;=COUNTIF(Insumos_a_comprar[Planilla],D$1),INDEX(Insumos_a_comprar[Insumo],_xlfn.AGGREGATE(15,6,(Insumos_a_comprar[Planilla]=D$1)/(Insumos_a_comprar[Planilla]=D$1)*ROW(Insumos_a_comprar[Planilla])-ROW(Insumos_a_comprar[[#Headers],[Planilla]]),ROWS('Insumos a comprar'!$B$5:F75))),"")</f>
        <v/>
      </c>
      <c r="E73" s="29" t="str">
        <f>IF(ROWS('Insumos a comprar'!$B$5:G75)&lt;=COUNTIF(Insumos_a_comprar[Planilla],E$1),INDEX(Insumos_a_comprar[Insumo],_xlfn.AGGREGATE(15,6,(Insumos_a_comprar[Planilla]=E$1)/(Insumos_a_comprar[Planilla]=E$1)*ROW(Insumos_a_comprar[Planilla])-ROW(Insumos_a_comprar[[#Headers],[Planilla]]),ROWS('Insumos a comprar'!$B$5:G75))),"")</f>
        <v/>
      </c>
      <c r="F73" s="29" t="str">
        <f>IF(ROWS('Insumos a comprar'!$B$5:H75)&lt;=COUNTIF(Insumos_a_comprar[Planilla],F$1),INDEX(Insumos_a_comprar[Insumo],_xlfn.AGGREGATE(15,6,(Insumos_a_comprar[Planilla]=F$1)/(Insumos_a_comprar[Planilla]=F$1)*ROW(Insumos_a_comprar[Planilla])-ROW(Insumos_a_comprar[[#Headers],[Planilla]]),ROWS('Insumos a comprar'!$B$5:H75))),"")</f>
        <v/>
      </c>
      <c r="G73" s="29" t="str">
        <f>IF(ROWS('Insumos a comprar'!$B$5:I75)&lt;=COUNTIF(Insumos_a_comprar[Planilla],G$1),INDEX(Insumos_a_comprar[Insumo],_xlfn.AGGREGATE(15,6,(Insumos_a_comprar[Planilla]=G$1)/(Insumos_a_comprar[Planilla]=G$1)*ROW(Insumos_a_comprar[Planilla])-ROW(Insumos_a_comprar[[#Headers],[Planilla]]),ROWS('Insumos a comprar'!$B$5:I75))),"")</f>
        <v/>
      </c>
      <c r="H73" s="29" t="str">
        <f>IF(ROWS('Insumos a comprar'!$B$5:I75)&lt;=COUNTIF(Insumos_a_comprar[Planilla],H$1),INDEX(Insumos_a_comprar[Insumo],_xlfn.AGGREGATE(15,6,(Insumos_a_comprar[Planilla]=H$1)/(Insumos_a_comprar[Planilla]=H$1)*ROW(Insumos_a_comprar[Planilla])-ROW(Insumos_a_comprar[[#Headers],[Planilla]]),ROWS('Insumos a comprar'!$B$5:I75))),"")</f>
        <v xml:space="preserve">Peritas grandes  </v>
      </c>
      <c r="I73" s="29" t="str">
        <f>IF(ROWS('Insumos a comprar'!$B$5:I75)&lt;=COUNTIF(Insumos_a_comprar[Planilla],I$1),INDEX(Insumos_a_comprar[Insumo],_xlfn.AGGREGATE(15,6,(Insumos_a_comprar[Planilla]=I$1)/(Insumos_a_comprar[Planilla]=I$1)*ROW(Insumos_a_comprar[Planilla])-ROW(Insumos_a_comprar[[#Headers],[Planilla]]),ROWS('Insumos a comprar'!$B$5:I75))),"")</f>
        <v/>
      </c>
      <c r="J73" s="29" t="str">
        <f>IF(ROWS('Insumos a comprar'!$B$5:I75)&lt;=COUNTIF(Insumos_a_comprar[Planilla],J$1),INDEX(Insumos_a_comprar[Insumo],_xlfn.AGGREGATE(15,6,(Insumos_a_comprar[Planilla]=J$1)/(Insumos_a_comprar[Planilla]=J$1)*ROW(Insumos_a_comprar[Planilla])-ROW(Insumos_a_comprar[[#Headers],[Planilla]]),ROWS('Insumos a comprar'!$B$5:I75))),"")</f>
        <v>Washers 375 OD</v>
      </c>
      <c r="K73" s="29" t="str">
        <f>IF(ROWS('Insumos a comprar'!$B$5:I75)&lt;=COUNTIF(Insumos_a_comprar[Planilla],K$1),INDEX(Insumos_a_comprar[Insumo],_xlfn.AGGREGATE(15,6,(Insumos_a_comprar[Planilla]=K$1)/(Insumos_a_comprar[Planilla]=K$1)*ROW(Insumos_a_comprar[Planilla])-ROW(Insumos_a_comprar[[#Headers],[Planilla]]),ROWS('Insumos a comprar'!$B$5:I75))),"")</f>
        <v/>
      </c>
      <c r="L73" s="29" t="str">
        <f>IF(ROWS('Insumos a comprar'!$B$5:I75)&lt;=COUNTIF(Insumos_a_comprar[Planilla],L$1),INDEX(Insumos_a_comprar[Insumo],_xlfn.AGGREGATE(15,6,(Insumos_a_comprar[Planilla]=L$1)/(Insumos_a_comprar[Planilla]=L$1)*ROW(Insumos_a_comprar[Planilla])-ROW(Insumos_a_comprar[[#Headers],[Planilla]]),ROWS('Insumos a comprar'!$B$5:I75))),"")</f>
        <v/>
      </c>
      <c r="M73" s="29"/>
      <c r="N73" s="29"/>
      <c r="O73" s="29"/>
      <c r="P73" s="29"/>
      <c r="Q73" s="29"/>
    </row>
    <row r="74" spans="1:17" ht="15.75" x14ac:dyDescent="0.25">
      <c r="A74" s="29" t="str">
        <f>IF(ROWS('Insumos a comprar'!$B$5:B76)&lt;=COUNTIF(Insumos_a_comprar[Planilla],A$1),INDEX(Insumos_a_comprar[Insumo],_xlfn.AGGREGATE(15,6,(Insumos_a_comprar[Planilla]=A$1)/(Insumos_a_comprar[Planilla]=A$1)*ROW(Insumos_a_comprar[Planilla])-ROW(Insumos_a_comprar[[#Headers],[Planilla]]),ROWS('Insumos a comprar'!$B$5:B76))),"")</f>
        <v/>
      </c>
      <c r="B74" s="29" t="str">
        <f>IF(ROWS('Insumos a comprar'!$B$5:B76)&lt;=COUNTIF(Insumos_a_comprar[Planilla],B$1),INDEX(Insumos_a_comprar[Insumo],_xlfn.AGGREGATE(15,6,(Insumos_a_comprar[Planilla]=B$1)/(Insumos_a_comprar[Planilla]=B$1)*ROW(Insumos_a_comprar[Planilla])-ROW(Insumos_a_comprar[[#Headers],[Planilla]]),ROWS('Insumos a comprar'!$B$5:B76))),"")</f>
        <v/>
      </c>
      <c r="C74" s="29" t="str">
        <f>IF(ROWS('Insumos a comprar'!$B$5:E76)&lt;=COUNTIF(Insumos_a_comprar[Planilla],C$1),INDEX(Insumos_a_comprar[Insumo],_xlfn.AGGREGATE(15,6,(Insumos_a_comprar[Planilla]=C$1)/(Insumos_a_comprar[Planilla]=C$1)*ROW(Insumos_a_comprar[Planilla])-ROW(Insumos_a_comprar[[#Headers],[Planilla]]),ROWS('Insumos a comprar'!$B$5:E76))),"")</f>
        <v/>
      </c>
      <c r="D74" s="29" t="str">
        <f>IF(ROWS('Insumos a comprar'!$B$5:F76)&lt;=COUNTIF(Insumos_a_comprar[Planilla],D$1),INDEX(Insumos_a_comprar[Insumo],_xlfn.AGGREGATE(15,6,(Insumos_a_comprar[Planilla]=D$1)/(Insumos_a_comprar[Planilla]=D$1)*ROW(Insumos_a_comprar[Planilla])-ROW(Insumos_a_comprar[[#Headers],[Planilla]]),ROWS('Insumos a comprar'!$B$5:F76))),"")</f>
        <v/>
      </c>
      <c r="E74" s="29" t="str">
        <f>IF(ROWS('Insumos a comprar'!$B$5:G76)&lt;=COUNTIF(Insumos_a_comprar[Planilla],E$1),INDEX(Insumos_a_comprar[Insumo],_xlfn.AGGREGATE(15,6,(Insumos_a_comprar[Planilla]=E$1)/(Insumos_a_comprar[Planilla]=E$1)*ROW(Insumos_a_comprar[Planilla])-ROW(Insumos_a_comprar[[#Headers],[Planilla]]),ROWS('Insumos a comprar'!$B$5:G76))),"")</f>
        <v/>
      </c>
      <c r="F74" s="29" t="str">
        <f>IF(ROWS('Insumos a comprar'!$B$5:H76)&lt;=COUNTIF(Insumos_a_comprar[Planilla],F$1),INDEX(Insumos_a_comprar[Insumo],_xlfn.AGGREGATE(15,6,(Insumos_a_comprar[Planilla]=F$1)/(Insumos_a_comprar[Planilla]=F$1)*ROW(Insumos_a_comprar[Planilla])-ROW(Insumos_a_comprar[[#Headers],[Planilla]]),ROWS('Insumos a comprar'!$B$5:H76))),"")</f>
        <v/>
      </c>
      <c r="G74" s="29" t="str">
        <f>IF(ROWS('Insumos a comprar'!$B$5:I76)&lt;=COUNTIF(Insumos_a_comprar[Planilla],G$1),INDEX(Insumos_a_comprar[Insumo],_xlfn.AGGREGATE(15,6,(Insumos_a_comprar[Planilla]=G$1)/(Insumos_a_comprar[Planilla]=G$1)*ROW(Insumos_a_comprar[Planilla])-ROW(Insumos_a_comprar[[#Headers],[Planilla]]),ROWS('Insumos a comprar'!$B$5:I76))),"")</f>
        <v/>
      </c>
      <c r="H74" s="29" t="str">
        <f>IF(ROWS('Insumos a comprar'!$B$5:I76)&lt;=COUNTIF(Insumos_a_comprar[Planilla],H$1),INDEX(Insumos_a_comprar[Insumo],_xlfn.AGGREGATE(15,6,(Insumos_a_comprar[Planilla]=H$1)/(Insumos_a_comprar[Planilla]=H$1)*ROW(Insumos_a_comprar[Planilla])-ROW(Insumos_a_comprar[[#Headers],[Planilla]]),ROWS('Insumos a comprar'!$B$5:I76))),"")</f>
        <v xml:space="preserve">Pinzas  </v>
      </c>
      <c r="I74" s="29" t="str">
        <f>IF(ROWS('Insumos a comprar'!$B$5:I76)&lt;=COUNTIF(Insumos_a_comprar[Planilla],I$1),INDEX(Insumos_a_comprar[Insumo],_xlfn.AGGREGATE(15,6,(Insumos_a_comprar[Planilla]=I$1)/(Insumos_a_comprar[Planilla]=I$1)*ROW(Insumos_a_comprar[Planilla])-ROW(Insumos_a_comprar[[#Headers],[Planilla]]),ROWS('Insumos a comprar'!$B$5:I76))),"")</f>
        <v/>
      </c>
      <c r="J74" s="29" t="str">
        <f>IF(ROWS('Insumos a comprar'!$B$5:I76)&lt;=COUNTIF(Insumos_a_comprar[Planilla],J$1),INDEX(Insumos_a_comprar[Insumo],_xlfn.AGGREGATE(15,6,(Insumos_a_comprar[Planilla]=J$1)/(Insumos_a_comprar[Planilla]=J$1)*ROW(Insumos_a_comprar[Planilla])-ROW(Insumos_a_comprar[[#Headers],[Planilla]]),ROWS('Insumos a comprar'!$B$5:I76))),"")</f>
        <v/>
      </c>
      <c r="K74" s="29" t="str">
        <f>IF(ROWS('Insumos a comprar'!$B$5:I76)&lt;=COUNTIF(Insumos_a_comprar[Planilla],K$1),INDEX(Insumos_a_comprar[Insumo],_xlfn.AGGREGATE(15,6,(Insumos_a_comprar[Planilla]=K$1)/(Insumos_a_comprar[Planilla]=K$1)*ROW(Insumos_a_comprar[Planilla])-ROW(Insumos_a_comprar[[#Headers],[Planilla]]),ROWS('Insumos a comprar'!$B$5:I76))),"")</f>
        <v/>
      </c>
      <c r="L74" s="29" t="str">
        <f>IF(ROWS('Insumos a comprar'!$B$5:I76)&lt;=COUNTIF(Insumos_a_comprar[Planilla],L$1),INDEX(Insumos_a_comprar[Insumo],_xlfn.AGGREGATE(15,6,(Insumos_a_comprar[Planilla]=L$1)/(Insumos_a_comprar[Planilla]=L$1)*ROW(Insumos_a_comprar[Planilla])-ROW(Insumos_a_comprar[[#Headers],[Planilla]]),ROWS('Insumos a comprar'!$B$5:I76))),"")</f>
        <v/>
      </c>
      <c r="M74" s="29"/>
      <c r="N74" s="29"/>
      <c r="O74" s="29"/>
      <c r="P74" s="29"/>
      <c r="Q74" s="29"/>
    </row>
    <row r="75" spans="1:17" ht="15.75" x14ac:dyDescent="0.25">
      <c r="A75" s="29" t="str">
        <f>IF(ROWS('Insumos a comprar'!$B$5:B77)&lt;=COUNTIF(Insumos_a_comprar[Planilla],A$1),INDEX(Insumos_a_comprar[Insumo],_xlfn.AGGREGATE(15,6,(Insumos_a_comprar[Planilla]=A$1)/(Insumos_a_comprar[Planilla]=A$1)*ROW(Insumos_a_comprar[Planilla])-ROW(Insumos_a_comprar[[#Headers],[Planilla]]),ROWS('Insumos a comprar'!$B$5:B77))),"")</f>
        <v/>
      </c>
      <c r="B75" s="29" t="str">
        <f>IF(ROWS('Insumos a comprar'!$B$5:B77)&lt;=COUNTIF(Insumos_a_comprar[Planilla],B$1),INDEX(Insumos_a_comprar[Insumo],_xlfn.AGGREGATE(15,6,(Insumos_a_comprar[Planilla]=B$1)/(Insumos_a_comprar[Planilla]=B$1)*ROW(Insumos_a_comprar[Planilla])-ROW(Insumos_a_comprar[[#Headers],[Planilla]]),ROWS('Insumos a comprar'!$B$5:B77))),"")</f>
        <v/>
      </c>
      <c r="C75" s="29" t="str">
        <f>IF(ROWS('Insumos a comprar'!$B$5:E77)&lt;=COUNTIF(Insumos_a_comprar[Planilla],C$1),INDEX(Insumos_a_comprar[Insumo],_xlfn.AGGREGATE(15,6,(Insumos_a_comprar[Planilla]=C$1)/(Insumos_a_comprar[Planilla]=C$1)*ROW(Insumos_a_comprar[Planilla])-ROW(Insumos_a_comprar[[#Headers],[Planilla]]),ROWS('Insumos a comprar'!$B$5:E77))),"")</f>
        <v/>
      </c>
      <c r="D75" s="29" t="str">
        <f>IF(ROWS('Insumos a comprar'!$B$5:F77)&lt;=COUNTIF(Insumos_a_comprar[Planilla],D$1),INDEX(Insumos_a_comprar[Insumo],_xlfn.AGGREGATE(15,6,(Insumos_a_comprar[Planilla]=D$1)/(Insumos_a_comprar[Planilla]=D$1)*ROW(Insumos_a_comprar[Planilla])-ROW(Insumos_a_comprar[[#Headers],[Planilla]]),ROWS('Insumos a comprar'!$B$5:F77))),"")</f>
        <v/>
      </c>
      <c r="E75" s="29" t="str">
        <f>IF(ROWS('Insumos a comprar'!$B$5:G77)&lt;=COUNTIF(Insumos_a_comprar[Planilla],E$1),INDEX(Insumos_a_comprar[Insumo],_xlfn.AGGREGATE(15,6,(Insumos_a_comprar[Planilla]=E$1)/(Insumos_a_comprar[Planilla]=E$1)*ROW(Insumos_a_comprar[Planilla])-ROW(Insumos_a_comprar[[#Headers],[Planilla]]),ROWS('Insumos a comprar'!$B$5:G77))),"")</f>
        <v/>
      </c>
      <c r="F75" s="29" t="str">
        <f>IF(ROWS('Insumos a comprar'!$B$5:H77)&lt;=COUNTIF(Insumos_a_comprar[Planilla],F$1),INDEX(Insumos_a_comprar[Insumo],_xlfn.AGGREGATE(15,6,(Insumos_a_comprar[Planilla]=F$1)/(Insumos_a_comprar[Planilla]=F$1)*ROW(Insumos_a_comprar[Planilla])-ROW(Insumos_a_comprar[[#Headers],[Planilla]]),ROWS('Insumos a comprar'!$B$5:H77))),"")</f>
        <v/>
      </c>
      <c r="G75" s="29" t="str">
        <f>IF(ROWS('Insumos a comprar'!$B$5:I77)&lt;=COUNTIF(Insumos_a_comprar[Planilla],G$1),INDEX(Insumos_a_comprar[Insumo],_xlfn.AGGREGATE(15,6,(Insumos_a_comprar[Planilla]=G$1)/(Insumos_a_comprar[Planilla]=G$1)*ROW(Insumos_a_comprar[Planilla])-ROW(Insumos_a_comprar[[#Headers],[Planilla]]),ROWS('Insumos a comprar'!$B$5:I77))),"")</f>
        <v/>
      </c>
      <c r="H75" s="29" t="str">
        <f>IF(ROWS('Insumos a comprar'!$B$5:I77)&lt;=COUNTIF(Insumos_a_comprar[Planilla],H$1),INDEX(Insumos_a_comprar[Insumo],_xlfn.AGGREGATE(15,6,(Insumos_a_comprar[Planilla]=H$1)/(Insumos_a_comprar[Planilla]=H$1)*ROW(Insumos_a_comprar[Planilla])-ROW(Insumos_a_comprar[[#Headers],[Planilla]]),ROWS('Insumos a comprar'!$B$5:I77))),"")</f>
        <v>Pipetas Aforados 1</v>
      </c>
      <c r="I75" s="29" t="str">
        <f>IF(ROWS('Insumos a comprar'!$B$5:I77)&lt;=COUNTIF(Insumos_a_comprar[Planilla],I$1),INDEX(Insumos_a_comprar[Insumo],_xlfn.AGGREGATE(15,6,(Insumos_a_comprar[Planilla]=I$1)/(Insumos_a_comprar[Planilla]=I$1)*ROW(Insumos_a_comprar[Planilla])-ROW(Insumos_a_comprar[[#Headers],[Planilla]]),ROWS('Insumos a comprar'!$B$5:I77))),"")</f>
        <v/>
      </c>
      <c r="J75" s="29" t="str">
        <f>IF(ROWS('Insumos a comprar'!$B$5:I77)&lt;=COUNTIF(Insumos_a_comprar[Planilla],J$1),INDEX(Insumos_a_comprar[Insumo],_xlfn.AGGREGATE(15,6,(Insumos_a_comprar[Planilla]=J$1)/(Insumos_a_comprar[Planilla]=J$1)*ROW(Insumos_a_comprar[Planilla])-ROW(Insumos_a_comprar[[#Headers],[Planilla]]),ROWS('Insumos a comprar'!$B$5:I77))),"")</f>
        <v/>
      </c>
      <c r="K75" s="29" t="str">
        <f>IF(ROWS('Insumos a comprar'!$B$5:I77)&lt;=COUNTIF(Insumos_a_comprar[Planilla],K$1),INDEX(Insumos_a_comprar[Insumo],_xlfn.AGGREGATE(15,6,(Insumos_a_comprar[Planilla]=K$1)/(Insumos_a_comprar[Planilla]=K$1)*ROW(Insumos_a_comprar[Planilla])-ROW(Insumos_a_comprar[[#Headers],[Planilla]]),ROWS('Insumos a comprar'!$B$5:I77))),"")</f>
        <v/>
      </c>
      <c r="L75" s="29" t="str">
        <f>IF(ROWS('Insumos a comprar'!$B$5:I77)&lt;=COUNTIF(Insumos_a_comprar[Planilla],L$1),INDEX(Insumos_a_comprar[Insumo],_xlfn.AGGREGATE(15,6,(Insumos_a_comprar[Planilla]=L$1)/(Insumos_a_comprar[Planilla]=L$1)*ROW(Insumos_a_comprar[Planilla])-ROW(Insumos_a_comprar[[#Headers],[Planilla]]),ROWS('Insumos a comprar'!$B$5:I77))),"")</f>
        <v/>
      </c>
      <c r="M75" s="29"/>
      <c r="N75" s="29"/>
      <c r="O75" s="29"/>
      <c r="P75" s="29"/>
      <c r="Q75" s="29"/>
    </row>
    <row r="76" spans="1:17" ht="15.75" x14ac:dyDescent="0.25">
      <c r="A76" s="29" t="str">
        <f>IF(ROWS('Insumos a comprar'!$B$5:B78)&lt;=COUNTIF(Insumos_a_comprar[Planilla],A$1),INDEX(Insumos_a_comprar[Insumo],_xlfn.AGGREGATE(15,6,(Insumos_a_comprar[Planilla]=A$1)/(Insumos_a_comprar[Planilla]=A$1)*ROW(Insumos_a_comprar[Planilla])-ROW(Insumos_a_comprar[[#Headers],[Planilla]]),ROWS('Insumos a comprar'!$B$5:B78))),"")</f>
        <v/>
      </c>
      <c r="B76" s="29" t="str">
        <f>IF(ROWS('Insumos a comprar'!$B$5:B78)&lt;=COUNTIF(Insumos_a_comprar[Planilla],B$1),INDEX(Insumos_a_comprar[Insumo],_xlfn.AGGREGATE(15,6,(Insumos_a_comprar[Planilla]=B$1)/(Insumos_a_comprar[Planilla]=B$1)*ROW(Insumos_a_comprar[Planilla])-ROW(Insumos_a_comprar[[#Headers],[Planilla]]),ROWS('Insumos a comprar'!$B$5:B78))),"")</f>
        <v/>
      </c>
      <c r="C76" s="29" t="str">
        <f>IF(ROWS('Insumos a comprar'!$B$5:E78)&lt;=COUNTIF(Insumos_a_comprar[Planilla],C$1),INDEX(Insumos_a_comprar[Insumo],_xlfn.AGGREGATE(15,6,(Insumos_a_comprar[Planilla]=C$1)/(Insumos_a_comprar[Planilla]=C$1)*ROW(Insumos_a_comprar[Planilla])-ROW(Insumos_a_comprar[[#Headers],[Planilla]]),ROWS('Insumos a comprar'!$B$5:E78))),"")</f>
        <v/>
      </c>
      <c r="D76" s="29" t="str">
        <f>IF(ROWS('Insumos a comprar'!$B$5:F78)&lt;=COUNTIF(Insumos_a_comprar[Planilla],D$1),INDEX(Insumos_a_comprar[Insumo],_xlfn.AGGREGATE(15,6,(Insumos_a_comprar[Planilla]=D$1)/(Insumos_a_comprar[Planilla]=D$1)*ROW(Insumos_a_comprar[Planilla])-ROW(Insumos_a_comprar[[#Headers],[Planilla]]),ROWS('Insumos a comprar'!$B$5:F78))),"")</f>
        <v/>
      </c>
      <c r="E76" s="29" t="str">
        <f>IF(ROWS('Insumos a comprar'!$B$5:G78)&lt;=COUNTIF(Insumos_a_comprar[Planilla],E$1),INDEX(Insumos_a_comprar[Insumo],_xlfn.AGGREGATE(15,6,(Insumos_a_comprar[Planilla]=E$1)/(Insumos_a_comprar[Planilla]=E$1)*ROW(Insumos_a_comprar[Planilla])-ROW(Insumos_a_comprar[[#Headers],[Planilla]]),ROWS('Insumos a comprar'!$B$5:G78))),"")</f>
        <v/>
      </c>
      <c r="F76" s="29" t="str">
        <f>IF(ROWS('Insumos a comprar'!$B$5:H78)&lt;=COUNTIF(Insumos_a_comprar[Planilla],F$1),INDEX(Insumos_a_comprar[Insumo],_xlfn.AGGREGATE(15,6,(Insumos_a_comprar[Planilla]=F$1)/(Insumos_a_comprar[Planilla]=F$1)*ROW(Insumos_a_comprar[Planilla])-ROW(Insumos_a_comprar[[#Headers],[Planilla]]),ROWS('Insumos a comprar'!$B$5:H78))),"")</f>
        <v/>
      </c>
      <c r="G76" s="29" t="str">
        <f>IF(ROWS('Insumos a comprar'!$B$5:I78)&lt;=COUNTIF(Insumos_a_comprar[Planilla],G$1),INDEX(Insumos_a_comprar[Insumo],_xlfn.AGGREGATE(15,6,(Insumos_a_comprar[Planilla]=G$1)/(Insumos_a_comprar[Planilla]=G$1)*ROW(Insumos_a_comprar[Planilla])-ROW(Insumos_a_comprar[[#Headers],[Planilla]]),ROWS('Insumos a comprar'!$B$5:I78))),"")</f>
        <v/>
      </c>
      <c r="H76" s="29" t="str">
        <f>IF(ROWS('Insumos a comprar'!$B$5:I78)&lt;=COUNTIF(Insumos_a_comprar[Planilla],H$1),INDEX(Insumos_a_comprar[Insumo],_xlfn.AGGREGATE(15,6,(Insumos_a_comprar[Planilla]=H$1)/(Insumos_a_comprar[Planilla]=H$1)*ROW(Insumos_a_comprar[Planilla])-ROW(Insumos_a_comprar[[#Headers],[Planilla]]),ROWS('Insumos a comprar'!$B$5:I78))),"")</f>
        <v>Pipetas Aforados 10</v>
      </c>
      <c r="I76" s="29" t="str">
        <f>IF(ROWS('Insumos a comprar'!$B$5:I78)&lt;=COUNTIF(Insumos_a_comprar[Planilla],I$1),INDEX(Insumos_a_comprar[Insumo],_xlfn.AGGREGATE(15,6,(Insumos_a_comprar[Planilla]=I$1)/(Insumos_a_comprar[Planilla]=I$1)*ROW(Insumos_a_comprar[Planilla])-ROW(Insumos_a_comprar[[#Headers],[Planilla]]),ROWS('Insumos a comprar'!$B$5:I78))),"")</f>
        <v/>
      </c>
      <c r="J76" s="29" t="str">
        <f>IF(ROWS('Insumos a comprar'!$B$5:I78)&lt;=COUNTIF(Insumos_a_comprar[Planilla],J$1),INDEX(Insumos_a_comprar[Insumo],_xlfn.AGGREGATE(15,6,(Insumos_a_comprar[Planilla]=J$1)/(Insumos_a_comprar[Planilla]=J$1)*ROW(Insumos_a_comprar[Planilla])-ROW(Insumos_a_comprar[[#Headers],[Planilla]]),ROWS('Insumos a comprar'!$B$5:I78))),"")</f>
        <v/>
      </c>
      <c r="K76" s="29" t="str">
        <f>IF(ROWS('Insumos a comprar'!$B$5:I78)&lt;=COUNTIF(Insumos_a_comprar[Planilla],K$1),INDEX(Insumos_a_comprar[Insumo],_xlfn.AGGREGATE(15,6,(Insumos_a_comprar[Planilla]=K$1)/(Insumos_a_comprar[Planilla]=K$1)*ROW(Insumos_a_comprar[Planilla])-ROW(Insumos_a_comprar[[#Headers],[Planilla]]),ROWS('Insumos a comprar'!$B$5:I78))),"")</f>
        <v/>
      </c>
      <c r="L76" s="29" t="str">
        <f>IF(ROWS('Insumos a comprar'!$B$5:I78)&lt;=COUNTIF(Insumos_a_comprar[Planilla],L$1),INDEX(Insumos_a_comprar[Insumo],_xlfn.AGGREGATE(15,6,(Insumos_a_comprar[Planilla]=L$1)/(Insumos_a_comprar[Planilla]=L$1)*ROW(Insumos_a_comprar[Planilla])-ROW(Insumos_a_comprar[[#Headers],[Planilla]]),ROWS('Insumos a comprar'!$B$5:I78))),"")</f>
        <v/>
      </c>
      <c r="M76" s="29"/>
      <c r="N76" s="29"/>
      <c r="O76" s="29"/>
      <c r="P76" s="29"/>
      <c r="Q76" s="29"/>
    </row>
    <row r="77" spans="1:17" ht="15.75" x14ac:dyDescent="0.25">
      <c r="A77" s="29" t="str">
        <f>IF(ROWS('Insumos a comprar'!$B$5:B79)&lt;=COUNTIF(Insumos_a_comprar[Planilla],A$1),INDEX(Insumos_a_comprar[Insumo],_xlfn.AGGREGATE(15,6,(Insumos_a_comprar[Planilla]=A$1)/(Insumos_a_comprar[Planilla]=A$1)*ROW(Insumos_a_comprar[Planilla])-ROW(Insumos_a_comprar[[#Headers],[Planilla]]),ROWS('Insumos a comprar'!$B$5:B79))),"")</f>
        <v/>
      </c>
      <c r="B77" s="29" t="str">
        <f>IF(ROWS('Insumos a comprar'!$B$5:B79)&lt;=COUNTIF(Insumos_a_comprar[Planilla],B$1),INDEX(Insumos_a_comprar[Insumo],_xlfn.AGGREGATE(15,6,(Insumos_a_comprar[Planilla]=B$1)/(Insumos_a_comprar[Planilla]=B$1)*ROW(Insumos_a_comprar[Planilla])-ROW(Insumos_a_comprar[[#Headers],[Planilla]]),ROWS('Insumos a comprar'!$B$5:B79))),"")</f>
        <v/>
      </c>
      <c r="C77" s="29" t="str">
        <f>IF(ROWS('Insumos a comprar'!$B$5:E79)&lt;=COUNTIF(Insumos_a_comprar[Planilla],C$1),INDEX(Insumos_a_comprar[Insumo],_xlfn.AGGREGATE(15,6,(Insumos_a_comprar[Planilla]=C$1)/(Insumos_a_comprar[Planilla]=C$1)*ROW(Insumos_a_comprar[Planilla])-ROW(Insumos_a_comprar[[#Headers],[Planilla]]),ROWS('Insumos a comprar'!$B$5:E79))),"")</f>
        <v/>
      </c>
      <c r="D77" s="29" t="str">
        <f>IF(ROWS('Insumos a comprar'!$B$5:F79)&lt;=COUNTIF(Insumos_a_comprar[Planilla],D$1),INDEX(Insumos_a_comprar[Insumo],_xlfn.AGGREGATE(15,6,(Insumos_a_comprar[Planilla]=D$1)/(Insumos_a_comprar[Planilla]=D$1)*ROW(Insumos_a_comprar[Planilla])-ROW(Insumos_a_comprar[[#Headers],[Planilla]]),ROWS('Insumos a comprar'!$B$5:F79))),"")</f>
        <v/>
      </c>
      <c r="E77" s="29" t="str">
        <f>IF(ROWS('Insumos a comprar'!$B$5:G79)&lt;=COUNTIF(Insumos_a_comprar[Planilla],E$1),INDEX(Insumos_a_comprar[Insumo],_xlfn.AGGREGATE(15,6,(Insumos_a_comprar[Planilla]=E$1)/(Insumos_a_comprar[Planilla]=E$1)*ROW(Insumos_a_comprar[Planilla])-ROW(Insumos_a_comprar[[#Headers],[Planilla]]),ROWS('Insumos a comprar'!$B$5:G79))),"")</f>
        <v/>
      </c>
      <c r="F77" s="29" t="str">
        <f>IF(ROWS('Insumos a comprar'!$B$5:H79)&lt;=COUNTIF(Insumos_a_comprar[Planilla],F$1),INDEX(Insumos_a_comprar[Insumo],_xlfn.AGGREGATE(15,6,(Insumos_a_comprar[Planilla]=F$1)/(Insumos_a_comprar[Planilla]=F$1)*ROW(Insumos_a_comprar[Planilla])-ROW(Insumos_a_comprar[[#Headers],[Planilla]]),ROWS('Insumos a comprar'!$B$5:H79))),"")</f>
        <v/>
      </c>
      <c r="G77" s="29" t="str">
        <f>IF(ROWS('Insumos a comprar'!$B$5:I79)&lt;=COUNTIF(Insumos_a_comprar[Planilla],G$1),INDEX(Insumos_a_comprar[Insumo],_xlfn.AGGREGATE(15,6,(Insumos_a_comprar[Planilla]=G$1)/(Insumos_a_comprar[Planilla]=G$1)*ROW(Insumos_a_comprar[Planilla])-ROW(Insumos_a_comprar[[#Headers],[Planilla]]),ROWS('Insumos a comprar'!$B$5:I79))),"")</f>
        <v/>
      </c>
      <c r="H77" s="29" t="str">
        <f>IF(ROWS('Insumos a comprar'!$B$5:I79)&lt;=COUNTIF(Insumos_a_comprar[Planilla],H$1),INDEX(Insumos_a_comprar[Insumo],_xlfn.AGGREGATE(15,6,(Insumos_a_comprar[Planilla]=H$1)/(Insumos_a_comprar[Planilla]=H$1)*ROW(Insumos_a_comprar[Planilla])-ROW(Insumos_a_comprar[[#Headers],[Planilla]]),ROWS('Insumos a comprar'!$B$5:I79))),"")</f>
        <v>Pipetas Aforados 2</v>
      </c>
      <c r="I77" s="29" t="str">
        <f>IF(ROWS('Insumos a comprar'!$B$5:I79)&lt;=COUNTIF(Insumos_a_comprar[Planilla],I$1),INDEX(Insumos_a_comprar[Insumo],_xlfn.AGGREGATE(15,6,(Insumos_a_comprar[Planilla]=I$1)/(Insumos_a_comprar[Planilla]=I$1)*ROW(Insumos_a_comprar[Planilla])-ROW(Insumos_a_comprar[[#Headers],[Planilla]]),ROWS('Insumos a comprar'!$B$5:I79))),"")</f>
        <v/>
      </c>
      <c r="J77" s="29" t="str">
        <f>IF(ROWS('Insumos a comprar'!$B$5:I79)&lt;=COUNTIF(Insumos_a_comprar[Planilla],J$1),INDEX(Insumos_a_comprar[Insumo],_xlfn.AGGREGATE(15,6,(Insumos_a_comprar[Planilla]=J$1)/(Insumos_a_comprar[Planilla]=J$1)*ROW(Insumos_a_comprar[Planilla])-ROW(Insumos_a_comprar[[#Headers],[Planilla]]),ROWS('Insumos a comprar'!$B$5:I79))),"")</f>
        <v/>
      </c>
      <c r="K77" s="29" t="str">
        <f>IF(ROWS('Insumos a comprar'!$B$5:I79)&lt;=COUNTIF(Insumos_a_comprar[Planilla],K$1),INDEX(Insumos_a_comprar[Insumo],_xlfn.AGGREGATE(15,6,(Insumos_a_comprar[Planilla]=K$1)/(Insumos_a_comprar[Planilla]=K$1)*ROW(Insumos_a_comprar[Planilla])-ROW(Insumos_a_comprar[[#Headers],[Planilla]]),ROWS('Insumos a comprar'!$B$5:I79))),"")</f>
        <v/>
      </c>
      <c r="L77" s="29" t="str">
        <f>IF(ROWS('Insumos a comprar'!$B$5:I79)&lt;=COUNTIF(Insumos_a_comprar[Planilla],L$1),INDEX(Insumos_a_comprar[Insumo],_xlfn.AGGREGATE(15,6,(Insumos_a_comprar[Planilla]=L$1)/(Insumos_a_comprar[Planilla]=L$1)*ROW(Insumos_a_comprar[Planilla])-ROW(Insumos_a_comprar[[#Headers],[Planilla]]),ROWS('Insumos a comprar'!$B$5:I79))),"")</f>
        <v/>
      </c>
      <c r="M77" s="29"/>
      <c r="N77" s="29"/>
      <c r="O77" s="29"/>
      <c r="P77" s="29"/>
      <c r="Q77" s="29"/>
    </row>
    <row r="78" spans="1:17" ht="15.75" x14ac:dyDescent="0.25">
      <c r="A78" s="29" t="str">
        <f>IF(ROWS('Insumos a comprar'!$B$5:B80)&lt;=COUNTIF(Insumos_a_comprar[Planilla],A$1),INDEX(Insumos_a_comprar[Insumo],_xlfn.AGGREGATE(15,6,(Insumos_a_comprar[Planilla]=A$1)/(Insumos_a_comprar[Planilla]=A$1)*ROW(Insumos_a_comprar[Planilla])-ROW(Insumos_a_comprar[[#Headers],[Planilla]]),ROWS('Insumos a comprar'!$B$5:B80))),"")</f>
        <v/>
      </c>
      <c r="B78" s="29" t="str">
        <f>IF(ROWS('Insumos a comprar'!$B$5:B80)&lt;=COUNTIF(Insumos_a_comprar[Planilla],B$1),INDEX(Insumos_a_comprar[Insumo],_xlfn.AGGREGATE(15,6,(Insumos_a_comprar[Planilla]=B$1)/(Insumos_a_comprar[Planilla]=B$1)*ROW(Insumos_a_comprar[Planilla])-ROW(Insumos_a_comprar[[#Headers],[Planilla]]),ROWS('Insumos a comprar'!$B$5:B80))),"")</f>
        <v/>
      </c>
      <c r="C78" s="29" t="str">
        <f>IF(ROWS('Insumos a comprar'!$B$5:E80)&lt;=COUNTIF(Insumos_a_comprar[Planilla],C$1),INDEX(Insumos_a_comprar[Insumo],_xlfn.AGGREGATE(15,6,(Insumos_a_comprar[Planilla]=C$1)/(Insumos_a_comprar[Planilla]=C$1)*ROW(Insumos_a_comprar[Planilla])-ROW(Insumos_a_comprar[[#Headers],[Planilla]]),ROWS('Insumos a comprar'!$B$5:E80))),"")</f>
        <v/>
      </c>
      <c r="D78" s="29" t="str">
        <f>IF(ROWS('Insumos a comprar'!$B$5:F80)&lt;=COUNTIF(Insumos_a_comprar[Planilla],D$1),INDEX(Insumos_a_comprar[Insumo],_xlfn.AGGREGATE(15,6,(Insumos_a_comprar[Planilla]=D$1)/(Insumos_a_comprar[Planilla]=D$1)*ROW(Insumos_a_comprar[Planilla])-ROW(Insumos_a_comprar[[#Headers],[Planilla]]),ROWS('Insumos a comprar'!$B$5:F80))),"")</f>
        <v/>
      </c>
      <c r="E78" s="29" t="str">
        <f>IF(ROWS('Insumos a comprar'!$B$5:G80)&lt;=COUNTIF(Insumos_a_comprar[Planilla],E$1),INDEX(Insumos_a_comprar[Insumo],_xlfn.AGGREGATE(15,6,(Insumos_a_comprar[Planilla]=E$1)/(Insumos_a_comprar[Planilla]=E$1)*ROW(Insumos_a_comprar[Planilla])-ROW(Insumos_a_comprar[[#Headers],[Planilla]]),ROWS('Insumos a comprar'!$B$5:G80))),"")</f>
        <v/>
      </c>
      <c r="F78" s="29" t="str">
        <f>IF(ROWS('Insumos a comprar'!$B$5:H80)&lt;=COUNTIF(Insumos_a_comprar[Planilla],F$1),INDEX(Insumos_a_comprar[Insumo],_xlfn.AGGREGATE(15,6,(Insumos_a_comprar[Planilla]=F$1)/(Insumos_a_comprar[Planilla]=F$1)*ROW(Insumos_a_comprar[Planilla])-ROW(Insumos_a_comprar[[#Headers],[Planilla]]),ROWS('Insumos a comprar'!$B$5:H80))),"")</f>
        <v/>
      </c>
      <c r="G78" s="29" t="str">
        <f>IF(ROWS('Insumos a comprar'!$B$5:I80)&lt;=COUNTIF(Insumos_a_comprar[Planilla],G$1),INDEX(Insumos_a_comprar[Insumo],_xlfn.AGGREGATE(15,6,(Insumos_a_comprar[Planilla]=G$1)/(Insumos_a_comprar[Planilla]=G$1)*ROW(Insumos_a_comprar[Planilla])-ROW(Insumos_a_comprar[[#Headers],[Planilla]]),ROWS('Insumos a comprar'!$B$5:I80))),"")</f>
        <v/>
      </c>
      <c r="H78" s="29" t="str">
        <f>IF(ROWS('Insumos a comprar'!$B$5:I80)&lt;=COUNTIF(Insumos_a_comprar[Planilla],H$1),INDEX(Insumos_a_comprar[Insumo],_xlfn.AGGREGATE(15,6,(Insumos_a_comprar[Planilla]=H$1)/(Insumos_a_comprar[Planilla]=H$1)*ROW(Insumos_a_comprar[Planilla])-ROW(Insumos_a_comprar[[#Headers],[Planilla]]),ROWS('Insumos a comprar'!$B$5:I80))),"")</f>
        <v>Pipetas Aforados 25</v>
      </c>
      <c r="I78" s="29" t="str">
        <f>IF(ROWS('Insumos a comprar'!$B$5:I80)&lt;=COUNTIF(Insumos_a_comprar[Planilla],I$1),INDEX(Insumos_a_comprar[Insumo],_xlfn.AGGREGATE(15,6,(Insumos_a_comprar[Planilla]=I$1)/(Insumos_a_comprar[Planilla]=I$1)*ROW(Insumos_a_comprar[Planilla])-ROW(Insumos_a_comprar[[#Headers],[Planilla]]),ROWS('Insumos a comprar'!$B$5:I80))),"")</f>
        <v/>
      </c>
      <c r="J78" s="29" t="str">
        <f>IF(ROWS('Insumos a comprar'!$B$5:I80)&lt;=COUNTIF(Insumos_a_comprar[Planilla],J$1),INDEX(Insumos_a_comprar[Insumo],_xlfn.AGGREGATE(15,6,(Insumos_a_comprar[Planilla]=J$1)/(Insumos_a_comprar[Planilla]=J$1)*ROW(Insumos_a_comprar[Planilla])-ROW(Insumos_a_comprar[[#Headers],[Planilla]]),ROWS('Insumos a comprar'!$B$5:I80))),"")</f>
        <v/>
      </c>
      <c r="K78" s="29" t="str">
        <f>IF(ROWS('Insumos a comprar'!$B$5:I80)&lt;=COUNTIF(Insumos_a_comprar[Planilla],K$1),INDEX(Insumos_a_comprar[Insumo],_xlfn.AGGREGATE(15,6,(Insumos_a_comprar[Planilla]=K$1)/(Insumos_a_comprar[Planilla]=K$1)*ROW(Insumos_a_comprar[Planilla])-ROW(Insumos_a_comprar[[#Headers],[Planilla]]),ROWS('Insumos a comprar'!$B$5:I80))),"")</f>
        <v/>
      </c>
      <c r="L78" s="29" t="str">
        <f>IF(ROWS('Insumos a comprar'!$B$5:I80)&lt;=COUNTIF(Insumos_a_comprar[Planilla],L$1),INDEX(Insumos_a_comprar[Insumo],_xlfn.AGGREGATE(15,6,(Insumos_a_comprar[Planilla]=L$1)/(Insumos_a_comprar[Planilla]=L$1)*ROW(Insumos_a_comprar[Planilla])-ROW(Insumos_a_comprar[[#Headers],[Planilla]]),ROWS('Insumos a comprar'!$B$5:I80))),"")</f>
        <v/>
      </c>
      <c r="M78" s="29"/>
      <c r="N78" s="29"/>
      <c r="O78" s="29"/>
      <c r="P78" s="29"/>
      <c r="Q78" s="29"/>
    </row>
    <row r="79" spans="1:17" ht="15.75" x14ac:dyDescent="0.25">
      <c r="A79" s="29" t="str">
        <f>IF(ROWS('Insumos a comprar'!$B$5:B81)&lt;=COUNTIF(Insumos_a_comprar[Planilla],A$1),INDEX(Insumos_a_comprar[Insumo],_xlfn.AGGREGATE(15,6,(Insumos_a_comprar[Planilla]=A$1)/(Insumos_a_comprar[Planilla]=A$1)*ROW(Insumos_a_comprar[Planilla])-ROW(Insumos_a_comprar[[#Headers],[Planilla]]),ROWS('Insumos a comprar'!$B$5:B81))),"")</f>
        <v/>
      </c>
      <c r="B79" s="29" t="str">
        <f>IF(ROWS('Insumos a comprar'!$B$5:B81)&lt;=COUNTIF(Insumos_a_comprar[Planilla],B$1),INDEX(Insumos_a_comprar[Insumo],_xlfn.AGGREGATE(15,6,(Insumos_a_comprar[Planilla]=B$1)/(Insumos_a_comprar[Planilla]=B$1)*ROW(Insumos_a_comprar[Planilla])-ROW(Insumos_a_comprar[[#Headers],[Planilla]]),ROWS('Insumos a comprar'!$B$5:B81))),"")</f>
        <v/>
      </c>
      <c r="C79" s="29" t="str">
        <f>IF(ROWS('Insumos a comprar'!$B$5:E81)&lt;=COUNTIF(Insumos_a_comprar[Planilla],C$1),INDEX(Insumos_a_comprar[Insumo],_xlfn.AGGREGATE(15,6,(Insumos_a_comprar[Planilla]=C$1)/(Insumos_a_comprar[Planilla]=C$1)*ROW(Insumos_a_comprar[Planilla])-ROW(Insumos_a_comprar[[#Headers],[Planilla]]),ROWS('Insumos a comprar'!$B$5:E81))),"")</f>
        <v/>
      </c>
      <c r="D79" s="29" t="str">
        <f>IF(ROWS('Insumos a comprar'!$B$5:F81)&lt;=COUNTIF(Insumos_a_comprar[Planilla],D$1),INDEX(Insumos_a_comprar[Insumo],_xlfn.AGGREGATE(15,6,(Insumos_a_comprar[Planilla]=D$1)/(Insumos_a_comprar[Planilla]=D$1)*ROW(Insumos_a_comprar[Planilla])-ROW(Insumos_a_comprar[[#Headers],[Planilla]]),ROWS('Insumos a comprar'!$B$5:F81))),"")</f>
        <v/>
      </c>
      <c r="E79" s="29" t="str">
        <f>IF(ROWS('Insumos a comprar'!$B$5:G81)&lt;=COUNTIF(Insumos_a_comprar[Planilla],E$1),INDEX(Insumos_a_comprar[Insumo],_xlfn.AGGREGATE(15,6,(Insumos_a_comprar[Planilla]=E$1)/(Insumos_a_comprar[Planilla]=E$1)*ROW(Insumos_a_comprar[Planilla])-ROW(Insumos_a_comprar[[#Headers],[Planilla]]),ROWS('Insumos a comprar'!$B$5:G81))),"")</f>
        <v/>
      </c>
      <c r="F79" s="29" t="str">
        <f>IF(ROWS('Insumos a comprar'!$B$5:H81)&lt;=COUNTIF(Insumos_a_comprar[Planilla],F$1),INDEX(Insumos_a_comprar[Insumo],_xlfn.AGGREGATE(15,6,(Insumos_a_comprar[Planilla]=F$1)/(Insumos_a_comprar[Planilla]=F$1)*ROW(Insumos_a_comprar[Planilla])-ROW(Insumos_a_comprar[[#Headers],[Planilla]]),ROWS('Insumos a comprar'!$B$5:H81))),"")</f>
        <v/>
      </c>
      <c r="G79" s="29" t="str">
        <f>IF(ROWS('Insumos a comprar'!$B$5:I81)&lt;=COUNTIF(Insumos_a_comprar[Planilla],G$1),INDEX(Insumos_a_comprar[Insumo],_xlfn.AGGREGATE(15,6,(Insumos_a_comprar[Planilla]=G$1)/(Insumos_a_comprar[Planilla]=G$1)*ROW(Insumos_a_comprar[Planilla])-ROW(Insumos_a_comprar[[#Headers],[Planilla]]),ROWS('Insumos a comprar'!$B$5:I81))),"")</f>
        <v/>
      </c>
      <c r="H79" s="29" t="str">
        <f>IF(ROWS('Insumos a comprar'!$B$5:I81)&lt;=COUNTIF(Insumos_a_comprar[Planilla],H$1),INDEX(Insumos_a_comprar[Insumo],_xlfn.AGGREGATE(15,6,(Insumos_a_comprar[Planilla]=H$1)/(Insumos_a_comprar[Planilla]=H$1)*ROW(Insumos_a_comprar[Planilla])-ROW(Insumos_a_comprar[[#Headers],[Planilla]]),ROWS('Insumos a comprar'!$B$5:I81))),"")</f>
        <v>Pipetas Aforados 4</v>
      </c>
      <c r="I79" s="29" t="str">
        <f>IF(ROWS('Insumos a comprar'!$B$5:I81)&lt;=COUNTIF(Insumos_a_comprar[Planilla],I$1),INDEX(Insumos_a_comprar[Insumo],_xlfn.AGGREGATE(15,6,(Insumos_a_comprar[Planilla]=I$1)/(Insumos_a_comprar[Planilla]=I$1)*ROW(Insumos_a_comprar[Planilla])-ROW(Insumos_a_comprar[[#Headers],[Planilla]]),ROWS('Insumos a comprar'!$B$5:I81))),"")</f>
        <v/>
      </c>
      <c r="J79" s="29" t="str">
        <f>IF(ROWS('Insumos a comprar'!$B$5:I81)&lt;=COUNTIF(Insumos_a_comprar[Planilla],J$1),INDEX(Insumos_a_comprar[Insumo],_xlfn.AGGREGATE(15,6,(Insumos_a_comprar[Planilla]=J$1)/(Insumos_a_comprar[Planilla]=J$1)*ROW(Insumos_a_comprar[Planilla])-ROW(Insumos_a_comprar[[#Headers],[Planilla]]),ROWS('Insumos a comprar'!$B$5:I81))),"")</f>
        <v/>
      </c>
      <c r="K79" s="29" t="str">
        <f>IF(ROWS('Insumos a comprar'!$B$5:I81)&lt;=COUNTIF(Insumos_a_comprar[Planilla],K$1),INDEX(Insumos_a_comprar[Insumo],_xlfn.AGGREGATE(15,6,(Insumos_a_comprar[Planilla]=K$1)/(Insumos_a_comprar[Planilla]=K$1)*ROW(Insumos_a_comprar[Planilla])-ROW(Insumos_a_comprar[[#Headers],[Planilla]]),ROWS('Insumos a comprar'!$B$5:I81))),"")</f>
        <v/>
      </c>
      <c r="L79" s="29" t="str">
        <f>IF(ROWS('Insumos a comprar'!$B$5:I81)&lt;=COUNTIF(Insumos_a_comprar[Planilla],L$1),INDEX(Insumos_a_comprar[Insumo],_xlfn.AGGREGATE(15,6,(Insumos_a_comprar[Planilla]=L$1)/(Insumos_a_comprar[Planilla]=L$1)*ROW(Insumos_a_comprar[Planilla])-ROW(Insumos_a_comprar[[#Headers],[Planilla]]),ROWS('Insumos a comprar'!$B$5:I81))),"")</f>
        <v/>
      </c>
      <c r="M79" s="29"/>
      <c r="N79" s="29"/>
      <c r="O79" s="29"/>
      <c r="P79" s="29"/>
      <c r="Q79" s="29"/>
    </row>
    <row r="80" spans="1:17" ht="15.75" x14ac:dyDescent="0.25">
      <c r="A80" s="29" t="str">
        <f>IF(ROWS('Insumos a comprar'!$B$5:B82)&lt;=COUNTIF(Insumos_a_comprar[Planilla],A$1),INDEX(Insumos_a_comprar[Insumo],_xlfn.AGGREGATE(15,6,(Insumos_a_comprar[Planilla]=A$1)/(Insumos_a_comprar[Planilla]=A$1)*ROW(Insumos_a_comprar[Planilla])-ROW(Insumos_a_comprar[[#Headers],[Planilla]]),ROWS('Insumos a comprar'!$B$5:B82))),"")</f>
        <v/>
      </c>
      <c r="B80" s="29" t="str">
        <f>IF(ROWS('Insumos a comprar'!$B$5:B82)&lt;=COUNTIF(Insumos_a_comprar[Planilla],B$1),INDEX(Insumos_a_comprar[Insumo],_xlfn.AGGREGATE(15,6,(Insumos_a_comprar[Planilla]=B$1)/(Insumos_a_comprar[Planilla]=B$1)*ROW(Insumos_a_comprar[Planilla])-ROW(Insumos_a_comprar[[#Headers],[Planilla]]),ROWS('Insumos a comprar'!$B$5:B82))),"")</f>
        <v/>
      </c>
      <c r="C80" s="29" t="str">
        <f>IF(ROWS('Insumos a comprar'!$B$5:E82)&lt;=COUNTIF(Insumos_a_comprar[Planilla],C$1),INDEX(Insumos_a_comprar[Insumo],_xlfn.AGGREGATE(15,6,(Insumos_a_comprar[Planilla]=C$1)/(Insumos_a_comprar[Planilla]=C$1)*ROW(Insumos_a_comprar[Planilla])-ROW(Insumos_a_comprar[[#Headers],[Planilla]]),ROWS('Insumos a comprar'!$B$5:E82))),"")</f>
        <v/>
      </c>
      <c r="D80" s="29" t="str">
        <f>IF(ROWS('Insumos a comprar'!$B$5:F82)&lt;=COUNTIF(Insumos_a_comprar[Planilla],D$1),INDEX(Insumos_a_comprar[Insumo],_xlfn.AGGREGATE(15,6,(Insumos_a_comprar[Planilla]=D$1)/(Insumos_a_comprar[Planilla]=D$1)*ROW(Insumos_a_comprar[Planilla])-ROW(Insumos_a_comprar[[#Headers],[Planilla]]),ROWS('Insumos a comprar'!$B$5:F82))),"")</f>
        <v/>
      </c>
      <c r="E80" s="29" t="str">
        <f>IF(ROWS('Insumos a comprar'!$B$5:G82)&lt;=COUNTIF(Insumos_a_comprar[Planilla],E$1),INDEX(Insumos_a_comprar[Insumo],_xlfn.AGGREGATE(15,6,(Insumos_a_comprar[Planilla]=E$1)/(Insumos_a_comprar[Planilla]=E$1)*ROW(Insumos_a_comprar[Planilla])-ROW(Insumos_a_comprar[[#Headers],[Planilla]]),ROWS('Insumos a comprar'!$B$5:G82))),"")</f>
        <v/>
      </c>
      <c r="F80" s="29" t="str">
        <f>IF(ROWS('Insumos a comprar'!$B$5:H82)&lt;=COUNTIF(Insumos_a_comprar[Planilla],F$1),INDEX(Insumos_a_comprar[Insumo],_xlfn.AGGREGATE(15,6,(Insumos_a_comprar[Planilla]=F$1)/(Insumos_a_comprar[Planilla]=F$1)*ROW(Insumos_a_comprar[Planilla])-ROW(Insumos_a_comprar[[#Headers],[Planilla]]),ROWS('Insumos a comprar'!$B$5:H82))),"")</f>
        <v/>
      </c>
      <c r="G80" s="29" t="str">
        <f>IF(ROWS('Insumos a comprar'!$B$5:I82)&lt;=COUNTIF(Insumos_a_comprar[Planilla],G$1),INDEX(Insumos_a_comprar[Insumo],_xlfn.AGGREGATE(15,6,(Insumos_a_comprar[Planilla]=G$1)/(Insumos_a_comprar[Planilla]=G$1)*ROW(Insumos_a_comprar[Planilla])-ROW(Insumos_a_comprar[[#Headers],[Planilla]]),ROWS('Insumos a comprar'!$B$5:I82))),"")</f>
        <v/>
      </c>
      <c r="H80" s="29" t="str">
        <f>IF(ROWS('Insumos a comprar'!$B$5:I82)&lt;=COUNTIF(Insumos_a_comprar[Planilla],H$1),INDEX(Insumos_a_comprar[Insumo],_xlfn.AGGREGATE(15,6,(Insumos_a_comprar[Planilla]=H$1)/(Insumos_a_comprar[Planilla]=H$1)*ROW(Insumos_a_comprar[Planilla])-ROW(Insumos_a_comprar[[#Headers],[Planilla]]),ROWS('Insumos a comprar'!$B$5:I82))),"")</f>
        <v>Pipetas Aforados 5</v>
      </c>
      <c r="I80" s="29" t="str">
        <f>IF(ROWS('Insumos a comprar'!$B$5:I82)&lt;=COUNTIF(Insumos_a_comprar[Planilla],I$1),INDEX(Insumos_a_comprar[Insumo],_xlfn.AGGREGATE(15,6,(Insumos_a_comprar[Planilla]=I$1)/(Insumos_a_comprar[Planilla]=I$1)*ROW(Insumos_a_comprar[Planilla])-ROW(Insumos_a_comprar[[#Headers],[Planilla]]),ROWS('Insumos a comprar'!$B$5:I82))),"")</f>
        <v/>
      </c>
      <c r="J80" s="29" t="str">
        <f>IF(ROWS('Insumos a comprar'!$B$5:I82)&lt;=COUNTIF(Insumos_a_comprar[Planilla],J$1),INDEX(Insumos_a_comprar[Insumo],_xlfn.AGGREGATE(15,6,(Insumos_a_comprar[Planilla]=J$1)/(Insumos_a_comprar[Planilla]=J$1)*ROW(Insumos_a_comprar[Planilla])-ROW(Insumos_a_comprar[[#Headers],[Planilla]]),ROWS('Insumos a comprar'!$B$5:I82))),"")</f>
        <v/>
      </c>
      <c r="K80" s="29" t="str">
        <f>IF(ROWS('Insumos a comprar'!$B$5:I82)&lt;=COUNTIF(Insumos_a_comprar[Planilla],K$1),INDEX(Insumos_a_comprar[Insumo],_xlfn.AGGREGATE(15,6,(Insumos_a_comprar[Planilla]=K$1)/(Insumos_a_comprar[Planilla]=K$1)*ROW(Insumos_a_comprar[Planilla])-ROW(Insumos_a_comprar[[#Headers],[Planilla]]),ROWS('Insumos a comprar'!$B$5:I82))),"")</f>
        <v/>
      </c>
      <c r="L80" s="29" t="str">
        <f>IF(ROWS('Insumos a comprar'!$B$5:I82)&lt;=COUNTIF(Insumos_a_comprar[Planilla],L$1),INDEX(Insumos_a_comprar[Insumo],_xlfn.AGGREGATE(15,6,(Insumos_a_comprar[Planilla]=L$1)/(Insumos_a_comprar[Planilla]=L$1)*ROW(Insumos_a_comprar[Planilla])-ROW(Insumos_a_comprar[[#Headers],[Planilla]]),ROWS('Insumos a comprar'!$B$5:I82))),"")</f>
        <v/>
      </c>
      <c r="M80" s="29"/>
      <c r="N80" s="29"/>
      <c r="O80" s="29"/>
      <c r="P80" s="29"/>
      <c r="Q80" s="29"/>
    </row>
    <row r="81" spans="1:17" ht="15.75" x14ac:dyDescent="0.25">
      <c r="A81" s="29" t="str">
        <f>IF(ROWS('Insumos a comprar'!$B$5:B83)&lt;=COUNTIF(Insumos_a_comprar[Planilla],A$1),INDEX(Insumos_a_comprar[Insumo],_xlfn.AGGREGATE(15,6,(Insumos_a_comprar[Planilla]=A$1)/(Insumos_a_comprar[Planilla]=A$1)*ROW(Insumos_a_comprar[Planilla])-ROW(Insumos_a_comprar[[#Headers],[Planilla]]),ROWS('Insumos a comprar'!$B$5:B83))),"")</f>
        <v/>
      </c>
      <c r="B81" s="29" t="str">
        <f>IF(ROWS('Insumos a comprar'!$B$5:B83)&lt;=COUNTIF(Insumos_a_comprar[Planilla],B$1),INDEX(Insumos_a_comprar[Insumo],_xlfn.AGGREGATE(15,6,(Insumos_a_comprar[Planilla]=B$1)/(Insumos_a_comprar[Planilla]=B$1)*ROW(Insumos_a_comprar[Planilla])-ROW(Insumos_a_comprar[[#Headers],[Planilla]]),ROWS('Insumos a comprar'!$B$5:B83))),"")</f>
        <v/>
      </c>
      <c r="C81" s="29" t="str">
        <f>IF(ROWS('Insumos a comprar'!$B$5:E83)&lt;=COUNTIF(Insumos_a_comprar[Planilla],C$1),INDEX(Insumos_a_comprar[Insumo],_xlfn.AGGREGATE(15,6,(Insumos_a_comprar[Planilla]=C$1)/(Insumos_a_comprar[Planilla]=C$1)*ROW(Insumos_a_comprar[Planilla])-ROW(Insumos_a_comprar[[#Headers],[Planilla]]),ROWS('Insumos a comprar'!$B$5:E83))),"")</f>
        <v/>
      </c>
      <c r="D81" s="29" t="str">
        <f>IF(ROWS('Insumos a comprar'!$B$5:F83)&lt;=COUNTIF(Insumos_a_comprar[Planilla],D$1),INDEX(Insumos_a_comprar[Insumo],_xlfn.AGGREGATE(15,6,(Insumos_a_comprar[Planilla]=D$1)/(Insumos_a_comprar[Planilla]=D$1)*ROW(Insumos_a_comprar[Planilla])-ROW(Insumos_a_comprar[[#Headers],[Planilla]]),ROWS('Insumos a comprar'!$B$5:F83))),"")</f>
        <v/>
      </c>
      <c r="E81" s="29" t="str">
        <f>IF(ROWS('Insumos a comprar'!$B$5:G83)&lt;=COUNTIF(Insumos_a_comprar[Planilla],E$1),INDEX(Insumos_a_comprar[Insumo],_xlfn.AGGREGATE(15,6,(Insumos_a_comprar[Planilla]=E$1)/(Insumos_a_comprar[Planilla]=E$1)*ROW(Insumos_a_comprar[Planilla])-ROW(Insumos_a_comprar[[#Headers],[Planilla]]),ROWS('Insumos a comprar'!$B$5:G83))),"")</f>
        <v/>
      </c>
      <c r="F81" s="29" t="str">
        <f>IF(ROWS('Insumos a comprar'!$B$5:H83)&lt;=COUNTIF(Insumos_a_comprar[Planilla],F$1),INDEX(Insumos_a_comprar[Insumo],_xlfn.AGGREGATE(15,6,(Insumos_a_comprar[Planilla]=F$1)/(Insumos_a_comprar[Planilla]=F$1)*ROW(Insumos_a_comprar[Planilla])-ROW(Insumos_a_comprar[[#Headers],[Planilla]]),ROWS('Insumos a comprar'!$B$5:H83))),"")</f>
        <v/>
      </c>
      <c r="G81" s="29" t="str">
        <f>IF(ROWS('Insumos a comprar'!$B$5:I83)&lt;=COUNTIF(Insumos_a_comprar[Planilla],G$1),INDEX(Insumos_a_comprar[Insumo],_xlfn.AGGREGATE(15,6,(Insumos_a_comprar[Planilla]=G$1)/(Insumos_a_comprar[Planilla]=G$1)*ROW(Insumos_a_comprar[Planilla])-ROW(Insumos_a_comprar[[#Headers],[Planilla]]),ROWS('Insumos a comprar'!$B$5:I83))),"")</f>
        <v/>
      </c>
      <c r="H81" s="29" t="str">
        <f>IF(ROWS('Insumos a comprar'!$B$5:I83)&lt;=COUNTIF(Insumos_a_comprar[Planilla],H$1),INDEX(Insumos_a_comprar[Insumo],_xlfn.AGGREGATE(15,6,(Insumos_a_comprar[Planilla]=H$1)/(Insumos_a_comprar[Planilla]=H$1)*ROW(Insumos_a_comprar[Planilla])-ROW(Insumos_a_comprar[[#Headers],[Planilla]]),ROWS('Insumos a comprar'!$B$5:I83))),"")</f>
        <v>Pipetas Aforados 50</v>
      </c>
      <c r="I81" s="29" t="str">
        <f>IF(ROWS('Insumos a comprar'!$B$5:I83)&lt;=COUNTIF(Insumos_a_comprar[Planilla],I$1),INDEX(Insumos_a_comprar[Insumo],_xlfn.AGGREGATE(15,6,(Insumos_a_comprar[Planilla]=I$1)/(Insumos_a_comprar[Planilla]=I$1)*ROW(Insumos_a_comprar[Planilla])-ROW(Insumos_a_comprar[[#Headers],[Planilla]]),ROWS('Insumos a comprar'!$B$5:I83))),"")</f>
        <v/>
      </c>
      <c r="J81" s="29" t="str">
        <f>IF(ROWS('Insumos a comprar'!$B$5:I83)&lt;=COUNTIF(Insumos_a_comprar[Planilla],J$1),INDEX(Insumos_a_comprar[Insumo],_xlfn.AGGREGATE(15,6,(Insumos_a_comprar[Planilla]=J$1)/(Insumos_a_comprar[Planilla]=J$1)*ROW(Insumos_a_comprar[Planilla])-ROW(Insumos_a_comprar[[#Headers],[Planilla]]),ROWS('Insumos a comprar'!$B$5:I83))),"")</f>
        <v/>
      </c>
      <c r="K81" s="29" t="str">
        <f>IF(ROWS('Insumos a comprar'!$B$5:I83)&lt;=COUNTIF(Insumos_a_comprar[Planilla],K$1),INDEX(Insumos_a_comprar[Insumo],_xlfn.AGGREGATE(15,6,(Insumos_a_comprar[Planilla]=K$1)/(Insumos_a_comprar[Planilla]=K$1)*ROW(Insumos_a_comprar[Planilla])-ROW(Insumos_a_comprar[[#Headers],[Planilla]]),ROWS('Insumos a comprar'!$B$5:I83))),"")</f>
        <v/>
      </c>
      <c r="L81" s="29" t="str">
        <f>IF(ROWS('Insumos a comprar'!$B$5:I83)&lt;=COUNTIF(Insumos_a_comprar[Planilla],L$1),INDEX(Insumos_a_comprar[Insumo],_xlfn.AGGREGATE(15,6,(Insumos_a_comprar[Planilla]=L$1)/(Insumos_a_comprar[Planilla]=L$1)*ROW(Insumos_a_comprar[Planilla])-ROW(Insumos_a_comprar[[#Headers],[Planilla]]),ROWS('Insumos a comprar'!$B$5:I83))),"")</f>
        <v/>
      </c>
      <c r="M81" s="29"/>
      <c r="N81" s="29"/>
      <c r="O81" s="29"/>
      <c r="P81" s="29"/>
      <c r="Q81" s="29"/>
    </row>
    <row r="82" spans="1:17" ht="15.75" x14ac:dyDescent="0.25">
      <c r="A82" s="29" t="str">
        <f>IF(ROWS('Insumos a comprar'!$B$5:B84)&lt;=COUNTIF(Insumos_a_comprar[Planilla],A$1),INDEX(Insumos_a_comprar[Insumo],_xlfn.AGGREGATE(15,6,(Insumos_a_comprar[Planilla]=A$1)/(Insumos_a_comprar[Planilla]=A$1)*ROW(Insumos_a_comprar[Planilla])-ROW(Insumos_a_comprar[[#Headers],[Planilla]]),ROWS('Insumos a comprar'!$B$5:B84))),"")</f>
        <v/>
      </c>
      <c r="B82" s="29" t="str">
        <f>IF(ROWS('Insumos a comprar'!$B$5:B84)&lt;=COUNTIF(Insumos_a_comprar[Planilla],B$1),INDEX(Insumos_a_comprar[Insumo],_xlfn.AGGREGATE(15,6,(Insumos_a_comprar[Planilla]=B$1)/(Insumos_a_comprar[Planilla]=B$1)*ROW(Insumos_a_comprar[Planilla])-ROW(Insumos_a_comprar[[#Headers],[Planilla]]),ROWS('Insumos a comprar'!$B$5:B84))),"")</f>
        <v/>
      </c>
      <c r="C82" s="29" t="str">
        <f>IF(ROWS('Insumos a comprar'!$B$5:E84)&lt;=COUNTIF(Insumos_a_comprar[Planilla],C$1),INDEX(Insumos_a_comprar[Insumo],_xlfn.AGGREGATE(15,6,(Insumos_a_comprar[Planilla]=C$1)/(Insumos_a_comprar[Planilla]=C$1)*ROW(Insumos_a_comprar[Planilla])-ROW(Insumos_a_comprar[[#Headers],[Planilla]]),ROWS('Insumos a comprar'!$B$5:E84))),"")</f>
        <v/>
      </c>
      <c r="D82" s="29" t="str">
        <f>IF(ROWS('Insumos a comprar'!$B$5:F84)&lt;=COUNTIF(Insumos_a_comprar[Planilla],D$1),INDEX(Insumos_a_comprar[Insumo],_xlfn.AGGREGATE(15,6,(Insumos_a_comprar[Planilla]=D$1)/(Insumos_a_comprar[Planilla]=D$1)*ROW(Insumos_a_comprar[Planilla])-ROW(Insumos_a_comprar[[#Headers],[Planilla]]),ROWS('Insumos a comprar'!$B$5:F84))),"")</f>
        <v/>
      </c>
      <c r="E82" s="29" t="str">
        <f>IF(ROWS('Insumos a comprar'!$B$5:G84)&lt;=COUNTIF(Insumos_a_comprar[Planilla],E$1),INDEX(Insumos_a_comprar[Insumo],_xlfn.AGGREGATE(15,6,(Insumos_a_comprar[Planilla]=E$1)/(Insumos_a_comprar[Planilla]=E$1)*ROW(Insumos_a_comprar[Planilla])-ROW(Insumos_a_comprar[[#Headers],[Planilla]]),ROWS('Insumos a comprar'!$B$5:G84))),"")</f>
        <v/>
      </c>
      <c r="F82" s="29" t="str">
        <f>IF(ROWS('Insumos a comprar'!$B$5:H84)&lt;=COUNTIF(Insumos_a_comprar[Planilla],F$1),INDEX(Insumos_a_comprar[Insumo],_xlfn.AGGREGATE(15,6,(Insumos_a_comprar[Planilla]=F$1)/(Insumos_a_comprar[Planilla]=F$1)*ROW(Insumos_a_comprar[Planilla])-ROW(Insumos_a_comprar[[#Headers],[Planilla]]),ROWS('Insumos a comprar'!$B$5:H84))),"")</f>
        <v/>
      </c>
      <c r="G82" s="29" t="str">
        <f>IF(ROWS('Insumos a comprar'!$B$5:I84)&lt;=COUNTIF(Insumos_a_comprar[Planilla],G$1),INDEX(Insumos_a_comprar[Insumo],_xlfn.AGGREGATE(15,6,(Insumos_a_comprar[Planilla]=G$1)/(Insumos_a_comprar[Planilla]=G$1)*ROW(Insumos_a_comprar[Planilla])-ROW(Insumos_a_comprar[[#Headers],[Planilla]]),ROWS('Insumos a comprar'!$B$5:I84))),"")</f>
        <v/>
      </c>
      <c r="H82" s="29" t="str">
        <f>IF(ROWS('Insumos a comprar'!$B$5:I84)&lt;=COUNTIF(Insumos_a_comprar[Planilla],H$1),INDEX(Insumos_a_comprar[Insumo],_xlfn.AGGREGATE(15,6,(Insumos_a_comprar[Planilla]=H$1)/(Insumos_a_comprar[Planilla]=H$1)*ROW(Insumos_a_comprar[Planilla])-ROW(Insumos_a_comprar[[#Headers],[Planilla]]),ROWS('Insumos a comprar'!$B$5:I84))),"")</f>
        <v>Pipetas Graduados 0,1</v>
      </c>
      <c r="I82" s="29" t="str">
        <f>IF(ROWS('Insumos a comprar'!$B$5:I84)&lt;=COUNTIF(Insumos_a_comprar[Planilla],I$1),INDEX(Insumos_a_comprar[Insumo],_xlfn.AGGREGATE(15,6,(Insumos_a_comprar[Planilla]=I$1)/(Insumos_a_comprar[Planilla]=I$1)*ROW(Insumos_a_comprar[Planilla])-ROW(Insumos_a_comprar[[#Headers],[Planilla]]),ROWS('Insumos a comprar'!$B$5:I84))),"")</f>
        <v/>
      </c>
      <c r="J82" s="29" t="str">
        <f>IF(ROWS('Insumos a comprar'!$B$5:I84)&lt;=COUNTIF(Insumos_a_comprar[Planilla],J$1),INDEX(Insumos_a_comprar[Insumo],_xlfn.AGGREGATE(15,6,(Insumos_a_comprar[Planilla]=J$1)/(Insumos_a_comprar[Planilla]=J$1)*ROW(Insumos_a_comprar[Planilla])-ROW(Insumos_a_comprar[[#Headers],[Planilla]]),ROWS('Insumos a comprar'!$B$5:I84))),"")</f>
        <v/>
      </c>
      <c r="K82" s="29" t="str">
        <f>IF(ROWS('Insumos a comprar'!$B$5:I84)&lt;=COUNTIF(Insumos_a_comprar[Planilla],K$1),INDEX(Insumos_a_comprar[Insumo],_xlfn.AGGREGATE(15,6,(Insumos_a_comprar[Planilla]=K$1)/(Insumos_a_comprar[Planilla]=K$1)*ROW(Insumos_a_comprar[Planilla])-ROW(Insumos_a_comprar[[#Headers],[Planilla]]),ROWS('Insumos a comprar'!$B$5:I84))),"")</f>
        <v/>
      </c>
      <c r="L82" s="29" t="str">
        <f>IF(ROWS('Insumos a comprar'!$B$5:I84)&lt;=COUNTIF(Insumos_a_comprar[Planilla],L$1),INDEX(Insumos_a_comprar[Insumo],_xlfn.AGGREGATE(15,6,(Insumos_a_comprar[Planilla]=L$1)/(Insumos_a_comprar[Planilla]=L$1)*ROW(Insumos_a_comprar[Planilla])-ROW(Insumos_a_comprar[[#Headers],[Planilla]]),ROWS('Insumos a comprar'!$B$5:I84))),"")</f>
        <v/>
      </c>
      <c r="M82" s="29"/>
      <c r="N82" s="29"/>
      <c r="O82" s="29"/>
      <c r="P82" s="29"/>
      <c r="Q82" s="29"/>
    </row>
    <row r="83" spans="1:17" ht="15.75" x14ac:dyDescent="0.25">
      <c r="A83" s="29" t="str">
        <f>IF(ROWS('Insumos a comprar'!$B$5:B85)&lt;=COUNTIF(Insumos_a_comprar[Planilla],A$1),INDEX(Insumos_a_comprar[Insumo],_xlfn.AGGREGATE(15,6,(Insumos_a_comprar[Planilla]=A$1)/(Insumos_a_comprar[Planilla]=A$1)*ROW(Insumos_a_comprar[Planilla])-ROW(Insumos_a_comprar[[#Headers],[Planilla]]),ROWS('Insumos a comprar'!$B$5:B85))),"")</f>
        <v/>
      </c>
      <c r="B83" s="29" t="str">
        <f>IF(ROWS('Insumos a comprar'!$B$5:B85)&lt;=COUNTIF(Insumos_a_comprar[Planilla],B$1),INDEX(Insumos_a_comprar[Insumo],_xlfn.AGGREGATE(15,6,(Insumos_a_comprar[Planilla]=B$1)/(Insumos_a_comprar[Planilla]=B$1)*ROW(Insumos_a_comprar[Planilla])-ROW(Insumos_a_comprar[[#Headers],[Planilla]]),ROWS('Insumos a comprar'!$B$5:B85))),"")</f>
        <v/>
      </c>
      <c r="C83" s="29" t="str">
        <f>IF(ROWS('Insumos a comprar'!$B$5:E85)&lt;=COUNTIF(Insumos_a_comprar[Planilla],C$1),INDEX(Insumos_a_comprar[Insumo],_xlfn.AGGREGATE(15,6,(Insumos_a_comprar[Planilla]=C$1)/(Insumos_a_comprar[Planilla]=C$1)*ROW(Insumos_a_comprar[Planilla])-ROW(Insumos_a_comprar[[#Headers],[Planilla]]),ROWS('Insumos a comprar'!$B$5:E85))),"")</f>
        <v/>
      </c>
      <c r="D83" s="29" t="str">
        <f>IF(ROWS('Insumos a comprar'!$B$5:F85)&lt;=COUNTIF(Insumos_a_comprar[Planilla],D$1),INDEX(Insumos_a_comprar[Insumo],_xlfn.AGGREGATE(15,6,(Insumos_a_comprar[Planilla]=D$1)/(Insumos_a_comprar[Planilla]=D$1)*ROW(Insumos_a_comprar[Planilla])-ROW(Insumos_a_comprar[[#Headers],[Planilla]]),ROWS('Insumos a comprar'!$B$5:F85))),"")</f>
        <v/>
      </c>
      <c r="E83" s="29" t="str">
        <f>IF(ROWS('Insumos a comprar'!$B$5:G85)&lt;=COUNTIF(Insumos_a_comprar[Planilla],E$1),INDEX(Insumos_a_comprar[Insumo],_xlfn.AGGREGATE(15,6,(Insumos_a_comprar[Planilla]=E$1)/(Insumos_a_comprar[Planilla]=E$1)*ROW(Insumos_a_comprar[Planilla])-ROW(Insumos_a_comprar[[#Headers],[Planilla]]),ROWS('Insumos a comprar'!$B$5:G85))),"")</f>
        <v/>
      </c>
      <c r="F83" s="29" t="str">
        <f>IF(ROWS('Insumos a comprar'!$B$5:H85)&lt;=COUNTIF(Insumos_a_comprar[Planilla],F$1),INDEX(Insumos_a_comprar[Insumo],_xlfn.AGGREGATE(15,6,(Insumos_a_comprar[Planilla]=F$1)/(Insumos_a_comprar[Planilla]=F$1)*ROW(Insumos_a_comprar[Planilla])-ROW(Insumos_a_comprar[[#Headers],[Planilla]]),ROWS('Insumos a comprar'!$B$5:H85))),"")</f>
        <v/>
      </c>
      <c r="G83" s="29" t="str">
        <f>IF(ROWS('Insumos a comprar'!$B$5:I85)&lt;=COUNTIF(Insumos_a_comprar[Planilla],G$1),INDEX(Insumos_a_comprar[Insumo],_xlfn.AGGREGATE(15,6,(Insumos_a_comprar[Planilla]=G$1)/(Insumos_a_comprar[Planilla]=G$1)*ROW(Insumos_a_comprar[Planilla])-ROW(Insumos_a_comprar[[#Headers],[Planilla]]),ROWS('Insumos a comprar'!$B$5:I85))),"")</f>
        <v/>
      </c>
      <c r="H83" s="29" t="str">
        <f>IF(ROWS('Insumos a comprar'!$B$5:I85)&lt;=COUNTIF(Insumos_a_comprar[Planilla],H$1),INDEX(Insumos_a_comprar[Insumo],_xlfn.AGGREGATE(15,6,(Insumos_a_comprar[Planilla]=H$1)/(Insumos_a_comprar[Planilla]=H$1)*ROW(Insumos_a_comprar[Planilla])-ROW(Insumos_a_comprar[[#Headers],[Planilla]]),ROWS('Insumos a comprar'!$B$5:I85))),"")</f>
        <v>Pipetas Graduados 0,2</v>
      </c>
      <c r="I83" s="29" t="str">
        <f>IF(ROWS('Insumos a comprar'!$B$5:I85)&lt;=COUNTIF(Insumos_a_comprar[Planilla],I$1),INDEX(Insumos_a_comprar[Insumo],_xlfn.AGGREGATE(15,6,(Insumos_a_comprar[Planilla]=I$1)/(Insumos_a_comprar[Planilla]=I$1)*ROW(Insumos_a_comprar[Planilla])-ROW(Insumos_a_comprar[[#Headers],[Planilla]]),ROWS('Insumos a comprar'!$B$5:I85))),"")</f>
        <v/>
      </c>
      <c r="J83" s="29" t="str">
        <f>IF(ROWS('Insumos a comprar'!$B$5:I85)&lt;=COUNTIF(Insumos_a_comprar[Planilla],J$1),INDEX(Insumos_a_comprar[Insumo],_xlfn.AGGREGATE(15,6,(Insumos_a_comprar[Planilla]=J$1)/(Insumos_a_comprar[Planilla]=J$1)*ROW(Insumos_a_comprar[Planilla])-ROW(Insumos_a_comprar[[#Headers],[Planilla]]),ROWS('Insumos a comprar'!$B$5:I85))),"")</f>
        <v/>
      </c>
      <c r="K83" s="29" t="str">
        <f>IF(ROWS('Insumos a comprar'!$B$5:I85)&lt;=COUNTIF(Insumos_a_comprar[Planilla],K$1),INDEX(Insumos_a_comprar[Insumo],_xlfn.AGGREGATE(15,6,(Insumos_a_comprar[Planilla]=K$1)/(Insumos_a_comprar[Planilla]=K$1)*ROW(Insumos_a_comprar[Planilla])-ROW(Insumos_a_comprar[[#Headers],[Planilla]]),ROWS('Insumos a comprar'!$B$5:I85))),"")</f>
        <v/>
      </c>
      <c r="L83" s="29" t="str">
        <f>IF(ROWS('Insumos a comprar'!$B$5:I85)&lt;=COUNTIF(Insumos_a_comprar[Planilla],L$1),INDEX(Insumos_a_comprar[Insumo],_xlfn.AGGREGATE(15,6,(Insumos_a_comprar[Planilla]=L$1)/(Insumos_a_comprar[Planilla]=L$1)*ROW(Insumos_a_comprar[Planilla])-ROW(Insumos_a_comprar[[#Headers],[Planilla]]),ROWS('Insumos a comprar'!$B$5:I85))),"")</f>
        <v/>
      </c>
      <c r="M83" s="29"/>
      <c r="N83" s="29"/>
      <c r="O83" s="29"/>
      <c r="P83" s="29"/>
      <c r="Q83" s="29"/>
    </row>
    <row r="84" spans="1:17" ht="15.75" x14ac:dyDescent="0.25">
      <c r="A84" s="29" t="str">
        <f>IF(ROWS('Insumos a comprar'!$B$5:B86)&lt;=COUNTIF(Insumos_a_comprar[Planilla],A$1),INDEX(Insumos_a_comprar[Insumo],_xlfn.AGGREGATE(15,6,(Insumos_a_comprar[Planilla]=A$1)/(Insumos_a_comprar[Planilla]=A$1)*ROW(Insumos_a_comprar[Planilla])-ROW(Insumos_a_comprar[[#Headers],[Planilla]]),ROWS('Insumos a comprar'!$B$5:B86))),"")</f>
        <v/>
      </c>
      <c r="B84" s="29" t="str">
        <f>IF(ROWS('Insumos a comprar'!$B$5:B86)&lt;=COUNTIF(Insumos_a_comprar[Planilla],B$1),INDEX(Insumos_a_comprar[Insumo],_xlfn.AGGREGATE(15,6,(Insumos_a_comprar[Planilla]=B$1)/(Insumos_a_comprar[Planilla]=B$1)*ROW(Insumos_a_comprar[Planilla])-ROW(Insumos_a_comprar[[#Headers],[Planilla]]),ROWS('Insumos a comprar'!$B$5:B86))),"")</f>
        <v/>
      </c>
      <c r="C84" s="29" t="str">
        <f>IF(ROWS('Insumos a comprar'!$B$5:E86)&lt;=COUNTIF(Insumos_a_comprar[Planilla],C$1),INDEX(Insumos_a_comprar[Insumo],_xlfn.AGGREGATE(15,6,(Insumos_a_comprar[Planilla]=C$1)/(Insumos_a_comprar[Planilla]=C$1)*ROW(Insumos_a_comprar[Planilla])-ROW(Insumos_a_comprar[[#Headers],[Planilla]]),ROWS('Insumos a comprar'!$B$5:E86))),"")</f>
        <v/>
      </c>
      <c r="D84" s="29" t="str">
        <f>IF(ROWS('Insumos a comprar'!$B$5:F86)&lt;=COUNTIF(Insumos_a_comprar[Planilla],D$1),INDEX(Insumos_a_comprar[Insumo],_xlfn.AGGREGATE(15,6,(Insumos_a_comprar[Planilla]=D$1)/(Insumos_a_comprar[Planilla]=D$1)*ROW(Insumos_a_comprar[Planilla])-ROW(Insumos_a_comprar[[#Headers],[Planilla]]),ROWS('Insumos a comprar'!$B$5:F86))),"")</f>
        <v/>
      </c>
      <c r="E84" s="29" t="str">
        <f>IF(ROWS('Insumos a comprar'!$B$5:G86)&lt;=COUNTIF(Insumos_a_comprar[Planilla],E$1),INDEX(Insumos_a_comprar[Insumo],_xlfn.AGGREGATE(15,6,(Insumos_a_comprar[Planilla]=E$1)/(Insumos_a_comprar[Planilla]=E$1)*ROW(Insumos_a_comprar[Planilla])-ROW(Insumos_a_comprar[[#Headers],[Planilla]]),ROWS('Insumos a comprar'!$B$5:G86))),"")</f>
        <v/>
      </c>
      <c r="F84" s="29" t="str">
        <f>IF(ROWS('Insumos a comprar'!$B$5:H86)&lt;=COUNTIF(Insumos_a_comprar[Planilla],F$1),INDEX(Insumos_a_comprar[Insumo],_xlfn.AGGREGATE(15,6,(Insumos_a_comprar[Planilla]=F$1)/(Insumos_a_comprar[Planilla]=F$1)*ROW(Insumos_a_comprar[Planilla])-ROW(Insumos_a_comprar[[#Headers],[Planilla]]),ROWS('Insumos a comprar'!$B$5:H86))),"")</f>
        <v/>
      </c>
      <c r="G84" s="29" t="str">
        <f>IF(ROWS('Insumos a comprar'!$B$5:I86)&lt;=COUNTIF(Insumos_a_comprar[Planilla],G$1),INDEX(Insumos_a_comprar[Insumo],_xlfn.AGGREGATE(15,6,(Insumos_a_comprar[Planilla]=G$1)/(Insumos_a_comprar[Planilla]=G$1)*ROW(Insumos_a_comprar[Planilla])-ROW(Insumos_a_comprar[[#Headers],[Planilla]]),ROWS('Insumos a comprar'!$B$5:I86))),"")</f>
        <v/>
      </c>
      <c r="H84" s="29" t="str">
        <f>IF(ROWS('Insumos a comprar'!$B$5:I86)&lt;=COUNTIF(Insumos_a_comprar[Planilla],H$1),INDEX(Insumos_a_comprar[Insumo],_xlfn.AGGREGATE(15,6,(Insumos_a_comprar[Planilla]=H$1)/(Insumos_a_comprar[Planilla]=H$1)*ROW(Insumos_a_comprar[Planilla])-ROW(Insumos_a_comprar[[#Headers],[Planilla]]),ROWS('Insumos a comprar'!$B$5:I86))),"")</f>
        <v>Pipetas Graduados 0,5</v>
      </c>
      <c r="I84" s="29" t="str">
        <f>IF(ROWS('Insumos a comprar'!$B$5:I86)&lt;=COUNTIF(Insumos_a_comprar[Planilla],I$1),INDEX(Insumos_a_comprar[Insumo],_xlfn.AGGREGATE(15,6,(Insumos_a_comprar[Planilla]=I$1)/(Insumos_a_comprar[Planilla]=I$1)*ROW(Insumos_a_comprar[Planilla])-ROW(Insumos_a_comprar[[#Headers],[Planilla]]),ROWS('Insumos a comprar'!$B$5:I86))),"")</f>
        <v/>
      </c>
      <c r="J84" s="29" t="str">
        <f>IF(ROWS('Insumos a comprar'!$B$5:I86)&lt;=COUNTIF(Insumos_a_comprar[Planilla],J$1),INDEX(Insumos_a_comprar[Insumo],_xlfn.AGGREGATE(15,6,(Insumos_a_comprar[Planilla]=J$1)/(Insumos_a_comprar[Planilla]=J$1)*ROW(Insumos_a_comprar[Planilla])-ROW(Insumos_a_comprar[[#Headers],[Planilla]]),ROWS('Insumos a comprar'!$B$5:I86))),"")</f>
        <v/>
      </c>
      <c r="K84" s="29" t="str">
        <f>IF(ROWS('Insumos a comprar'!$B$5:I86)&lt;=COUNTIF(Insumos_a_comprar[Planilla],K$1),INDEX(Insumos_a_comprar[Insumo],_xlfn.AGGREGATE(15,6,(Insumos_a_comprar[Planilla]=K$1)/(Insumos_a_comprar[Planilla]=K$1)*ROW(Insumos_a_comprar[Planilla])-ROW(Insumos_a_comprar[[#Headers],[Planilla]]),ROWS('Insumos a comprar'!$B$5:I86))),"")</f>
        <v/>
      </c>
      <c r="L84" s="29" t="str">
        <f>IF(ROWS('Insumos a comprar'!$B$5:I86)&lt;=COUNTIF(Insumos_a_comprar[Planilla],L$1),INDEX(Insumos_a_comprar[Insumo],_xlfn.AGGREGATE(15,6,(Insumos_a_comprar[Planilla]=L$1)/(Insumos_a_comprar[Planilla]=L$1)*ROW(Insumos_a_comprar[Planilla])-ROW(Insumos_a_comprar[[#Headers],[Planilla]]),ROWS('Insumos a comprar'!$B$5:I86))),"")</f>
        <v/>
      </c>
      <c r="M84" s="29"/>
      <c r="N84" s="29"/>
      <c r="O84" s="29"/>
      <c r="P84" s="29"/>
      <c r="Q84" s="29"/>
    </row>
    <row r="85" spans="1:17" ht="15.75" x14ac:dyDescent="0.25">
      <c r="A85" s="29" t="str">
        <f>IF(ROWS('Insumos a comprar'!$B$5:B87)&lt;=COUNTIF(Insumos_a_comprar[Planilla],A$1),INDEX(Insumos_a_comprar[Insumo],_xlfn.AGGREGATE(15,6,(Insumos_a_comprar[Planilla]=A$1)/(Insumos_a_comprar[Planilla]=A$1)*ROW(Insumos_a_comprar[Planilla])-ROW(Insumos_a_comprar[[#Headers],[Planilla]]),ROWS('Insumos a comprar'!$B$5:B87))),"")</f>
        <v/>
      </c>
      <c r="B85" s="29" t="str">
        <f>IF(ROWS('Insumos a comprar'!$B$5:B87)&lt;=COUNTIF(Insumos_a_comprar[Planilla],B$1),INDEX(Insumos_a_comprar[Insumo],_xlfn.AGGREGATE(15,6,(Insumos_a_comprar[Planilla]=B$1)/(Insumos_a_comprar[Planilla]=B$1)*ROW(Insumos_a_comprar[Planilla])-ROW(Insumos_a_comprar[[#Headers],[Planilla]]),ROWS('Insumos a comprar'!$B$5:B87))),"")</f>
        <v/>
      </c>
      <c r="C85" s="29" t="str">
        <f>IF(ROWS('Insumos a comprar'!$B$5:E87)&lt;=COUNTIF(Insumos_a_comprar[Planilla],C$1),INDEX(Insumos_a_comprar[Insumo],_xlfn.AGGREGATE(15,6,(Insumos_a_comprar[Planilla]=C$1)/(Insumos_a_comprar[Planilla]=C$1)*ROW(Insumos_a_comprar[Planilla])-ROW(Insumos_a_comprar[[#Headers],[Planilla]]),ROWS('Insumos a comprar'!$B$5:E87))),"")</f>
        <v/>
      </c>
      <c r="D85" s="29" t="str">
        <f>IF(ROWS('Insumos a comprar'!$B$5:F87)&lt;=COUNTIF(Insumos_a_comprar[Planilla],D$1),INDEX(Insumos_a_comprar[Insumo],_xlfn.AGGREGATE(15,6,(Insumos_a_comprar[Planilla]=D$1)/(Insumos_a_comprar[Planilla]=D$1)*ROW(Insumos_a_comprar[Planilla])-ROW(Insumos_a_comprar[[#Headers],[Planilla]]),ROWS('Insumos a comprar'!$B$5:F87))),"")</f>
        <v/>
      </c>
      <c r="E85" s="29" t="str">
        <f>IF(ROWS('Insumos a comprar'!$B$5:G87)&lt;=COUNTIF(Insumos_a_comprar[Planilla],E$1),INDEX(Insumos_a_comprar[Insumo],_xlfn.AGGREGATE(15,6,(Insumos_a_comprar[Planilla]=E$1)/(Insumos_a_comprar[Planilla]=E$1)*ROW(Insumos_a_comprar[Planilla])-ROW(Insumos_a_comprar[[#Headers],[Planilla]]),ROWS('Insumos a comprar'!$B$5:G87))),"")</f>
        <v/>
      </c>
      <c r="F85" s="29" t="str">
        <f>IF(ROWS('Insumos a comprar'!$B$5:H87)&lt;=COUNTIF(Insumos_a_comprar[Planilla],F$1),INDEX(Insumos_a_comprar[Insumo],_xlfn.AGGREGATE(15,6,(Insumos_a_comprar[Planilla]=F$1)/(Insumos_a_comprar[Planilla]=F$1)*ROW(Insumos_a_comprar[Planilla])-ROW(Insumos_a_comprar[[#Headers],[Planilla]]),ROWS('Insumos a comprar'!$B$5:H87))),"")</f>
        <v/>
      </c>
      <c r="G85" s="29" t="str">
        <f>IF(ROWS('Insumos a comprar'!$B$5:I87)&lt;=COUNTIF(Insumos_a_comprar[Planilla],G$1),INDEX(Insumos_a_comprar[Insumo],_xlfn.AGGREGATE(15,6,(Insumos_a_comprar[Planilla]=G$1)/(Insumos_a_comprar[Planilla]=G$1)*ROW(Insumos_a_comprar[Planilla])-ROW(Insumos_a_comprar[[#Headers],[Planilla]]),ROWS('Insumos a comprar'!$B$5:I87))),"")</f>
        <v/>
      </c>
      <c r="H85" s="29" t="str">
        <f>IF(ROWS('Insumos a comprar'!$B$5:I87)&lt;=COUNTIF(Insumos_a_comprar[Planilla],H$1),INDEX(Insumos_a_comprar[Insumo],_xlfn.AGGREGATE(15,6,(Insumos_a_comprar[Planilla]=H$1)/(Insumos_a_comprar[Planilla]=H$1)*ROW(Insumos_a_comprar[Planilla])-ROW(Insumos_a_comprar[[#Headers],[Planilla]]),ROWS('Insumos a comprar'!$B$5:I87))),"")</f>
        <v>Pipetas Graduados 1</v>
      </c>
      <c r="I85" s="29" t="str">
        <f>IF(ROWS('Insumos a comprar'!$B$5:I87)&lt;=COUNTIF(Insumos_a_comprar[Planilla],I$1),INDEX(Insumos_a_comprar[Insumo],_xlfn.AGGREGATE(15,6,(Insumos_a_comprar[Planilla]=I$1)/(Insumos_a_comprar[Planilla]=I$1)*ROW(Insumos_a_comprar[Planilla])-ROW(Insumos_a_comprar[[#Headers],[Planilla]]),ROWS('Insumos a comprar'!$B$5:I87))),"")</f>
        <v/>
      </c>
      <c r="J85" s="29" t="str">
        <f>IF(ROWS('Insumos a comprar'!$B$5:I87)&lt;=COUNTIF(Insumos_a_comprar[Planilla],J$1),INDEX(Insumos_a_comprar[Insumo],_xlfn.AGGREGATE(15,6,(Insumos_a_comprar[Planilla]=J$1)/(Insumos_a_comprar[Planilla]=J$1)*ROW(Insumos_a_comprar[Planilla])-ROW(Insumos_a_comprar[[#Headers],[Planilla]]),ROWS('Insumos a comprar'!$B$5:I87))),"")</f>
        <v/>
      </c>
      <c r="K85" s="29" t="str">
        <f>IF(ROWS('Insumos a comprar'!$B$5:I87)&lt;=COUNTIF(Insumos_a_comprar[Planilla],K$1),INDEX(Insumos_a_comprar[Insumo],_xlfn.AGGREGATE(15,6,(Insumos_a_comprar[Planilla]=K$1)/(Insumos_a_comprar[Planilla]=K$1)*ROW(Insumos_a_comprar[Planilla])-ROW(Insumos_a_comprar[[#Headers],[Planilla]]),ROWS('Insumos a comprar'!$B$5:I87))),"")</f>
        <v/>
      </c>
      <c r="L85" s="29" t="str">
        <f>IF(ROWS('Insumos a comprar'!$B$5:I87)&lt;=COUNTIF(Insumos_a_comprar[Planilla],L$1),INDEX(Insumos_a_comprar[Insumo],_xlfn.AGGREGATE(15,6,(Insumos_a_comprar[Planilla]=L$1)/(Insumos_a_comprar[Planilla]=L$1)*ROW(Insumos_a_comprar[Planilla])-ROW(Insumos_a_comprar[[#Headers],[Planilla]]),ROWS('Insumos a comprar'!$B$5:I87))),"")</f>
        <v/>
      </c>
      <c r="M85" s="29"/>
      <c r="N85" s="29"/>
      <c r="O85" s="29"/>
      <c r="P85" s="29"/>
      <c r="Q85" s="29"/>
    </row>
    <row r="86" spans="1:17" ht="15.75" x14ac:dyDescent="0.25">
      <c r="A86" s="29" t="str">
        <f>IF(ROWS('Insumos a comprar'!$B$5:B88)&lt;=COUNTIF(Insumos_a_comprar[Planilla],A$1),INDEX(Insumos_a_comprar[Insumo],_xlfn.AGGREGATE(15,6,(Insumos_a_comprar[Planilla]=A$1)/(Insumos_a_comprar[Planilla]=A$1)*ROW(Insumos_a_comprar[Planilla])-ROW(Insumos_a_comprar[[#Headers],[Planilla]]),ROWS('Insumos a comprar'!$B$5:B88))),"")</f>
        <v/>
      </c>
      <c r="B86" s="29" t="str">
        <f>IF(ROWS('Insumos a comprar'!$B$5:B88)&lt;=COUNTIF(Insumos_a_comprar[Planilla],B$1),INDEX(Insumos_a_comprar[Insumo],_xlfn.AGGREGATE(15,6,(Insumos_a_comprar[Planilla]=B$1)/(Insumos_a_comprar[Planilla]=B$1)*ROW(Insumos_a_comprar[Planilla])-ROW(Insumos_a_comprar[[#Headers],[Planilla]]),ROWS('Insumos a comprar'!$B$5:B88))),"")</f>
        <v/>
      </c>
      <c r="C86" s="29" t="str">
        <f>IF(ROWS('Insumos a comprar'!$B$5:E88)&lt;=COUNTIF(Insumos_a_comprar[Planilla],C$1),INDEX(Insumos_a_comprar[Insumo],_xlfn.AGGREGATE(15,6,(Insumos_a_comprar[Planilla]=C$1)/(Insumos_a_comprar[Planilla]=C$1)*ROW(Insumos_a_comprar[Planilla])-ROW(Insumos_a_comprar[[#Headers],[Planilla]]),ROWS('Insumos a comprar'!$B$5:E88))),"")</f>
        <v/>
      </c>
      <c r="D86" s="29" t="str">
        <f>IF(ROWS('Insumos a comprar'!$B$5:F88)&lt;=COUNTIF(Insumos_a_comprar[Planilla],D$1),INDEX(Insumos_a_comprar[Insumo],_xlfn.AGGREGATE(15,6,(Insumos_a_comprar[Planilla]=D$1)/(Insumos_a_comprar[Planilla]=D$1)*ROW(Insumos_a_comprar[Planilla])-ROW(Insumos_a_comprar[[#Headers],[Planilla]]),ROWS('Insumos a comprar'!$B$5:F88))),"")</f>
        <v/>
      </c>
      <c r="E86" s="29" t="str">
        <f>IF(ROWS('Insumos a comprar'!$B$5:G88)&lt;=COUNTIF(Insumos_a_comprar[Planilla],E$1),INDEX(Insumos_a_comprar[Insumo],_xlfn.AGGREGATE(15,6,(Insumos_a_comprar[Planilla]=E$1)/(Insumos_a_comprar[Planilla]=E$1)*ROW(Insumos_a_comprar[Planilla])-ROW(Insumos_a_comprar[[#Headers],[Planilla]]),ROWS('Insumos a comprar'!$B$5:G88))),"")</f>
        <v/>
      </c>
      <c r="F86" s="29" t="str">
        <f>IF(ROWS('Insumos a comprar'!$B$5:H88)&lt;=COUNTIF(Insumos_a_comprar[Planilla],F$1),INDEX(Insumos_a_comprar[Insumo],_xlfn.AGGREGATE(15,6,(Insumos_a_comprar[Planilla]=F$1)/(Insumos_a_comprar[Planilla]=F$1)*ROW(Insumos_a_comprar[Planilla])-ROW(Insumos_a_comprar[[#Headers],[Planilla]]),ROWS('Insumos a comprar'!$B$5:H88))),"")</f>
        <v/>
      </c>
      <c r="G86" s="29" t="str">
        <f>IF(ROWS('Insumos a comprar'!$B$5:I88)&lt;=COUNTIF(Insumos_a_comprar[Planilla],G$1),INDEX(Insumos_a_comprar[Insumo],_xlfn.AGGREGATE(15,6,(Insumos_a_comprar[Planilla]=G$1)/(Insumos_a_comprar[Planilla]=G$1)*ROW(Insumos_a_comprar[Planilla])-ROW(Insumos_a_comprar[[#Headers],[Planilla]]),ROWS('Insumos a comprar'!$B$5:I88))),"")</f>
        <v/>
      </c>
      <c r="H86" s="29" t="str">
        <f>IF(ROWS('Insumos a comprar'!$B$5:I88)&lt;=COUNTIF(Insumos_a_comprar[Planilla],H$1),INDEX(Insumos_a_comprar[Insumo],_xlfn.AGGREGATE(15,6,(Insumos_a_comprar[Planilla]=H$1)/(Insumos_a_comprar[Planilla]=H$1)*ROW(Insumos_a_comprar[Planilla])-ROW(Insumos_a_comprar[[#Headers],[Planilla]]),ROWS('Insumos a comprar'!$B$5:I88))),"")</f>
        <v>Pipetas Graduados 10</v>
      </c>
      <c r="I86" s="29" t="str">
        <f>IF(ROWS('Insumos a comprar'!$B$5:I88)&lt;=COUNTIF(Insumos_a_comprar[Planilla],I$1),INDEX(Insumos_a_comprar[Insumo],_xlfn.AGGREGATE(15,6,(Insumos_a_comprar[Planilla]=I$1)/(Insumos_a_comprar[Planilla]=I$1)*ROW(Insumos_a_comprar[Planilla])-ROW(Insumos_a_comprar[[#Headers],[Planilla]]),ROWS('Insumos a comprar'!$B$5:I88))),"")</f>
        <v/>
      </c>
      <c r="J86" s="29" t="str">
        <f>IF(ROWS('Insumos a comprar'!$B$5:I88)&lt;=COUNTIF(Insumos_a_comprar[Planilla],J$1),INDEX(Insumos_a_comprar[Insumo],_xlfn.AGGREGATE(15,6,(Insumos_a_comprar[Planilla]=J$1)/(Insumos_a_comprar[Planilla]=J$1)*ROW(Insumos_a_comprar[Planilla])-ROW(Insumos_a_comprar[[#Headers],[Planilla]]),ROWS('Insumos a comprar'!$B$5:I88))),"")</f>
        <v/>
      </c>
      <c r="K86" s="29" t="str">
        <f>IF(ROWS('Insumos a comprar'!$B$5:I88)&lt;=COUNTIF(Insumos_a_comprar[Planilla],K$1),INDEX(Insumos_a_comprar[Insumo],_xlfn.AGGREGATE(15,6,(Insumos_a_comprar[Planilla]=K$1)/(Insumos_a_comprar[Planilla]=K$1)*ROW(Insumos_a_comprar[Planilla])-ROW(Insumos_a_comprar[[#Headers],[Planilla]]),ROWS('Insumos a comprar'!$B$5:I88))),"")</f>
        <v/>
      </c>
      <c r="L86" s="29" t="str">
        <f>IF(ROWS('Insumos a comprar'!$B$5:I88)&lt;=COUNTIF(Insumos_a_comprar[Planilla],L$1),INDEX(Insumos_a_comprar[Insumo],_xlfn.AGGREGATE(15,6,(Insumos_a_comprar[Planilla]=L$1)/(Insumos_a_comprar[Planilla]=L$1)*ROW(Insumos_a_comprar[Planilla])-ROW(Insumos_a_comprar[[#Headers],[Planilla]]),ROWS('Insumos a comprar'!$B$5:I88))),"")</f>
        <v/>
      </c>
      <c r="M86" s="29"/>
      <c r="N86" s="29"/>
      <c r="O86" s="29"/>
      <c r="P86" s="29"/>
      <c r="Q86" s="29"/>
    </row>
    <row r="87" spans="1:17" ht="15.75" x14ac:dyDescent="0.25">
      <c r="A87" s="29" t="str">
        <f>IF(ROWS('Insumos a comprar'!$B$5:B89)&lt;=COUNTIF(Insumos_a_comprar[Planilla],A$1),INDEX(Insumos_a_comprar[Insumo],_xlfn.AGGREGATE(15,6,(Insumos_a_comprar[Planilla]=A$1)/(Insumos_a_comprar[Planilla]=A$1)*ROW(Insumos_a_comprar[Planilla])-ROW(Insumos_a_comprar[[#Headers],[Planilla]]),ROWS('Insumos a comprar'!$B$5:B89))),"")</f>
        <v/>
      </c>
      <c r="B87" s="29" t="str">
        <f>IF(ROWS('Insumos a comprar'!$B$5:B89)&lt;=COUNTIF(Insumos_a_comprar[Planilla],B$1),INDEX(Insumos_a_comprar[Insumo],_xlfn.AGGREGATE(15,6,(Insumos_a_comprar[Planilla]=B$1)/(Insumos_a_comprar[Planilla]=B$1)*ROW(Insumos_a_comprar[Planilla])-ROW(Insumos_a_comprar[[#Headers],[Planilla]]),ROWS('Insumos a comprar'!$B$5:B89))),"")</f>
        <v/>
      </c>
      <c r="C87" s="29" t="str">
        <f>IF(ROWS('Insumos a comprar'!$B$5:E89)&lt;=COUNTIF(Insumos_a_comprar[Planilla],C$1),INDEX(Insumos_a_comprar[Insumo],_xlfn.AGGREGATE(15,6,(Insumos_a_comprar[Planilla]=C$1)/(Insumos_a_comprar[Planilla]=C$1)*ROW(Insumos_a_comprar[Planilla])-ROW(Insumos_a_comprar[[#Headers],[Planilla]]),ROWS('Insumos a comprar'!$B$5:E89))),"")</f>
        <v/>
      </c>
      <c r="D87" s="29" t="str">
        <f>IF(ROWS('Insumos a comprar'!$B$5:F89)&lt;=COUNTIF(Insumos_a_comprar[Planilla],D$1),INDEX(Insumos_a_comprar[Insumo],_xlfn.AGGREGATE(15,6,(Insumos_a_comprar[Planilla]=D$1)/(Insumos_a_comprar[Planilla]=D$1)*ROW(Insumos_a_comprar[Planilla])-ROW(Insumos_a_comprar[[#Headers],[Planilla]]),ROWS('Insumos a comprar'!$B$5:F89))),"")</f>
        <v/>
      </c>
      <c r="E87" s="29" t="str">
        <f>IF(ROWS('Insumos a comprar'!$B$5:G89)&lt;=COUNTIF(Insumos_a_comprar[Planilla],E$1),INDEX(Insumos_a_comprar[Insumo],_xlfn.AGGREGATE(15,6,(Insumos_a_comprar[Planilla]=E$1)/(Insumos_a_comprar[Planilla]=E$1)*ROW(Insumos_a_comprar[Planilla])-ROW(Insumos_a_comprar[[#Headers],[Planilla]]),ROWS('Insumos a comprar'!$B$5:G89))),"")</f>
        <v/>
      </c>
      <c r="F87" s="29" t="str">
        <f>IF(ROWS('Insumos a comprar'!$B$5:H89)&lt;=COUNTIF(Insumos_a_comprar[Planilla],F$1),INDEX(Insumos_a_comprar[Insumo],_xlfn.AGGREGATE(15,6,(Insumos_a_comprar[Planilla]=F$1)/(Insumos_a_comprar[Planilla]=F$1)*ROW(Insumos_a_comprar[Planilla])-ROW(Insumos_a_comprar[[#Headers],[Planilla]]),ROWS('Insumos a comprar'!$B$5:H89))),"")</f>
        <v/>
      </c>
      <c r="G87" s="29" t="str">
        <f>IF(ROWS('Insumos a comprar'!$B$5:I89)&lt;=COUNTIF(Insumos_a_comprar[Planilla],G$1),INDEX(Insumos_a_comprar[Insumo],_xlfn.AGGREGATE(15,6,(Insumos_a_comprar[Planilla]=G$1)/(Insumos_a_comprar[Planilla]=G$1)*ROW(Insumos_a_comprar[Planilla])-ROW(Insumos_a_comprar[[#Headers],[Planilla]]),ROWS('Insumos a comprar'!$B$5:I89))),"")</f>
        <v/>
      </c>
      <c r="H87" s="29" t="str">
        <f>IF(ROWS('Insumos a comprar'!$B$5:I89)&lt;=COUNTIF(Insumos_a_comprar[Planilla],H$1),INDEX(Insumos_a_comprar[Insumo],_xlfn.AGGREGATE(15,6,(Insumos_a_comprar[Planilla]=H$1)/(Insumos_a_comprar[Planilla]=H$1)*ROW(Insumos_a_comprar[Planilla])-ROW(Insumos_a_comprar[[#Headers],[Planilla]]),ROWS('Insumos a comprar'!$B$5:I89))),"")</f>
        <v>Pipetas Graduados 2</v>
      </c>
      <c r="I87" s="29" t="str">
        <f>IF(ROWS('Insumos a comprar'!$B$5:I89)&lt;=COUNTIF(Insumos_a_comprar[Planilla],I$1),INDEX(Insumos_a_comprar[Insumo],_xlfn.AGGREGATE(15,6,(Insumos_a_comprar[Planilla]=I$1)/(Insumos_a_comprar[Planilla]=I$1)*ROW(Insumos_a_comprar[Planilla])-ROW(Insumos_a_comprar[[#Headers],[Planilla]]),ROWS('Insumos a comprar'!$B$5:I89))),"")</f>
        <v/>
      </c>
      <c r="J87" s="29" t="str">
        <f>IF(ROWS('Insumos a comprar'!$B$5:I89)&lt;=COUNTIF(Insumos_a_comprar[Planilla],J$1),INDEX(Insumos_a_comprar[Insumo],_xlfn.AGGREGATE(15,6,(Insumos_a_comprar[Planilla]=J$1)/(Insumos_a_comprar[Planilla]=J$1)*ROW(Insumos_a_comprar[Planilla])-ROW(Insumos_a_comprar[[#Headers],[Planilla]]),ROWS('Insumos a comprar'!$B$5:I89))),"")</f>
        <v/>
      </c>
      <c r="K87" s="29" t="str">
        <f>IF(ROWS('Insumos a comprar'!$B$5:I89)&lt;=COUNTIF(Insumos_a_comprar[Planilla],K$1),INDEX(Insumos_a_comprar[Insumo],_xlfn.AGGREGATE(15,6,(Insumos_a_comprar[Planilla]=K$1)/(Insumos_a_comprar[Planilla]=K$1)*ROW(Insumos_a_comprar[Planilla])-ROW(Insumos_a_comprar[[#Headers],[Planilla]]),ROWS('Insumos a comprar'!$B$5:I89))),"")</f>
        <v/>
      </c>
      <c r="L87" s="29" t="str">
        <f>IF(ROWS('Insumos a comprar'!$B$5:I89)&lt;=COUNTIF(Insumos_a_comprar[Planilla],L$1),INDEX(Insumos_a_comprar[Insumo],_xlfn.AGGREGATE(15,6,(Insumos_a_comprar[Planilla]=L$1)/(Insumos_a_comprar[Planilla]=L$1)*ROW(Insumos_a_comprar[Planilla])-ROW(Insumos_a_comprar[[#Headers],[Planilla]]),ROWS('Insumos a comprar'!$B$5:I89))),"")</f>
        <v/>
      </c>
      <c r="M87" s="29"/>
      <c r="N87" s="29"/>
      <c r="O87" s="29"/>
      <c r="P87" s="29"/>
      <c r="Q87" s="29"/>
    </row>
    <row r="88" spans="1:17" ht="15.75" x14ac:dyDescent="0.25">
      <c r="A88" s="29" t="str">
        <f>IF(ROWS('Insumos a comprar'!$B$5:B90)&lt;=COUNTIF(Insumos_a_comprar[Planilla],A$1),INDEX(Insumos_a_comprar[Insumo],_xlfn.AGGREGATE(15,6,(Insumos_a_comprar[Planilla]=A$1)/(Insumos_a_comprar[Planilla]=A$1)*ROW(Insumos_a_comprar[Planilla])-ROW(Insumos_a_comprar[[#Headers],[Planilla]]),ROWS('Insumos a comprar'!$B$5:B90))),"")</f>
        <v/>
      </c>
      <c r="B88" s="29" t="str">
        <f>IF(ROWS('Insumos a comprar'!$B$5:B90)&lt;=COUNTIF(Insumos_a_comprar[Planilla],B$1),INDEX(Insumos_a_comprar[Insumo],_xlfn.AGGREGATE(15,6,(Insumos_a_comprar[Planilla]=B$1)/(Insumos_a_comprar[Planilla]=B$1)*ROW(Insumos_a_comprar[Planilla])-ROW(Insumos_a_comprar[[#Headers],[Planilla]]),ROWS('Insumos a comprar'!$B$5:B90))),"")</f>
        <v/>
      </c>
      <c r="C88" s="29" t="str">
        <f>IF(ROWS('Insumos a comprar'!$B$5:E90)&lt;=COUNTIF(Insumos_a_comprar[Planilla],C$1),INDEX(Insumos_a_comprar[Insumo],_xlfn.AGGREGATE(15,6,(Insumos_a_comprar[Planilla]=C$1)/(Insumos_a_comprar[Planilla]=C$1)*ROW(Insumos_a_comprar[Planilla])-ROW(Insumos_a_comprar[[#Headers],[Planilla]]),ROWS('Insumos a comprar'!$B$5:E90))),"")</f>
        <v/>
      </c>
      <c r="D88" s="29" t="str">
        <f>IF(ROWS('Insumos a comprar'!$B$5:F90)&lt;=COUNTIF(Insumos_a_comprar[Planilla],D$1),INDEX(Insumos_a_comprar[Insumo],_xlfn.AGGREGATE(15,6,(Insumos_a_comprar[Planilla]=D$1)/(Insumos_a_comprar[Planilla]=D$1)*ROW(Insumos_a_comprar[Planilla])-ROW(Insumos_a_comprar[[#Headers],[Planilla]]),ROWS('Insumos a comprar'!$B$5:F90))),"")</f>
        <v/>
      </c>
      <c r="E88" s="29" t="str">
        <f>IF(ROWS('Insumos a comprar'!$B$5:G90)&lt;=COUNTIF(Insumos_a_comprar[Planilla],E$1),INDEX(Insumos_a_comprar[Insumo],_xlfn.AGGREGATE(15,6,(Insumos_a_comprar[Planilla]=E$1)/(Insumos_a_comprar[Planilla]=E$1)*ROW(Insumos_a_comprar[Planilla])-ROW(Insumos_a_comprar[[#Headers],[Planilla]]),ROWS('Insumos a comprar'!$B$5:G90))),"")</f>
        <v/>
      </c>
      <c r="F88" s="29" t="str">
        <f>IF(ROWS('Insumos a comprar'!$B$5:H90)&lt;=COUNTIF(Insumos_a_comprar[Planilla],F$1),INDEX(Insumos_a_comprar[Insumo],_xlfn.AGGREGATE(15,6,(Insumos_a_comprar[Planilla]=F$1)/(Insumos_a_comprar[Planilla]=F$1)*ROW(Insumos_a_comprar[Planilla])-ROW(Insumos_a_comprar[[#Headers],[Planilla]]),ROWS('Insumos a comprar'!$B$5:H90))),"")</f>
        <v/>
      </c>
      <c r="G88" s="29" t="str">
        <f>IF(ROWS('Insumos a comprar'!$B$5:I90)&lt;=COUNTIF(Insumos_a_comprar[Planilla],G$1),INDEX(Insumos_a_comprar[Insumo],_xlfn.AGGREGATE(15,6,(Insumos_a_comprar[Planilla]=G$1)/(Insumos_a_comprar[Planilla]=G$1)*ROW(Insumos_a_comprar[Planilla])-ROW(Insumos_a_comprar[[#Headers],[Planilla]]),ROWS('Insumos a comprar'!$B$5:I90))),"")</f>
        <v/>
      </c>
      <c r="H88" s="29" t="str">
        <f>IF(ROWS('Insumos a comprar'!$B$5:I90)&lt;=COUNTIF(Insumos_a_comprar[Planilla],H$1),INDEX(Insumos_a_comprar[Insumo],_xlfn.AGGREGATE(15,6,(Insumos_a_comprar[Planilla]=H$1)/(Insumos_a_comprar[Planilla]=H$1)*ROW(Insumos_a_comprar[Planilla])-ROW(Insumos_a_comprar[[#Headers],[Planilla]]),ROWS('Insumos a comprar'!$B$5:I90))),"")</f>
        <v>Pipetas Graduados 25</v>
      </c>
      <c r="I88" s="29" t="str">
        <f>IF(ROWS('Insumos a comprar'!$B$5:I90)&lt;=COUNTIF(Insumos_a_comprar[Planilla],I$1),INDEX(Insumos_a_comprar[Insumo],_xlfn.AGGREGATE(15,6,(Insumos_a_comprar[Planilla]=I$1)/(Insumos_a_comprar[Planilla]=I$1)*ROW(Insumos_a_comprar[Planilla])-ROW(Insumos_a_comprar[[#Headers],[Planilla]]),ROWS('Insumos a comprar'!$B$5:I90))),"")</f>
        <v/>
      </c>
      <c r="J88" s="29" t="str">
        <f>IF(ROWS('Insumos a comprar'!$B$5:I90)&lt;=COUNTIF(Insumos_a_comprar[Planilla],J$1),INDEX(Insumos_a_comprar[Insumo],_xlfn.AGGREGATE(15,6,(Insumos_a_comprar[Planilla]=J$1)/(Insumos_a_comprar[Planilla]=J$1)*ROW(Insumos_a_comprar[Planilla])-ROW(Insumos_a_comprar[[#Headers],[Planilla]]),ROWS('Insumos a comprar'!$B$5:I90))),"")</f>
        <v/>
      </c>
      <c r="K88" s="29" t="str">
        <f>IF(ROWS('Insumos a comprar'!$B$5:I90)&lt;=COUNTIF(Insumos_a_comprar[Planilla],K$1),INDEX(Insumos_a_comprar[Insumo],_xlfn.AGGREGATE(15,6,(Insumos_a_comprar[Planilla]=K$1)/(Insumos_a_comprar[Planilla]=K$1)*ROW(Insumos_a_comprar[Planilla])-ROW(Insumos_a_comprar[[#Headers],[Planilla]]),ROWS('Insumos a comprar'!$B$5:I90))),"")</f>
        <v/>
      </c>
      <c r="L88" s="29" t="str">
        <f>IF(ROWS('Insumos a comprar'!$B$5:I90)&lt;=COUNTIF(Insumos_a_comprar[Planilla],L$1),INDEX(Insumos_a_comprar[Insumo],_xlfn.AGGREGATE(15,6,(Insumos_a_comprar[Planilla]=L$1)/(Insumos_a_comprar[Planilla]=L$1)*ROW(Insumos_a_comprar[Planilla])-ROW(Insumos_a_comprar[[#Headers],[Planilla]]),ROWS('Insumos a comprar'!$B$5:I90))),"")</f>
        <v/>
      </c>
      <c r="M88" s="29"/>
      <c r="N88" s="29"/>
      <c r="O88" s="29"/>
      <c r="P88" s="29"/>
      <c r="Q88" s="29"/>
    </row>
    <row r="89" spans="1:17" ht="15.75" x14ac:dyDescent="0.25">
      <c r="A89" s="29" t="str">
        <f>IF(ROWS('Insumos a comprar'!$B$5:B91)&lt;=COUNTIF(Insumos_a_comprar[Planilla],A$1),INDEX(Insumos_a_comprar[Insumo],_xlfn.AGGREGATE(15,6,(Insumos_a_comprar[Planilla]=A$1)/(Insumos_a_comprar[Planilla]=A$1)*ROW(Insumos_a_comprar[Planilla])-ROW(Insumos_a_comprar[[#Headers],[Planilla]]),ROWS('Insumos a comprar'!$B$5:B91))),"")</f>
        <v/>
      </c>
      <c r="B89" s="29" t="str">
        <f>IF(ROWS('Insumos a comprar'!$B$5:B91)&lt;=COUNTIF(Insumos_a_comprar[Planilla],B$1),INDEX(Insumos_a_comprar[Insumo],_xlfn.AGGREGATE(15,6,(Insumos_a_comprar[Planilla]=B$1)/(Insumos_a_comprar[Planilla]=B$1)*ROW(Insumos_a_comprar[Planilla])-ROW(Insumos_a_comprar[[#Headers],[Planilla]]),ROWS('Insumos a comprar'!$B$5:B91))),"")</f>
        <v/>
      </c>
      <c r="C89" s="29" t="str">
        <f>IF(ROWS('Insumos a comprar'!$B$5:E91)&lt;=COUNTIF(Insumos_a_comprar[Planilla],C$1),INDEX(Insumos_a_comprar[Insumo],_xlfn.AGGREGATE(15,6,(Insumos_a_comprar[Planilla]=C$1)/(Insumos_a_comprar[Planilla]=C$1)*ROW(Insumos_a_comprar[Planilla])-ROW(Insumos_a_comprar[[#Headers],[Planilla]]),ROWS('Insumos a comprar'!$B$5:E91))),"")</f>
        <v/>
      </c>
      <c r="D89" s="29" t="str">
        <f>IF(ROWS('Insumos a comprar'!$B$5:F91)&lt;=COUNTIF(Insumos_a_comprar[Planilla],D$1),INDEX(Insumos_a_comprar[Insumo],_xlfn.AGGREGATE(15,6,(Insumos_a_comprar[Planilla]=D$1)/(Insumos_a_comprar[Planilla]=D$1)*ROW(Insumos_a_comprar[Planilla])-ROW(Insumos_a_comprar[[#Headers],[Planilla]]),ROWS('Insumos a comprar'!$B$5:F91))),"")</f>
        <v/>
      </c>
      <c r="E89" s="29" t="str">
        <f>IF(ROWS('Insumos a comprar'!$B$5:G91)&lt;=COUNTIF(Insumos_a_comprar[Planilla],E$1),INDEX(Insumos_a_comprar[Insumo],_xlfn.AGGREGATE(15,6,(Insumos_a_comprar[Planilla]=E$1)/(Insumos_a_comprar[Planilla]=E$1)*ROW(Insumos_a_comprar[Planilla])-ROW(Insumos_a_comprar[[#Headers],[Planilla]]),ROWS('Insumos a comprar'!$B$5:G91))),"")</f>
        <v/>
      </c>
      <c r="F89" s="29" t="str">
        <f>IF(ROWS('Insumos a comprar'!$B$5:H91)&lt;=COUNTIF(Insumos_a_comprar[Planilla],F$1),INDEX(Insumos_a_comprar[Insumo],_xlfn.AGGREGATE(15,6,(Insumos_a_comprar[Planilla]=F$1)/(Insumos_a_comprar[Planilla]=F$1)*ROW(Insumos_a_comprar[Planilla])-ROW(Insumos_a_comprar[[#Headers],[Planilla]]),ROWS('Insumos a comprar'!$B$5:H91))),"")</f>
        <v/>
      </c>
      <c r="G89" s="29" t="str">
        <f>IF(ROWS('Insumos a comprar'!$B$5:I91)&lt;=COUNTIF(Insumos_a_comprar[Planilla],G$1),INDEX(Insumos_a_comprar[Insumo],_xlfn.AGGREGATE(15,6,(Insumos_a_comprar[Planilla]=G$1)/(Insumos_a_comprar[Planilla]=G$1)*ROW(Insumos_a_comprar[Planilla])-ROW(Insumos_a_comprar[[#Headers],[Planilla]]),ROWS('Insumos a comprar'!$B$5:I91))),"")</f>
        <v/>
      </c>
      <c r="H89" s="29" t="str">
        <f>IF(ROWS('Insumos a comprar'!$B$5:I91)&lt;=COUNTIF(Insumos_a_comprar[Planilla],H$1),INDEX(Insumos_a_comprar[Insumo],_xlfn.AGGREGATE(15,6,(Insumos_a_comprar[Planilla]=H$1)/(Insumos_a_comprar[Planilla]=H$1)*ROW(Insumos_a_comprar[Planilla])-ROW(Insumos_a_comprar[[#Headers],[Planilla]]),ROWS('Insumos a comprar'!$B$5:I91))),"")</f>
        <v>Pipetas Graduados 5</v>
      </c>
      <c r="I89" s="29" t="str">
        <f>IF(ROWS('Insumos a comprar'!$B$5:I91)&lt;=COUNTIF(Insumos_a_comprar[Planilla],I$1),INDEX(Insumos_a_comprar[Insumo],_xlfn.AGGREGATE(15,6,(Insumos_a_comprar[Planilla]=I$1)/(Insumos_a_comprar[Planilla]=I$1)*ROW(Insumos_a_comprar[Planilla])-ROW(Insumos_a_comprar[[#Headers],[Planilla]]),ROWS('Insumos a comprar'!$B$5:I91))),"")</f>
        <v/>
      </c>
      <c r="J89" s="29" t="str">
        <f>IF(ROWS('Insumos a comprar'!$B$5:I91)&lt;=COUNTIF(Insumos_a_comprar[Planilla],J$1),INDEX(Insumos_a_comprar[Insumo],_xlfn.AGGREGATE(15,6,(Insumos_a_comprar[Planilla]=J$1)/(Insumos_a_comprar[Planilla]=J$1)*ROW(Insumos_a_comprar[Planilla])-ROW(Insumos_a_comprar[[#Headers],[Planilla]]),ROWS('Insumos a comprar'!$B$5:I91))),"")</f>
        <v/>
      </c>
      <c r="K89" s="29" t="str">
        <f>IF(ROWS('Insumos a comprar'!$B$5:I91)&lt;=COUNTIF(Insumos_a_comprar[Planilla],K$1),INDEX(Insumos_a_comprar[Insumo],_xlfn.AGGREGATE(15,6,(Insumos_a_comprar[Planilla]=K$1)/(Insumos_a_comprar[Planilla]=K$1)*ROW(Insumos_a_comprar[Planilla])-ROW(Insumos_a_comprar[[#Headers],[Planilla]]),ROWS('Insumos a comprar'!$B$5:I91))),"")</f>
        <v/>
      </c>
      <c r="L89" s="29" t="str">
        <f>IF(ROWS('Insumos a comprar'!$B$5:I91)&lt;=COUNTIF(Insumos_a_comprar[Planilla],L$1),INDEX(Insumos_a_comprar[Insumo],_xlfn.AGGREGATE(15,6,(Insumos_a_comprar[Planilla]=L$1)/(Insumos_a_comprar[Planilla]=L$1)*ROW(Insumos_a_comprar[Planilla])-ROW(Insumos_a_comprar[[#Headers],[Planilla]]),ROWS('Insumos a comprar'!$B$5:I91))),"")</f>
        <v/>
      </c>
      <c r="M89" s="29"/>
      <c r="N89" s="29"/>
      <c r="O89" s="29"/>
      <c r="P89" s="29"/>
      <c r="Q89" s="29"/>
    </row>
    <row r="90" spans="1:17" ht="15.75" x14ac:dyDescent="0.25">
      <c r="A90" s="29" t="str">
        <f>IF(ROWS('Insumos a comprar'!$B$5:B92)&lt;=COUNTIF(Insumos_a_comprar[Planilla],A$1),INDEX(Insumos_a_comprar[Insumo],_xlfn.AGGREGATE(15,6,(Insumos_a_comprar[Planilla]=A$1)/(Insumos_a_comprar[Planilla]=A$1)*ROW(Insumos_a_comprar[Planilla])-ROW(Insumos_a_comprar[[#Headers],[Planilla]]),ROWS('Insumos a comprar'!$B$5:B92))),"")</f>
        <v/>
      </c>
      <c r="B90" s="29" t="str">
        <f>IF(ROWS('Insumos a comprar'!$B$5:B92)&lt;=COUNTIF(Insumos_a_comprar[Planilla],B$1),INDEX(Insumos_a_comprar[Insumo],_xlfn.AGGREGATE(15,6,(Insumos_a_comprar[Planilla]=B$1)/(Insumos_a_comprar[Planilla]=B$1)*ROW(Insumos_a_comprar[Planilla])-ROW(Insumos_a_comprar[[#Headers],[Planilla]]),ROWS('Insumos a comprar'!$B$5:B92))),"")</f>
        <v/>
      </c>
      <c r="C90" s="29" t="str">
        <f>IF(ROWS('Insumos a comprar'!$B$5:E92)&lt;=COUNTIF(Insumos_a_comprar[Planilla],C$1),INDEX(Insumos_a_comprar[Insumo],_xlfn.AGGREGATE(15,6,(Insumos_a_comprar[Planilla]=C$1)/(Insumos_a_comprar[Planilla]=C$1)*ROW(Insumos_a_comprar[Planilla])-ROW(Insumos_a_comprar[[#Headers],[Planilla]]),ROWS('Insumos a comprar'!$B$5:E92))),"")</f>
        <v/>
      </c>
      <c r="D90" s="29" t="str">
        <f>IF(ROWS('Insumos a comprar'!$B$5:F92)&lt;=COUNTIF(Insumos_a_comprar[Planilla],D$1),INDEX(Insumos_a_comprar[Insumo],_xlfn.AGGREGATE(15,6,(Insumos_a_comprar[Planilla]=D$1)/(Insumos_a_comprar[Planilla]=D$1)*ROW(Insumos_a_comprar[Planilla])-ROW(Insumos_a_comprar[[#Headers],[Planilla]]),ROWS('Insumos a comprar'!$B$5:F92))),"")</f>
        <v/>
      </c>
      <c r="E90" s="29" t="str">
        <f>IF(ROWS('Insumos a comprar'!$B$5:G92)&lt;=COUNTIF(Insumos_a_comprar[Planilla],E$1),INDEX(Insumos_a_comprar[Insumo],_xlfn.AGGREGATE(15,6,(Insumos_a_comprar[Planilla]=E$1)/(Insumos_a_comprar[Planilla]=E$1)*ROW(Insumos_a_comprar[Planilla])-ROW(Insumos_a_comprar[[#Headers],[Planilla]]),ROWS('Insumos a comprar'!$B$5:G92))),"")</f>
        <v/>
      </c>
      <c r="F90" s="29" t="str">
        <f>IF(ROWS('Insumos a comprar'!$B$5:H92)&lt;=COUNTIF(Insumos_a_comprar[Planilla],F$1),INDEX(Insumos_a_comprar[Insumo],_xlfn.AGGREGATE(15,6,(Insumos_a_comprar[Planilla]=F$1)/(Insumos_a_comprar[Planilla]=F$1)*ROW(Insumos_a_comprar[Planilla])-ROW(Insumos_a_comprar[[#Headers],[Planilla]]),ROWS('Insumos a comprar'!$B$5:H92))),"")</f>
        <v/>
      </c>
      <c r="G90" s="29" t="str">
        <f>IF(ROWS('Insumos a comprar'!$B$5:I92)&lt;=COUNTIF(Insumos_a_comprar[Planilla],G$1),INDEX(Insumos_a_comprar[Insumo],_xlfn.AGGREGATE(15,6,(Insumos_a_comprar[Planilla]=G$1)/(Insumos_a_comprar[Planilla]=G$1)*ROW(Insumos_a_comprar[Planilla])-ROW(Insumos_a_comprar[[#Headers],[Planilla]]),ROWS('Insumos a comprar'!$B$5:I92))),"")</f>
        <v/>
      </c>
      <c r="H90" s="29" t="str">
        <f>IF(ROWS('Insumos a comprar'!$B$5:I92)&lt;=COUNTIF(Insumos_a_comprar[Planilla],H$1),INDEX(Insumos_a_comprar[Insumo],_xlfn.AGGREGATE(15,6,(Insumos_a_comprar[Planilla]=H$1)/(Insumos_a_comprar[Planilla]=H$1)*ROW(Insumos_a_comprar[Planilla])-ROW(Insumos_a_comprar[[#Headers],[Planilla]]),ROWS('Insumos a comprar'!$B$5:I92))),"")</f>
        <v>Pipetas Graduados 50</v>
      </c>
      <c r="I90" s="29" t="str">
        <f>IF(ROWS('Insumos a comprar'!$B$5:I92)&lt;=COUNTIF(Insumos_a_comprar[Planilla],I$1),INDEX(Insumos_a_comprar[Insumo],_xlfn.AGGREGATE(15,6,(Insumos_a_comprar[Planilla]=I$1)/(Insumos_a_comprar[Planilla]=I$1)*ROW(Insumos_a_comprar[Planilla])-ROW(Insumos_a_comprar[[#Headers],[Planilla]]),ROWS('Insumos a comprar'!$B$5:I92))),"")</f>
        <v/>
      </c>
      <c r="J90" s="29" t="str">
        <f>IF(ROWS('Insumos a comprar'!$B$5:I92)&lt;=COUNTIF(Insumos_a_comprar[Planilla],J$1),INDEX(Insumos_a_comprar[Insumo],_xlfn.AGGREGATE(15,6,(Insumos_a_comprar[Planilla]=J$1)/(Insumos_a_comprar[Planilla]=J$1)*ROW(Insumos_a_comprar[Planilla])-ROW(Insumos_a_comprar[[#Headers],[Planilla]]),ROWS('Insumos a comprar'!$B$5:I92))),"")</f>
        <v/>
      </c>
      <c r="K90" s="29" t="str">
        <f>IF(ROWS('Insumos a comprar'!$B$5:I92)&lt;=COUNTIF(Insumos_a_comprar[Planilla],K$1),INDEX(Insumos_a_comprar[Insumo],_xlfn.AGGREGATE(15,6,(Insumos_a_comprar[Planilla]=K$1)/(Insumos_a_comprar[Planilla]=K$1)*ROW(Insumos_a_comprar[Planilla])-ROW(Insumos_a_comprar[[#Headers],[Planilla]]),ROWS('Insumos a comprar'!$B$5:I92))),"")</f>
        <v/>
      </c>
      <c r="L90" s="29" t="str">
        <f>IF(ROWS('Insumos a comprar'!$B$5:I92)&lt;=COUNTIF(Insumos_a_comprar[Planilla],L$1),INDEX(Insumos_a_comprar[Insumo],_xlfn.AGGREGATE(15,6,(Insumos_a_comprar[Planilla]=L$1)/(Insumos_a_comprar[Planilla]=L$1)*ROW(Insumos_a_comprar[Planilla])-ROW(Insumos_a_comprar[[#Headers],[Planilla]]),ROWS('Insumos a comprar'!$B$5:I92))),"")</f>
        <v/>
      </c>
      <c r="M90" s="29"/>
      <c r="N90" s="29"/>
      <c r="O90" s="29"/>
      <c r="P90" s="29"/>
      <c r="Q90" s="29"/>
    </row>
    <row r="91" spans="1:17" ht="15.75" x14ac:dyDescent="0.25">
      <c r="A91" s="29" t="str">
        <f>IF(ROWS('Insumos a comprar'!$B$5:B93)&lt;=COUNTIF(Insumos_a_comprar[Planilla],A$1),INDEX(Insumos_a_comprar[Insumo],_xlfn.AGGREGATE(15,6,(Insumos_a_comprar[Planilla]=A$1)/(Insumos_a_comprar[Planilla]=A$1)*ROW(Insumos_a_comprar[Planilla])-ROW(Insumos_a_comprar[[#Headers],[Planilla]]),ROWS('Insumos a comprar'!$B$5:B93))),"")</f>
        <v/>
      </c>
      <c r="B91" s="29" t="str">
        <f>IF(ROWS('Insumos a comprar'!$B$5:B93)&lt;=COUNTIF(Insumos_a_comprar[Planilla],B$1),INDEX(Insumos_a_comprar[Insumo],_xlfn.AGGREGATE(15,6,(Insumos_a_comprar[Planilla]=B$1)/(Insumos_a_comprar[Planilla]=B$1)*ROW(Insumos_a_comprar[Planilla])-ROW(Insumos_a_comprar[[#Headers],[Planilla]]),ROWS('Insumos a comprar'!$B$5:B93))),"")</f>
        <v/>
      </c>
      <c r="C91" s="29" t="str">
        <f>IF(ROWS('Insumos a comprar'!$B$5:E93)&lt;=COUNTIF(Insumos_a_comprar[Planilla],C$1),INDEX(Insumos_a_comprar[Insumo],_xlfn.AGGREGATE(15,6,(Insumos_a_comprar[Planilla]=C$1)/(Insumos_a_comprar[Planilla]=C$1)*ROW(Insumos_a_comprar[Planilla])-ROW(Insumos_a_comprar[[#Headers],[Planilla]]),ROWS('Insumos a comprar'!$B$5:E93))),"")</f>
        <v/>
      </c>
      <c r="D91" s="29" t="str">
        <f>IF(ROWS('Insumos a comprar'!$B$5:F93)&lt;=COUNTIF(Insumos_a_comprar[Planilla],D$1),INDEX(Insumos_a_comprar[Insumo],_xlfn.AGGREGATE(15,6,(Insumos_a_comprar[Planilla]=D$1)/(Insumos_a_comprar[Planilla]=D$1)*ROW(Insumos_a_comprar[Planilla])-ROW(Insumos_a_comprar[[#Headers],[Planilla]]),ROWS('Insumos a comprar'!$B$5:F93))),"")</f>
        <v/>
      </c>
      <c r="E91" s="29" t="str">
        <f>IF(ROWS('Insumos a comprar'!$B$5:G93)&lt;=COUNTIF(Insumos_a_comprar[Planilla],E$1),INDEX(Insumos_a_comprar[Insumo],_xlfn.AGGREGATE(15,6,(Insumos_a_comprar[Planilla]=E$1)/(Insumos_a_comprar[Planilla]=E$1)*ROW(Insumos_a_comprar[Planilla])-ROW(Insumos_a_comprar[[#Headers],[Planilla]]),ROWS('Insumos a comprar'!$B$5:G93))),"")</f>
        <v/>
      </c>
      <c r="F91" s="29" t="str">
        <f>IF(ROWS('Insumos a comprar'!$B$5:H93)&lt;=COUNTIF(Insumos_a_comprar[Planilla],F$1),INDEX(Insumos_a_comprar[Insumo],_xlfn.AGGREGATE(15,6,(Insumos_a_comprar[Planilla]=F$1)/(Insumos_a_comprar[Planilla]=F$1)*ROW(Insumos_a_comprar[Planilla])-ROW(Insumos_a_comprar[[#Headers],[Planilla]]),ROWS('Insumos a comprar'!$B$5:H93))),"")</f>
        <v/>
      </c>
      <c r="G91" s="29" t="str">
        <f>IF(ROWS('Insumos a comprar'!$B$5:I93)&lt;=COUNTIF(Insumos_a_comprar[Planilla],G$1),INDEX(Insumos_a_comprar[Insumo],_xlfn.AGGREGATE(15,6,(Insumos_a_comprar[Planilla]=G$1)/(Insumos_a_comprar[Planilla]=G$1)*ROW(Insumos_a_comprar[Planilla])-ROW(Insumos_a_comprar[[#Headers],[Planilla]]),ROWS('Insumos a comprar'!$B$5:I93))),"")</f>
        <v/>
      </c>
      <c r="H91" s="29" t="str">
        <f>IF(ROWS('Insumos a comprar'!$B$5:I93)&lt;=COUNTIF(Insumos_a_comprar[Planilla],H$1),INDEX(Insumos_a_comprar[Insumo],_xlfn.AGGREGATE(15,6,(Insumos_a_comprar[Planilla]=H$1)/(Insumos_a_comprar[Planilla]=H$1)*ROW(Insumos_a_comprar[Planilla])-ROW(Insumos_a_comprar[[#Headers],[Planilla]]),ROWS('Insumos a comprar'!$B$5:I93))),"")</f>
        <v xml:space="preserve">Pipetas Pasteur Plástico </v>
      </c>
      <c r="I91" s="29" t="str">
        <f>IF(ROWS('Insumos a comprar'!$B$5:I93)&lt;=COUNTIF(Insumos_a_comprar[Planilla],I$1),INDEX(Insumos_a_comprar[Insumo],_xlfn.AGGREGATE(15,6,(Insumos_a_comprar[Planilla]=I$1)/(Insumos_a_comprar[Planilla]=I$1)*ROW(Insumos_a_comprar[Planilla])-ROW(Insumos_a_comprar[[#Headers],[Planilla]]),ROWS('Insumos a comprar'!$B$5:I93))),"")</f>
        <v/>
      </c>
      <c r="J91" s="29" t="str">
        <f>IF(ROWS('Insumos a comprar'!$B$5:I93)&lt;=COUNTIF(Insumos_a_comprar[Planilla],J$1),INDEX(Insumos_a_comprar[Insumo],_xlfn.AGGREGATE(15,6,(Insumos_a_comprar[Planilla]=J$1)/(Insumos_a_comprar[Planilla]=J$1)*ROW(Insumos_a_comprar[Planilla])-ROW(Insumos_a_comprar[[#Headers],[Planilla]]),ROWS('Insumos a comprar'!$B$5:I93))),"")</f>
        <v/>
      </c>
      <c r="K91" s="29" t="str">
        <f>IF(ROWS('Insumos a comprar'!$B$5:I93)&lt;=COUNTIF(Insumos_a_comprar[Planilla],K$1),INDEX(Insumos_a_comprar[Insumo],_xlfn.AGGREGATE(15,6,(Insumos_a_comprar[Planilla]=K$1)/(Insumos_a_comprar[Planilla]=K$1)*ROW(Insumos_a_comprar[Planilla])-ROW(Insumos_a_comprar[[#Headers],[Planilla]]),ROWS('Insumos a comprar'!$B$5:I93))),"")</f>
        <v/>
      </c>
      <c r="L91" s="29" t="str">
        <f>IF(ROWS('Insumos a comprar'!$B$5:I93)&lt;=COUNTIF(Insumos_a_comprar[Planilla],L$1),INDEX(Insumos_a_comprar[Insumo],_xlfn.AGGREGATE(15,6,(Insumos_a_comprar[Planilla]=L$1)/(Insumos_a_comprar[Planilla]=L$1)*ROW(Insumos_a_comprar[Planilla])-ROW(Insumos_a_comprar[[#Headers],[Planilla]]),ROWS('Insumos a comprar'!$B$5:I93))),"")</f>
        <v/>
      </c>
      <c r="M91" s="29"/>
      <c r="N91" s="29"/>
      <c r="O91" s="29"/>
      <c r="P91" s="29"/>
      <c r="Q91" s="29"/>
    </row>
    <row r="92" spans="1:17" ht="15.75" x14ac:dyDescent="0.25">
      <c r="A92" s="29" t="str">
        <f>IF(ROWS('Insumos a comprar'!$B$5:B94)&lt;=COUNTIF(Insumos_a_comprar[Planilla],A$1),INDEX(Insumos_a_comprar[Insumo],_xlfn.AGGREGATE(15,6,(Insumos_a_comprar[Planilla]=A$1)/(Insumos_a_comprar[Planilla]=A$1)*ROW(Insumos_a_comprar[Planilla])-ROW(Insumos_a_comprar[[#Headers],[Planilla]]),ROWS('Insumos a comprar'!$B$5:B94))),"")</f>
        <v/>
      </c>
      <c r="B92" s="29" t="str">
        <f>IF(ROWS('Insumos a comprar'!$B$5:B94)&lt;=COUNTIF(Insumos_a_comprar[Planilla],B$1),INDEX(Insumos_a_comprar[Insumo],_xlfn.AGGREGATE(15,6,(Insumos_a_comprar[Planilla]=B$1)/(Insumos_a_comprar[Planilla]=B$1)*ROW(Insumos_a_comprar[Planilla])-ROW(Insumos_a_comprar[[#Headers],[Planilla]]),ROWS('Insumos a comprar'!$B$5:B94))),"")</f>
        <v/>
      </c>
      <c r="C92" s="29" t="str">
        <f>IF(ROWS('Insumos a comprar'!$B$5:E94)&lt;=COUNTIF(Insumos_a_comprar[Planilla],C$1),INDEX(Insumos_a_comprar[Insumo],_xlfn.AGGREGATE(15,6,(Insumos_a_comprar[Planilla]=C$1)/(Insumos_a_comprar[Planilla]=C$1)*ROW(Insumos_a_comprar[Planilla])-ROW(Insumos_a_comprar[[#Headers],[Planilla]]),ROWS('Insumos a comprar'!$B$5:E94))),"")</f>
        <v/>
      </c>
      <c r="D92" s="29" t="str">
        <f>IF(ROWS('Insumos a comprar'!$B$5:F94)&lt;=COUNTIF(Insumos_a_comprar[Planilla],D$1),INDEX(Insumos_a_comprar[Insumo],_xlfn.AGGREGATE(15,6,(Insumos_a_comprar[Planilla]=D$1)/(Insumos_a_comprar[Planilla]=D$1)*ROW(Insumos_a_comprar[Planilla])-ROW(Insumos_a_comprar[[#Headers],[Planilla]]),ROWS('Insumos a comprar'!$B$5:F94))),"")</f>
        <v/>
      </c>
      <c r="E92" s="29" t="str">
        <f>IF(ROWS('Insumos a comprar'!$B$5:G94)&lt;=COUNTIF(Insumos_a_comprar[Planilla],E$1),INDEX(Insumos_a_comprar[Insumo],_xlfn.AGGREGATE(15,6,(Insumos_a_comprar[Planilla]=E$1)/(Insumos_a_comprar[Planilla]=E$1)*ROW(Insumos_a_comprar[Planilla])-ROW(Insumos_a_comprar[[#Headers],[Planilla]]),ROWS('Insumos a comprar'!$B$5:G94))),"")</f>
        <v/>
      </c>
      <c r="F92" s="29" t="str">
        <f>IF(ROWS('Insumos a comprar'!$B$5:H94)&lt;=COUNTIF(Insumos_a_comprar[Planilla],F$1),INDEX(Insumos_a_comprar[Insumo],_xlfn.AGGREGATE(15,6,(Insumos_a_comprar[Planilla]=F$1)/(Insumos_a_comprar[Planilla]=F$1)*ROW(Insumos_a_comprar[Planilla])-ROW(Insumos_a_comprar[[#Headers],[Planilla]]),ROWS('Insumos a comprar'!$B$5:H94))),"")</f>
        <v/>
      </c>
      <c r="G92" s="29" t="str">
        <f>IF(ROWS('Insumos a comprar'!$B$5:I94)&lt;=COUNTIF(Insumos_a_comprar[Planilla],G$1),INDEX(Insumos_a_comprar[Insumo],_xlfn.AGGREGATE(15,6,(Insumos_a_comprar[Planilla]=G$1)/(Insumos_a_comprar[Planilla]=G$1)*ROW(Insumos_a_comprar[Planilla])-ROW(Insumos_a_comprar[[#Headers],[Planilla]]),ROWS('Insumos a comprar'!$B$5:I94))),"")</f>
        <v/>
      </c>
      <c r="H92" s="29" t="str">
        <f>IF(ROWS('Insumos a comprar'!$B$5:I94)&lt;=COUNTIF(Insumos_a_comprar[Planilla],H$1),INDEX(Insumos_a_comprar[Insumo],_xlfn.AGGREGATE(15,6,(Insumos_a_comprar[Planilla]=H$1)/(Insumos_a_comprar[Planilla]=H$1)*ROW(Insumos_a_comprar[Planilla])-ROW(Insumos_a_comprar[[#Headers],[Planilla]]),ROWS('Insumos a comprar'!$B$5:I94))),"")</f>
        <v xml:space="preserve">Pipetas Pasteur Vidrio </v>
      </c>
      <c r="I92" s="29" t="str">
        <f>IF(ROWS('Insumos a comprar'!$B$5:I94)&lt;=COUNTIF(Insumos_a_comprar[Planilla],I$1),INDEX(Insumos_a_comprar[Insumo],_xlfn.AGGREGATE(15,6,(Insumos_a_comprar[Planilla]=I$1)/(Insumos_a_comprar[Planilla]=I$1)*ROW(Insumos_a_comprar[Planilla])-ROW(Insumos_a_comprar[[#Headers],[Planilla]]),ROWS('Insumos a comprar'!$B$5:I94))),"")</f>
        <v/>
      </c>
      <c r="J92" s="29" t="str">
        <f>IF(ROWS('Insumos a comprar'!$B$5:I94)&lt;=COUNTIF(Insumos_a_comprar[Planilla],J$1),INDEX(Insumos_a_comprar[Insumo],_xlfn.AGGREGATE(15,6,(Insumos_a_comprar[Planilla]=J$1)/(Insumos_a_comprar[Planilla]=J$1)*ROW(Insumos_a_comprar[Planilla])-ROW(Insumos_a_comprar[[#Headers],[Planilla]]),ROWS('Insumos a comprar'!$B$5:I94))),"")</f>
        <v/>
      </c>
      <c r="K92" s="29" t="str">
        <f>IF(ROWS('Insumos a comprar'!$B$5:I94)&lt;=COUNTIF(Insumos_a_comprar[Planilla],K$1),INDEX(Insumos_a_comprar[Insumo],_xlfn.AGGREGATE(15,6,(Insumos_a_comprar[Planilla]=K$1)/(Insumos_a_comprar[Planilla]=K$1)*ROW(Insumos_a_comprar[Planilla])-ROW(Insumos_a_comprar[[#Headers],[Planilla]]),ROWS('Insumos a comprar'!$B$5:I94))),"")</f>
        <v/>
      </c>
      <c r="L92" s="29" t="str">
        <f>IF(ROWS('Insumos a comprar'!$B$5:I94)&lt;=COUNTIF(Insumos_a_comprar[Planilla],L$1),INDEX(Insumos_a_comprar[Insumo],_xlfn.AGGREGATE(15,6,(Insumos_a_comprar[Planilla]=L$1)/(Insumos_a_comprar[Planilla]=L$1)*ROW(Insumos_a_comprar[Planilla])-ROW(Insumos_a_comprar[[#Headers],[Planilla]]),ROWS('Insumos a comprar'!$B$5:I94))),"")</f>
        <v/>
      </c>
      <c r="M92" s="29"/>
      <c r="N92" s="29"/>
      <c r="O92" s="29"/>
      <c r="P92" s="29"/>
      <c r="Q92" s="29"/>
    </row>
    <row r="93" spans="1:17" ht="15.75" x14ac:dyDescent="0.25">
      <c r="A93" s="29" t="str">
        <f>IF(ROWS('Insumos a comprar'!$B$5:B95)&lt;=COUNTIF(Insumos_a_comprar[Planilla],A$1),INDEX(Insumos_a_comprar[Insumo],_xlfn.AGGREGATE(15,6,(Insumos_a_comprar[Planilla]=A$1)/(Insumos_a_comprar[Planilla]=A$1)*ROW(Insumos_a_comprar[Planilla])-ROW(Insumos_a_comprar[[#Headers],[Planilla]]),ROWS('Insumos a comprar'!$B$5:B95))),"")</f>
        <v/>
      </c>
      <c r="B93" s="29" t="str">
        <f>IF(ROWS('Insumos a comprar'!$B$5:B95)&lt;=COUNTIF(Insumos_a_comprar[Planilla],B$1),INDEX(Insumos_a_comprar[Insumo],_xlfn.AGGREGATE(15,6,(Insumos_a_comprar[Planilla]=B$1)/(Insumos_a_comprar[Planilla]=B$1)*ROW(Insumos_a_comprar[Planilla])-ROW(Insumos_a_comprar[[#Headers],[Planilla]]),ROWS('Insumos a comprar'!$B$5:B95))),"")</f>
        <v/>
      </c>
      <c r="C93" s="29" t="str">
        <f>IF(ROWS('Insumos a comprar'!$B$5:E95)&lt;=COUNTIF(Insumos_a_comprar[Planilla],C$1),INDEX(Insumos_a_comprar[Insumo],_xlfn.AGGREGATE(15,6,(Insumos_a_comprar[Planilla]=C$1)/(Insumos_a_comprar[Planilla]=C$1)*ROW(Insumos_a_comprar[Planilla])-ROW(Insumos_a_comprar[[#Headers],[Planilla]]),ROWS('Insumos a comprar'!$B$5:E95))),"")</f>
        <v/>
      </c>
      <c r="D93" s="29" t="str">
        <f>IF(ROWS('Insumos a comprar'!$B$5:F95)&lt;=COUNTIF(Insumos_a_comprar[Planilla],D$1),INDEX(Insumos_a_comprar[Insumo],_xlfn.AGGREGATE(15,6,(Insumos_a_comprar[Planilla]=D$1)/(Insumos_a_comprar[Planilla]=D$1)*ROW(Insumos_a_comprar[Planilla])-ROW(Insumos_a_comprar[[#Headers],[Planilla]]),ROWS('Insumos a comprar'!$B$5:F95))),"")</f>
        <v/>
      </c>
      <c r="E93" s="29" t="str">
        <f>IF(ROWS('Insumos a comprar'!$B$5:G95)&lt;=COUNTIF(Insumos_a_comprar[Planilla],E$1),INDEX(Insumos_a_comprar[Insumo],_xlfn.AGGREGATE(15,6,(Insumos_a_comprar[Planilla]=E$1)/(Insumos_a_comprar[Planilla]=E$1)*ROW(Insumos_a_comprar[Planilla])-ROW(Insumos_a_comprar[[#Headers],[Planilla]]),ROWS('Insumos a comprar'!$B$5:G95))),"")</f>
        <v/>
      </c>
      <c r="F93" s="29" t="str">
        <f>IF(ROWS('Insumos a comprar'!$B$5:H95)&lt;=COUNTIF(Insumos_a_comprar[Planilla],F$1),INDEX(Insumos_a_comprar[Insumo],_xlfn.AGGREGATE(15,6,(Insumos_a_comprar[Planilla]=F$1)/(Insumos_a_comprar[Planilla]=F$1)*ROW(Insumos_a_comprar[Planilla])-ROW(Insumos_a_comprar[[#Headers],[Planilla]]),ROWS('Insumos a comprar'!$B$5:H95))),"")</f>
        <v/>
      </c>
      <c r="G93" s="29" t="str">
        <f>IF(ROWS('Insumos a comprar'!$B$5:I95)&lt;=COUNTIF(Insumos_a_comprar[Planilla],G$1),INDEX(Insumos_a_comprar[Insumo],_xlfn.AGGREGATE(15,6,(Insumos_a_comprar[Planilla]=G$1)/(Insumos_a_comprar[Planilla]=G$1)*ROW(Insumos_a_comprar[Planilla])-ROW(Insumos_a_comprar[[#Headers],[Planilla]]),ROWS('Insumos a comprar'!$B$5:I95))),"")</f>
        <v/>
      </c>
      <c r="H93" s="29" t="str">
        <f>IF(ROWS('Insumos a comprar'!$B$5:I95)&lt;=COUNTIF(Insumos_a_comprar[Planilla],H$1),INDEX(Insumos_a_comprar[Insumo],_xlfn.AGGREGATE(15,6,(Insumos_a_comprar[Planilla]=H$1)/(Insumos_a_comprar[Planilla]=H$1)*ROW(Insumos_a_comprar[Planilla])-ROW(Insumos_a_comprar[[#Headers],[Planilla]]),ROWS('Insumos a comprar'!$B$5:I95))),"")</f>
        <v>Probetas Plástico 100 ml</v>
      </c>
      <c r="I93" s="29" t="str">
        <f>IF(ROWS('Insumos a comprar'!$B$5:I95)&lt;=COUNTIF(Insumos_a_comprar[Planilla],I$1),INDEX(Insumos_a_comprar[Insumo],_xlfn.AGGREGATE(15,6,(Insumos_a_comprar[Planilla]=I$1)/(Insumos_a_comprar[Planilla]=I$1)*ROW(Insumos_a_comprar[Planilla])-ROW(Insumos_a_comprar[[#Headers],[Planilla]]),ROWS('Insumos a comprar'!$B$5:I95))),"")</f>
        <v/>
      </c>
      <c r="J93" s="29" t="str">
        <f>IF(ROWS('Insumos a comprar'!$B$5:I95)&lt;=COUNTIF(Insumos_a_comprar[Planilla],J$1),INDEX(Insumos_a_comprar[Insumo],_xlfn.AGGREGATE(15,6,(Insumos_a_comprar[Planilla]=J$1)/(Insumos_a_comprar[Planilla]=J$1)*ROW(Insumos_a_comprar[Planilla])-ROW(Insumos_a_comprar[[#Headers],[Planilla]]),ROWS('Insumos a comprar'!$B$5:I95))),"")</f>
        <v/>
      </c>
      <c r="K93" s="29" t="str">
        <f>IF(ROWS('Insumos a comprar'!$B$5:I95)&lt;=COUNTIF(Insumos_a_comprar[Planilla],K$1),INDEX(Insumos_a_comprar[Insumo],_xlfn.AGGREGATE(15,6,(Insumos_a_comprar[Planilla]=K$1)/(Insumos_a_comprar[Planilla]=K$1)*ROW(Insumos_a_comprar[Planilla])-ROW(Insumos_a_comprar[[#Headers],[Planilla]]),ROWS('Insumos a comprar'!$B$5:I95))),"")</f>
        <v/>
      </c>
      <c r="L93" s="29" t="str">
        <f>IF(ROWS('Insumos a comprar'!$B$5:I95)&lt;=COUNTIF(Insumos_a_comprar[Planilla],L$1),INDEX(Insumos_a_comprar[Insumo],_xlfn.AGGREGATE(15,6,(Insumos_a_comprar[Planilla]=L$1)/(Insumos_a_comprar[Planilla]=L$1)*ROW(Insumos_a_comprar[Planilla])-ROW(Insumos_a_comprar[[#Headers],[Planilla]]),ROWS('Insumos a comprar'!$B$5:I95))),"")</f>
        <v/>
      </c>
      <c r="M93" s="29"/>
      <c r="N93" s="29"/>
      <c r="O93" s="29"/>
      <c r="P93" s="29"/>
      <c r="Q93" s="29"/>
    </row>
    <row r="94" spans="1:17" ht="15.75" x14ac:dyDescent="0.25">
      <c r="A94" s="29" t="str">
        <f>IF(ROWS('Insumos a comprar'!$B$5:B96)&lt;=COUNTIF(Insumos_a_comprar[Planilla],A$1),INDEX(Insumos_a_comprar[Insumo],_xlfn.AGGREGATE(15,6,(Insumos_a_comprar[Planilla]=A$1)/(Insumos_a_comprar[Planilla]=A$1)*ROW(Insumos_a_comprar[Planilla])-ROW(Insumos_a_comprar[[#Headers],[Planilla]]),ROWS('Insumos a comprar'!$B$5:B96))),"")</f>
        <v/>
      </c>
      <c r="B94" s="29" t="str">
        <f>IF(ROWS('Insumos a comprar'!$B$5:B96)&lt;=COUNTIF(Insumos_a_comprar[Planilla],B$1),INDEX(Insumos_a_comprar[Insumo],_xlfn.AGGREGATE(15,6,(Insumos_a_comprar[Planilla]=B$1)/(Insumos_a_comprar[Planilla]=B$1)*ROW(Insumos_a_comprar[Planilla])-ROW(Insumos_a_comprar[[#Headers],[Planilla]]),ROWS('Insumos a comprar'!$B$5:B96))),"")</f>
        <v/>
      </c>
      <c r="C94" s="29" t="str">
        <f>IF(ROWS('Insumos a comprar'!$B$5:E96)&lt;=COUNTIF(Insumos_a_comprar[Planilla],C$1),INDEX(Insumos_a_comprar[Insumo],_xlfn.AGGREGATE(15,6,(Insumos_a_comprar[Planilla]=C$1)/(Insumos_a_comprar[Planilla]=C$1)*ROW(Insumos_a_comprar[Planilla])-ROW(Insumos_a_comprar[[#Headers],[Planilla]]),ROWS('Insumos a comprar'!$B$5:E96))),"")</f>
        <v/>
      </c>
      <c r="D94" s="29" t="str">
        <f>IF(ROWS('Insumos a comprar'!$B$5:F96)&lt;=COUNTIF(Insumos_a_comprar[Planilla],D$1),INDEX(Insumos_a_comprar[Insumo],_xlfn.AGGREGATE(15,6,(Insumos_a_comprar[Planilla]=D$1)/(Insumos_a_comprar[Planilla]=D$1)*ROW(Insumos_a_comprar[Planilla])-ROW(Insumos_a_comprar[[#Headers],[Planilla]]),ROWS('Insumos a comprar'!$B$5:F96))),"")</f>
        <v/>
      </c>
      <c r="E94" s="29" t="str">
        <f>IF(ROWS('Insumos a comprar'!$B$5:G96)&lt;=COUNTIF(Insumos_a_comprar[Planilla],E$1),INDEX(Insumos_a_comprar[Insumo],_xlfn.AGGREGATE(15,6,(Insumos_a_comprar[Planilla]=E$1)/(Insumos_a_comprar[Planilla]=E$1)*ROW(Insumos_a_comprar[Planilla])-ROW(Insumos_a_comprar[[#Headers],[Planilla]]),ROWS('Insumos a comprar'!$B$5:G96))),"")</f>
        <v/>
      </c>
      <c r="F94" s="29" t="str">
        <f>IF(ROWS('Insumos a comprar'!$B$5:H96)&lt;=COUNTIF(Insumos_a_comprar[Planilla],F$1),INDEX(Insumos_a_comprar[Insumo],_xlfn.AGGREGATE(15,6,(Insumos_a_comprar[Planilla]=F$1)/(Insumos_a_comprar[Planilla]=F$1)*ROW(Insumos_a_comprar[Planilla])-ROW(Insumos_a_comprar[[#Headers],[Planilla]]),ROWS('Insumos a comprar'!$B$5:H96))),"")</f>
        <v/>
      </c>
      <c r="G94" s="29" t="str">
        <f>IF(ROWS('Insumos a comprar'!$B$5:I96)&lt;=COUNTIF(Insumos_a_comprar[Planilla],G$1),INDEX(Insumos_a_comprar[Insumo],_xlfn.AGGREGATE(15,6,(Insumos_a_comprar[Planilla]=G$1)/(Insumos_a_comprar[Planilla]=G$1)*ROW(Insumos_a_comprar[Planilla])-ROW(Insumos_a_comprar[[#Headers],[Planilla]]),ROWS('Insumos a comprar'!$B$5:I96))),"")</f>
        <v/>
      </c>
      <c r="H94" s="29" t="str">
        <f>IF(ROWS('Insumos a comprar'!$B$5:I96)&lt;=COUNTIF(Insumos_a_comprar[Planilla],H$1),INDEX(Insumos_a_comprar[Insumo],_xlfn.AGGREGATE(15,6,(Insumos_a_comprar[Planilla]=H$1)/(Insumos_a_comprar[Planilla]=H$1)*ROW(Insumos_a_comprar[Planilla])-ROW(Insumos_a_comprar[[#Headers],[Planilla]]),ROWS('Insumos a comprar'!$B$5:I96))),"")</f>
        <v>Probetas Plástico 25 ml</v>
      </c>
      <c r="I94" s="29" t="str">
        <f>IF(ROWS('Insumos a comprar'!$B$5:I96)&lt;=COUNTIF(Insumos_a_comprar[Planilla],I$1),INDEX(Insumos_a_comprar[Insumo],_xlfn.AGGREGATE(15,6,(Insumos_a_comprar[Planilla]=I$1)/(Insumos_a_comprar[Planilla]=I$1)*ROW(Insumos_a_comprar[Planilla])-ROW(Insumos_a_comprar[[#Headers],[Planilla]]),ROWS('Insumos a comprar'!$B$5:I96))),"")</f>
        <v/>
      </c>
      <c r="J94" s="29" t="str">
        <f>IF(ROWS('Insumos a comprar'!$B$5:I96)&lt;=COUNTIF(Insumos_a_comprar[Planilla],J$1),INDEX(Insumos_a_comprar[Insumo],_xlfn.AGGREGATE(15,6,(Insumos_a_comprar[Planilla]=J$1)/(Insumos_a_comprar[Planilla]=J$1)*ROW(Insumos_a_comprar[Planilla])-ROW(Insumos_a_comprar[[#Headers],[Planilla]]),ROWS('Insumos a comprar'!$B$5:I96))),"")</f>
        <v/>
      </c>
      <c r="K94" s="29" t="str">
        <f>IF(ROWS('Insumos a comprar'!$B$5:I96)&lt;=COUNTIF(Insumos_a_comprar[Planilla],K$1),INDEX(Insumos_a_comprar[Insumo],_xlfn.AGGREGATE(15,6,(Insumos_a_comprar[Planilla]=K$1)/(Insumos_a_comprar[Planilla]=K$1)*ROW(Insumos_a_comprar[Planilla])-ROW(Insumos_a_comprar[[#Headers],[Planilla]]),ROWS('Insumos a comprar'!$B$5:I96))),"")</f>
        <v/>
      </c>
      <c r="L94" s="29" t="str">
        <f>IF(ROWS('Insumos a comprar'!$B$5:I96)&lt;=COUNTIF(Insumos_a_comprar[Planilla],L$1),INDEX(Insumos_a_comprar[Insumo],_xlfn.AGGREGATE(15,6,(Insumos_a_comprar[Planilla]=L$1)/(Insumos_a_comprar[Planilla]=L$1)*ROW(Insumos_a_comprar[Planilla])-ROW(Insumos_a_comprar[[#Headers],[Planilla]]),ROWS('Insumos a comprar'!$B$5:I96))),"")</f>
        <v/>
      </c>
      <c r="M94" s="29"/>
      <c r="N94" s="29"/>
      <c r="O94" s="29"/>
      <c r="P94" s="29"/>
      <c r="Q94" s="29"/>
    </row>
    <row r="95" spans="1:17" ht="15.75" x14ac:dyDescent="0.25">
      <c r="A95" s="29" t="str">
        <f>IF(ROWS('Insumos a comprar'!$B$5:B97)&lt;=COUNTIF(Insumos_a_comprar[Planilla],A$1),INDEX(Insumos_a_comprar[Insumo],_xlfn.AGGREGATE(15,6,(Insumos_a_comprar[Planilla]=A$1)/(Insumos_a_comprar[Planilla]=A$1)*ROW(Insumos_a_comprar[Planilla])-ROW(Insumos_a_comprar[[#Headers],[Planilla]]),ROWS('Insumos a comprar'!$B$5:B97))),"")</f>
        <v/>
      </c>
      <c r="B95" s="29" t="str">
        <f>IF(ROWS('Insumos a comprar'!$B$5:B97)&lt;=COUNTIF(Insumos_a_comprar[Planilla],B$1),INDEX(Insumos_a_comprar[Insumo],_xlfn.AGGREGATE(15,6,(Insumos_a_comprar[Planilla]=B$1)/(Insumos_a_comprar[Planilla]=B$1)*ROW(Insumos_a_comprar[Planilla])-ROW(Insumos_a_comprar[[#Headers],[Planilla]]),ROWS('Insumos a comprar'!$B$5:B97))),"")</f>
        <v/>
      </c>
      <c r="C95" s="29" t="str">
        <f>IF(ROWS('Insumos a comprar'!$B$5:E97)&lt;=COUNTIF(Insumos_a_comprar[Planilla],C$1),INDEX(Insumos_a_comprar[Insumo],_xlfn.AGGREGATE(15,6,(Insumos_a_comprar[Planilla]=C$1)/(Insumos_a_comprar[Planilla]=C$1)*ROW(Insumos_a_comprar[Planilla])-ROW(Insumos_a_comprar[[#Headers],[Planilla]]),ROWS('Insumos a comprar'!$B$5:E97))),"")</f>
        <v/>
      </c>
      <c r="D95" s="29" t="str">
        <f>IF(ROWS('Insumos a comprar'!$B$5:F97)&lt;=COUNTIF(Insumos_a_comprar[Planilla],D$1),INDEX(Insumos_a_comprar[Insumo],_xlfn.AGGREGATE(15,6,(Insumos_a_comprar[Planilla]=D$1)/(Insumos_a_comprar[Planilla]=D$1)*ROW(Insumos_a_comprar[Planilla])-ROW(Insumos_a_comprar[[#Headers],[Planilla]]),ROWS('Insumos a comprar'!$B$5:F97))),"")</f>
        <v/>
      </c>
      <c r="E95" s="29" t="str">
        <f>IF(ROWS('Insumos a comprar'!$B$5:G97)&lt;=COUNTIF(Insumos_a_comprar[Planilla],E$1),INDEX(Insumos_a_comprar[Insumo],_xlfn.AGGREGATE(15,6,(Insumos_a_comprar[Planilla]=E$1)/(Insumos_a_comprar[Planilla]=E$1)*ROW(Insumos_a_comprar[Planilla])-ROW(Insumos_a_comprar[[#Headers],[Planilla]]),ROWS('Insumos a comprar'!$B$5:G97))),"")</f>
        <v/>
      </c>
      <c r="F95" s="29" t="str">
        <f>IF(ROWS('Insumos a comprar'!$B$5:H97)&lt;=COUNTIF(Insumos_a_comprar[Planilla],F$1),INDEX(Insumos_a_comprar[Insumo],_xlfn.AGGREGATE(15,6,(Insumos_a_comprar[Planilla]=F$1)/(Insumos_a_comprar[Planilla]=F$1)*ROW(Insumos_a_comprar[Planilla])-ROW(Insumos_a_comprar[[#Headers],[Planilla]]),ROWS('Insumos a comprar'!$B$5:H97))),"")</f>
        <v/>
      </c>
      <c r="G95" s="29" t="str">
        <f>IF(ROWS('Insumos a comprar'!$B$5:I97)&lt;=COUNTIF(Insumos_a_comprar[Planilla],G$1),INDEX(Insumos_a_comprar[Insumo],_xlfn.AGGREGATE(15,6,(Insumos_a_comprar[Planilla]=G$1)/(Insumos_a_comprar[Planilla]=G$1)*ROW(Insumos_a_comprar[Planilla])-ROW(Insumos_a_comprar[[#Headers],[Planilla]]),ROWS('Insumos a comprar'!$B$5:I97))),"")</f>
        <v/>
      </c>
      <c r="H95" s="29" t="str">
        <f>IF(ROWS('Insumos a comprar'!$B$5:I97)&lt;=COUNTIF(Insumos_a_comprar[Planilla],H$1),INDEX(Insumos_a_comprar[Insumo],_xlfn.AGGREGATE(15,6,(Insumos_a_comprar[Planilla]=H$1)/(Insumos_a_comprar[Planilla]=H$1)*ROW(Insumos_a_comprar[Planilla])-ROW(Insumos_a_comprar[[#Headers],[Planilla]]),ROWS('Insumos a comprar'!$B$5:I97))),"")</f>
        <v>Probetas Plástico 250 ml</v>
      </c>
      <c r="I95" s="29" t="str">
        <f>IF(ROWS('Insumos a comprar'!$B$5:I97)&lt;=COUNTIF(Insumos_a_comprar[Planilla],I$1),INDEX(Insumos_a_comprar[Insumo],_xlfn.AGGREGATE(15,6,(Insumos_a_comprar[Planilla]=I$1)/(Insumos_a_comprar[Planilla]=I$1)*ROW(Insumos_a_comprar[Planilla])-ROW(Insumos_a_comprar[[#Headers],[Planilla]]),ROWS('Insumos a comprar'!$B$5:I97))),"")</f>
        <v/>
      </c>
      <c r="J95" s="29" t="str">
        <f>IF(ROWS('Insumos a comprar'!$B$5:I97)&lt;=COUNTIF(Insumos_a_comprar[Planilla],J$1),INDEX(Insumos_a_comprar[Insumo],_xlfn.AGGREGATE(15,6,(Insumos_a_comprar[Planilla]=J$1)/(Insumos_a_comprar[Planilla]=J$1)*ROW(Insumos_a_comprar[Planilla])-ROW(Insumos_a_comprar[[#Headers],[Planilla]]),ROWS('Insumos a comprar'!$B$5:I97))),"")</f>
        <v/>
      </c>
      <c r="K95" s="29" t="str">
        <f>IF(ROWS('Insumos a comprar'!$B$5:I97)&lt;=COUNTIF(Insumos_a_comprar[Planilla],K$1),INDEX(Insumos_a_comprar[Insumo],_xlfn.AGGREGATE(15,6,(Insumos_a_comprar[Planilla]=K$1)/(Insumos_a_comprar[Planilla]=K$1)*ROW(Insumos_a_comprar[Planilla])-ROW(Insumos_a_comprar[[#Headers],[Planilla]]),ROWS('Insumos a comprar'!$B$5:I97))),"")</f>
        <v/>
      </c>
      <c r="L95" s="29" t="str">
        <f>IF(ROWS('Insumos a comprar'!$B$5:I97)&lt;=COUNTIF(Insumos_a_comprar[Planilla],L$1),INDEX(Insumos_a_comprar[Insumo],_xlfn.AGGREGATE(15,6,(Insumos_a_comprar[Planilla]=L$1)/(Insumos_a_comprar[Planilla]=L$1)*ROW(Insumos_a_comprar[Planilla])-ROW(Insumos_a_comprar[[#Headers],[Planilla]]),ROWS('Insumos a comprar'!$B$5:I97))),"")</f>
        <v/>
      </c>
      <c r="M95" s="29"/>
      <c r="N95" s="29"/>
      <c r="O95" s="29"/>
      <c r="P95" s="29"/>
      <c r="Q95" s="29"/>
    </row>
    <row r="96" spans="1:17" ht="15.75" x14ac:dyDescent="0.25">
      <c r="A96" s="29" t="str">
        <f>IF(ROWS('Insumos a comprar'!$B$5:B98)&lt;=COUNTIF(Insumos_a_comprar[Planilla],A$1),INDEX(Insumos_a_comprar[Insumo],_xlfn.AGGREGATE(15,6,(Insumos_a_comprar[Planilla]=A$1)/(Insumos_a_comprar[Planilla]=A$1)*ROW(Insumos_a_comprar[Planilla])-ROW(Insumos_a_comprar[[#Headers],[Planilla]]),ROWS('Insumos a comprar'!$B$5:B98))),"")</f>
        <v/>
      </c>
      <c r="B96" s="29" t="str">
        <f>IF(ROWS('Insumos a comprar'!$B$5:B98)&lt;=COUNTIF(Insumos_a_comprar[Planilla],B$1),INDEX(Insumos_a_comprar[Insumo],_xlfn.AGGREGATE(15,6,(Insumos_a_comprar[Planilla]=B$1)/(Insumos_a_comprar[Planilla]=B$1)*ROW(Insumos_a_comprar[Planilla])-ROW(Insumos_a_comprar[[#Headers],[Planilla]]),ROWS('Insumos a comprar'!$B$5:B98))),"")</f>
        <v/>
      </c>
      <c r="C96" s="29" t="str">
        <f>IF(ROWS('Insumos a comprar'!$B$5:E98)&lt;=COUNTIF(Insumos_a_comprar[Planilla],C$1),INDEX(Insumos_a_comprar[Insumo],_xlfn.AGGREGATE(15,6,(Insumos_a_comprar[Planilla]=C$1)/(Insumos_a_comprar[Planilla]=C$1)*ROW(Insumos_a_comprar[Planilla])-ROW(Insumos_a_comprar[[#Headers],[Planilla]]),ROWS('Insumos a comprar'!$B$5:E98))),"")</f>
        <v/>
      </c>
      <c r="D96" s="29" t="str">
        <f>IF(ROWS('Insumos a comprar'!$B$5:F98)&lt;=COUNTIF(Insumos_a_comprar[Planilla],D$1),INDEX(Insumos_a_comprar[Insumo],_xlfn.AGGREGATE(15,6,(Insumos_a_comprar[Planilla]=D$1)/(Insumos_a_comprar[Planilla]=D$1)*ROW(Insumos_a_comprar[Planilla])-ROW(Insumos_a_comprar[[#Headers],[Planilla]]),ROWS('Insumos a comprar'!$B$5:F98))),"")</f>
        <v/>
      </c>
      <c r="E96" s="29" t="str">
        <f>IF(ROWS('Insumos a comprar'!$B$5:G98)&lt;=COUNTIF(Insumos_a_comprar[Planilla],E$1),INDEX(Insumos_a_comprar[Insumo],_xlfn.AGGREGATE(15,6,(Insumos_a_comprar[Planilla]=E$1)/(Insumos_a_comprar[Planilla]=E$1)*ROW(Insumos_a_comprar[Planilla])-ROW(Insumos_a_comprar[[#Headers],[Planilla]]),ROWS('Insumos a comprar'!$B$5:G98))),"")</f>
        <v/>
      </c>
      <c r="F96" s="29" t="str">
        <f>IF(ROWS('Insumos a comprar'!$B$5:H98)&lt;=COUNTIF(Insumos_a_comprar[Planilla],F$1),INDEX(Insumos_a_comprar[Insumo],_xlfn.AGGREGATE(15,6,(Insumos_a_comprar[Planilla]=F$1)/(Insumos_a_comprar[Planilla]=F$1)*ROW(Insumos_a_comprar[Planilla])-ROW(Insumos_a_comprar[[#Headers],[Planilla]]),ROWS('Insumos a comprar'!$B$5:H98))),"")</f>
        <v/>
      </c>
      <c r="G96" s="29" t="str">
        <f>IF(ROWS('Insumos a comprar'!$B$5:I98)&lt;=COUNTIF(Insumos_a_comprar[Planilla],G$1),INDEX(Insumos_a_comprar[Insumo],_xlfn.AGGREGATE(15,6,(Insumos_a_comprar[Planilla]=G$1)/(Insumos_a_comprar[Planilla]=G$1)*ROW(Insumos_a_comprar[Planilla])-ROW(Insumos_a_comprar[[#Headers],[Planilla]]),ROWS('Insumos a comprar'!$B$5:I98))),"")</f>
        <v/>
      </c>
      <c r="H96" s="29" t="str">
        <f>IF(ROWS('Insumos a comprar'!$B$5:I98)&lt;=COUNTIF(Insumos_a_comprar[Planilla],H$1),INDEX(Insumos_a_comprar[Insumo],_xlfn.AGGREGATE(15,6,(Insumos_a_comprar[Planilla]=H$1)/(Insumos_a_comprar[Planilla]=H$1)*ROW(Insumos_a_comprar[Planilla])-ROW(Insumos_a_comprar[[#Headers],[Planilla]]),ROWS('Insumos a comprar'!$B$5:I98))),"")</f>
        <v>Probetas Plástico 50 ml</v>
      </c>
      <c r="I96" s="29" t="str">
        <f>IF(ROWS('Insumos a comprar'!$B$5:I98)&lt;=COUNTIF(Insumos_a_comprar[Planilla],I$1),INDEX(Insumos_a_comprar[Insumo],_xlfn.AGGREGATE(15,6,(Insumos_a_comprar[Planilla]=I$1)/(Insumos_a_comprar[Planilla]=I$1)*ROW(Insumos_a_comprar[Planilla])-ROW(Insumos_a_comprar[[#Headers],[Planilla]]),ROWS('Insumos a comprar'!$B$5:I98))),"")</f>
        <v/>
      </c>
      <c r="J96" s="29" t="str">
        <f>IF(ROWS('Insumos a comprar'!$B$5:I98)&lt;=COUNTIF(Insumos_a_comprar[Planilla],J$1),INDEX(Insumos_a_comprar[Insumo],_xlfn.AGGREGATE(15,6,(Insumos_a_comprar[Planilla]=J$1)/(Insumos_a_comprar[Planilla]=J$1)*ROW(Insumos_a_comprar[Planilla])-ROW(Insumos_a_comprar[[#Headers],[Planilla]]),ROWS('Insumos a comprar'!$B$5:I98))),"")</f>
        <v/>
      </c>
      <c r="K96" s="29" t="str">
        <f>IF(ROWS('Insumos a comprar'!$B$5:I98)&lt;=COUNTIF(Insumos_a_comprar[Planilla],K$1),INDEX(Insumos_a_comprar[Insumo],_xlfn.AGGREGATE(15,6,(Insumos_a_comprar[Planilla]=K$1)/(Insumos_a_comprar[Planilla]=K$1)*ROW(Insumos_a_comprar[Planilla])-ROW(Insumos_a_comprar[[#Headers],[Planilla]]),ROWS('Insumos a comprar'!$B$5:I98))),"")</f>
        <v/>
      </c>
      <c r="L96" s="29" t="str">
        <f>IF(ROWS('Insumos a comprar'!$B$5:I98)&lt;=COUNTIF(Insumos_a_comprar[Planilla],L$1),INDEX(Insumos_a_comprar[Insumo],_xlfn.AGGREGATE(15,6,(Insumos_a_comprar[Planilla]=L$1)/(Insumos_a_comprar[Planilla]=L$1)*ROW(Insumos_a_comprar[Planilla])-ROW(Insumos_a_comprar[[#Headers],[Planilla]]),ROWS('Insumos a comprar'!$B$5:I98))),"")</f>
        <v/>
      </c>
      <c r="M96" s="29"/>
      <c r="N96" s="29"/>
      <c r="O96" s="29"/>
      <c r="P96" s="29"/>
      <c r="Q96" s="29"/>
    </row>
    <row r="97" spans="1:17" ht="15.75" x14ac:dyDescent="0.25">
      <c r="A97" s="29" t="str">
        <f>IF(ROWS('Insumos a comprar'!$B$5:B99)&lt;=COUNTIF(Insumos_a_comprar[Planilla],A$1),INDEX(Insumos_a_comprar[Insumo],_xlfn.AGGREGATE(15,6,(Insumos_a_comprar[Planilla]=A$1)/(Insumos_a_comprar[Planilla]=A$1)*ROW(Insumos_a_comprar[Planilla])-ROW(Insumos_a_comprar[[#Headers],[Planilla]]),ROWS('Insumos a comprar'!$B$5:B99))),"")</f>
        <v/>
      </c>
      <c r="B97" s="29" t="str">
        <f>IF(ROWS('Insumos a comprar'!$B$5:B99)&lt;=COUNTIF(Insumos_a_comprar[Planilla],B$1),INDEX(Insumos_a_comprar[Insumo],_xlfn.AGGREGATE(15,6,(Insumos_a_comprar[Planilla]=B$1)/(Insumos_a_comprar[Planilla]=B$1)*ROW(Insumos_a_comprar[Planilla])-ROW(Insumos_a_comprar[[#Headers],[Planilla]]),ROWS('Insumos a comprar'!$B$5:B99))),"")</f>
        <v/>
      </c>
      <c r="C97" s="29" t="str">
        <f>IF(ROWS('Insumos a comprar'!$B$5:E99)&lt;=COUNTIF(Insumos_a_comprar[Planilla],C$1),INDEX(Insumos_a_comprar[Insumo],_xlfn.AGGREGATE(15,6,(Insumos_a_comprar[Planilla]=C$1)/(Insumos_a_comprar[Planilla]=C$1)*ROW(Insumos_a_comprar[Planilla])-ROW(Insumos_a_comprar[[#Headers],[Planilla]]),ROWS('Insumos a comprar'!$B$5:E99))),"")</f>
        <v/>
      </c>
      <c r="D97" s="29" t="str">
        <f>IF(ROWS('Insumos a comprar'!$B$5:F99)&lt;=COUNTIF(Insumos_a_comprar[Planilla],D$1),INDEX(Insumos_a_comprar[Insumo],_xlfn.AGGREGATE(15,6,(Insumos_a_comprar[Planilla]=D$1)/(Insumos_a_comprar[Planilla]=D$1)*ROW(Insumos_a_comprar[Planilla])-ROW(Insumos_a_comprar[[#Headers],[Planilla]]),ROWS('Insumos a comprar'!$B$5:F99))),"")</f>
        <v/>
      </c>
      <c r="E97" s="29" t="str">
        <f>IF(ROWS('Insumos a comprar'!$B$5:G99)&lt;=COUNTIF(Insumos_a_comprar[Planilla],E$1),INDEX(Insumos_a_comprar[Insumo],_xlfn.AGGREGATE(15,6,(Insumos_a_comprar[Planilla]=E$1)/(Insumos_a_comprar[Planilla]=E$1)*ROW(Insumos_a_comprar[Planilla])-ROW(Insumos_a_comprar[[#Headers],[Planilla]]),ROWS('Insumos a comprar'!$B$5:G99))),"")</f>
        <v/>
      </c>
      <c r="F97" s="29" t="str">
        <f>IF(ROWS('Insumos a comprar'!$B$5:H99)&lt;=COUNTIF(Insumos_a_comprar[Planilla],F$1),INDEX(Insumos_a_comprar[Insumo],_xlfn.AGGREGATE(15,6,(Insumos_a_comprar[Planilla]=F$1)/(Insumos_a_comprar[Planilla]=F$1)*ROW(Insumos_a_comprar[Planilla])-ROW(Insumos_a_comprar[[#Headers],[Planilla]]),ROWS('Insumos a comprar'!$B$5:H99))),"")</f>
        <v/>
      </c>
      <c r="G97" s="29" t="str">
        <f>IF(ROWS('Insumos a comprar'!$B$5:I99)&lt;=COUNTIF(Insumos_a_comprar[Planilla],G$1),INDEX(Insumos_a_comprar[Insumo],_xlfn.AGGREGATE(15,6,(Insumos_a_comprar[Planilla]=G$1)/(Insumos_a_comprar[Planilla]=G$1)*ROW(Insumos_a_comprar[Planilla])-ROW(Insumos_a_comprar[[#Headers],[Planilla]]),ROWS('Insumos a comprar'!$B$5:I99))),"")</f>
        <v/>
      </c>
      <c r="H97" s="29" t="str">
        <f>IF(ROWS('Insumos a comprar'!$B$5:I99)&lt;=COUNTIF(Insumos_a_comprar[Planilla],H$1),INDEX(Insumos_a_comprar[Insumo],_xlfn.AGGREGATE(15,6,(Insumos_a_comprar[Planilla]=H$1)/(Insumos_a_comprar[Planilla]=H$1)*ROW(Insumos_a_comprar[Planilla])-ROW(Insumos_a_comprar[[#Headers],[Planilla]]),ROWS('Insumos a comprar'!$B$5:I99))),"")</f>
        <v>Probetas Vidrio 100 ml</v>
      </c>
      <c r="I97" s="29" t="str">
        <f>IF(ROWS('Insumos a comprar'!$B$5:I99)&lt;=COUNTIF(Insumos_a_comprar[Planilla],I$1),INDEX(Insumos_a_comprar[Insumo],_xlfn.AGGREGATE(15,6,(Insumos_a_comprar[Planilla]=I$1)/(Insumos_a_comprar[Planilla]=I$1)*ROW(Insumos_a_comprar[Planilla])-ROW(Insumos_a_comprar[[#Headers],[Planilla]]),ROWS('Insumos a comprar'!$B$5:I99))),"")</f>
        <v/>
      </c>
      <c r="J97" s="29" t="str">
        <f>IF(ROWS('Insumos a comprar'!$B$5:I99)&lt;=COUNTIF(Insumos_a_comprar[Planilla],J$1),INDEX(Insumos_a_comprar[Insumo],_xlfn.AGGREGATE(15,6,(Insumos_a_comprar[Planilla]=J$1)/(Insumos_a_comprar[Planilla]=J$1)*ROW(Insumos_a_comprar[Planilla])-ROW(Insumos_a_comprar[[#Headers],[Planilla]]),ROWS('Insumos a comprar'!$B$5:I99))),"")</f>
        <v/>
      </c>
      <c r="K97" s="29" t="str">
        <f>IF(ROWS('Insumos a comprar'!$B$5:I99)&lt;=COUNTIF(Insumos_a_comprar[Planilla],K$1),INDEX(Insumos_a_comprar[Insumo],_xlfn.AGGREGATE(15,6,(Insumos_a_comprar[Planilla]=K$1)/(Insumos_a_comprar[Planilla]=K$1)*ROW(Insumos_a_comprar[Planilla])-ROW(Insumos_a_comprar[[#Headers],[Planilla]]),ROWS('Insumos a comprar'!$B$5:I99))),"")</f>
        <v/>
      </c>
      <c r="L97" s="29" t="str">
        <f>IF(ROWS('Insumos a comprar'!$B$5:I99)&lt;=COUNTIF(Insumos_a_comprar[Planilla],L$1),INDEX(Insumos_a_comprar[Insumo],_xlfn.AGGREGATE(15,6,(Insumos_a_comprar[Planilla]=L$1)/(Insumos_a_comprar[Planilla]=L$1)*ROW(Insumos_a_comprar[Planilla])-ROW(Insumos_a_comprar[[#Headers],[Planilla]]),ROWS('Insumos a comprar'!$B$5:I99))),"")</f>
        <v/>
      </c>
      <c r="M97" s="29"/>
      <c r="N97" s="29"/>
      <c r="O97" s="29"/>
      <c r="P97" s="29"/>
      <c r="Q97" s="29"/>
    </row>
    <row r="98" spans="1:17" ht="15.75" x14ac:dyDescent="0.25">
      <c r="A98" s="29" t="str">
        <f>IF(ROWS('Insumos a comprar'!$B$5:B100)&lt;=COUNTIF(Insumos_a_comprar[Planilla],A$1),INDEX(Insumos_a_comprar[Insumo],_xlfn.AGGREGATE(15,6,(Insumos_a_comprar[Planilla]=A$1)/(Insumos_a_comprar[Planilla]=A$1)*ROW(Insumos_a_comprar[Planilla])-ROW(Insumos_a_comprar[[#Headers],[Planilla]]),ROWS('Insumos a comprar'!$B$5:B100))),"")</f>
        <v/>
      </c>
      <c r="B98" s="29" t="str">
        <f>IF(ROWS('Insumos a comprar'!$B$5:B100)&lt;=COUNTIF(Insumos_a_comprar[Planilla],B$1),INDEX(Insumos_a_comprar[Insumo],_xlfn.AGGREGATE(15,6,(Insumos_a_comprar[Planilla]=B$1)/(Insumos_a_comprar[Planilla]=B$1)*ROW(Insumos_a_comprar[Planilla])-ROW(Insumos_a_comprar[[#Headers],[Planilla]]),ROWS('Insumos a comprar'!$B$5:B100))),"")</f>
        <v/>
      </c>
      <c r="C98" s="29" t="str">
        <f>IF(ROWS('Insumos a comprar'!$B$5:E100)&lt;=COUNTIF(Insumos_a_comprar[Planilla],C$1),INDEX(Insumos_a_comprar[Insumo],_xlfn.AGGREGATE(15,6,(Insumos_a_comprar[Planilla]=C$1)/(Insumos_a_comprar[Planilla]=C$1)*ROW(Insumos_a_comprar[Planilla])-ROW(Insumos_a_comprar[[#Headers],[Planilla]]),ROWS('Insumos a comprar'!$B$5:E100))),"")</f>
        <v/>
      </c>
      <c r="D98" s="29" t="str">
        <f>IF(ROWS('Insumos a comprar'!$B$5:F100)&lt;=COUNTIF(Insumos_a_comprar[Planilla],D$1),INDEX(Insumos_a_comprar[Insumo],_xlfn.AGGREGATE(15,6,(Insumos_a_comprar[Planilla]=D$1)/(Insumos_a_comprar[Planilla]=D$1)*ROW(Insumos_a_comprar[Planilla])-ROW(Insumos_a_comprar[[#Headers],[Planilla]]),ROWS('Insumos a comprar'!$B$5:F100))),"")</f>
        <v/>
      </c>
      <c r="E98" s="29" t="str">
        <f>IF(ROWS('Insumos a comprar'!$B$5:G100)&lt;=COUNTIF(Insumos_a_comprar[Planilla],E$1),INDEX(Insumos_a_comprar[Insumo],_xlfn.AGGREGATE(15,6,(Insumos_a_comprar[Planilla]=E$1)/(Insumos_a_comprar[Planilla]=E$1)*ROW(Insumos_a_comprar[Planilla])-ROW(Insumos_a_comprar[[#Headers],[Planilla]]),ROWS('Insumos a comprar'!$B$5:G100))),"")</f>
        <v/>
      </c>
      <c r="F98" s="29" t="str">
        <f>IF(ROWS('Insumos a comprar'!$B$5:H100)&lt;=COUNTIF(Insumos_a_comprar[Planilla],F$1),INDEX(Insumos_a_comprar[Insumo],_xlfn.AGGREGATE(15,6,(Insumos_a_comprar[Planilla]=F$1)/(Insumos_a_comprar[Planilla]=F$1)*ROW(Insumos_a_comprar[Planilla])-ROW(Insumos_a_comprar[[#Headers],[Planilla]]),ROWS('Insumos a comprar'!$B$5:H100))),"")</f>
        <v/>
      </c>
      <c r="G98" s="29" t="str">
        <f>IF(ROWS('Insumos a comprar'!$B$5:I100)&lt;=COUNTIF(Insumos_a_comprar[Planilla],G$1),INDEX(Insumos_a_comprar[Insumo],_xlfn.AGGREGATE(15,6,(Insumos_a_comprar[Planilla]=G$1)/(Insumos_a_comprar[Planilla]=G$1)*ROW(Insumos_a_comprar[Planilla])-ROW(Insumos_a_comprar[[#Headers],[Planilla]]),ROWS('Insumos a comprar'!$B$5:I100))),"")</f>
        <v/>
      </c>
      <c r="H98" s="29" t="str">
        <f>IF(ROWS('Insumos a comprar'!$B$5:I100)&lt;=COUNTIF(Insumos_a_comprar[Planilla],H$1),INDEX(Insumos_a_comprar[Insumo],_xlfn.AGGREGATE(15,6,(Insumos_a_comprar[Planilla]=H$1)/(Insumos_a_comprar[Planilla]=H$1)*ROW(Insumos_a_comprar[Planilla])-ROW(Insumos_a_comprar[[#Headers],[Planilla]]),ROWS('Insumos a comprar'!$B$5:I100))),"")</f>
        <v>Probetas Vidrio 1000 ml</v>
      </c>
      <c r="I98" s="29" t="str">
        <f>IF(ROWS('Insumos a comprar'!$B$5:I100)&lt;=COUNTIF(Insumos_a_comprar[Planilla],I$1),INDEX(Insumos_a_comprar[Insumo],_xlfn.AGGREGATE(15,6,(Insumos_a_comprar[Planilla]=I$1)/(Insumos_a_comprar[Planilla]=I$1)*ROW(Insumos_a_comprar[Planilla])-ROW(Insumos_a_comprar[[#Headers],[Planilla]]),ROWS('Insumos a comprar'!$B$5:I100))),"")</f>
        <v/>
      </c>
      <c r="J98" s="29" t="str">
        <f>IF(ROWS('Insumos a comprar'!$B$5:I100)&lt;=COUNTIF(Insumos_a_comprar[Planilla],J$1),INDEX(Insumos_a_comprar[Insumo],_xlfn.AGGREGATE(15,6,(Insumos_a_comprar[Planilla]=J$1)/(Insumos_a_comprar[Planilla]=J$1)*ROW(Insumos_a_comprar[Planilla])-ROW(Insumos_a_comprar[[#Headers],[Planilla]]),ROWS('Insumos a comprar'!$B$5:I100))),"")</f>
        <v/>
      </c>
      <c r="K98" s="29" t="str">
        <f>IF(ROWS('Insumos a comprar'!$B$5:I100)&lt;=COUNTIF(Insumos_a_comprar[Planilla],K$1),INDEX(Insumos_a_comprar[Insumo],_xlfn.AGGREGATE(15,6,(Insumos_a_comprar[Planilla]=K$1)/(Insumos_a_comprar[Planilla]=K$1)*ROW(Insumos_a_comprar[Planilla])-ROW(Insumos_a_comprar[[#Headers],[Planilla]]),ROWS('Insumos a comprar'!$B$5:I100))),"")</f>
        <v/>
      </c>
      <c r="L98" s="29" t="str">
        <f>IF(ROWS('Insumos a comprar'!$B$5:I100)&lt;=COUNTIF(Insumos_a_comprar[Planilla],L$1),INDEX(Insumos_a_comprar[Insumo],_xlfn.AGGREGATE(15,6,(Insumos_a_comprar[Planilla]=L$1)/(Insumos_a_comprar[Planilla]=L$1)*ROW(Insumos_a_comprar[Planilla])-ROW(Insumos_a_comprar[[#Headers],[Planilla]]),ROWS('Insumos a comprar'!$B$5:I100))),"")</f>
        <v/>
      </c>
      <c r="M98" s="29"/>
      <c r="N98" s="29"/>
      <c r="O98" s="29"/>
      <c r="P98" s="29"/>
      <c r="Q98" s="29"/>
    </row>
    <row r="99" spans="1:17" ht="15.75" x14ac:dyDescent="0.25">
      <c r="A99" s="29" t="str">
        <f>IF(ROWS('Insumos a comprar'!$B$5:B101)&lt;=COUNTIF(Insumos_a_comprar[Planilla],A$1),INDEX(Insumos_a_comprar[Insumo],_xlfn.AGGREGATE(15,6,(Insumos_a_comprar[Planilla]=A$1)/(Insumos_a_comprar[Planilla]=A$1)*ROW(Insumos_a_comprar[Planilla])-ROW(Insumos_a_comprar[[#Headers],[Planilla]]),ROWS('Insumos a comprar'!$B$5:B101))),"")</f>
        <v/>
      </c>
      <c r="B99" s="29" t="str">
        <f>IF(ROWS('Insumos a comprar'!$B$5:B101)&lt;=COUNTIF(Insumos_a_comprar[Planilla],B$1),INDEX(Insumos_a_comprar[Insumo],_xlfn.AGGREGATE(15,6,(Insumos_a_comprar[Planilla]=B$1)/(Insumos_a_comprar[Planilla]=B$1)*ROW(Insumos_a_comprar[Planilla])-ROW(Insumos_a_comprar[[#Headers],[Planilla]]),ROWS('Insumos a comprar'!$B$5:B101))),"")</f>
        <v/>
      </c>
      <c r="C99" s="29" t="str">
        <f>IF(ROWS('Insumos a comprar'!$B$5:E101)&lt;=COUNTIF(Insumos_a_comprar[Planilla],C$1),INDEX(Insumos_a_comprar[Insumo],_xlfn.AGGREGATE(15,6,(Insumos_a_comprar[Planilla]=C$1)/(Insumos_a_comprar[Planilla]=C$1)*ROW(Insumos_a_comprar[Planilla])-ROW(Insumos_a_comprar[[#Headers],[Planilla]]),ROWS('Insumos a comprar'!$B$5:E101))),"")</f>
        <v/>
      </c>
      <c r="D99" s="29" t="str">
        <f>IF(ROWS('Insumos a comprar'!$B$5:F101)&lt;=COUNTIF(Insumos_a_comprar[Planilla],D$1),INDEX(Insumos_a_comprar[Insumo],_xlfn.AGGREGATE(15,6,(Insumos_a_comprar[Planilla]=D$1)/(Insumos_a_comprar[Planilla]=D$1)*ROW(Insumos_a_comprar[Planilla])-ROW(Insumos_a_comprar[[#Headers],[Planilla]]),ROWS('Insumos a comprar'!$B$5:F101))),"")</f>
        <v/>
      </c>
      <c r="E99" s="29" t="str">
        <f>IF(ROWS('Insumos a comprar'!$B$5:G101)&lt;=COUNTIF(Insumos_a_comprar[Planilla],E$1),INDEX(Insumos_a_comprar[Insumo],_xlfn.AGGREGATE(15,6,(Insumos_a_comprar[Planilla]=E$1)/(Insumos_a_comprar[Planilla]=E$1)*ROW(Insumos_a_comprar[Planilla])-ROW(Insumos_a_comprar[[#Headers],[Planilla]]),ROWS('Insumos a comprar'!$B$5:G101))),"")</f>
        <v/>
      </c>
      <c r="F99" s="29" t="str">
        <f>IF(ROWS('Insumos a comprar'!$B$5:H101)&lt;=COUNTIF(Insumos_a_comprar[Planilla],F$1),INDEX(Insumos_a_comprar[Insumo],_xlfn.AGGREGATE(15,6,(Insumos_a_comprar[Planilla]=F$1)/(Insumos_a_comprar[Planilla]=F$1)*ROW(Insumos_a_comprar[Planilla])-ROW(Insumos_a_comprar[[#Headers],[Planilla]]),ROWS('Insumos a comprar'!$B$5:H101))),"")</f>
        <v/>
      </c>
      <c r="G99" s="29" t="str">
        <f>IF(ROWS('Insumos a comprar'!$B$5:I101)&lt;=COUNTIF(Insumos_a_comprar[Planilla],G$1),INDEX(Insumos_a_comprar[Insumo],_xlfn.AGGREGATE(15,6,(Insumos_a_comprar[Planilla]=G$1)/(Insumos_a_comprar[Planilla]=G$1)*ROW(Insumos_a_comprar[Planilla])-ROW(Insumos_a_comprar[[#Headers],[Planilla]]),ROWS('Insumos a comprar'!$B$5:I101))),"")</f>
        <v/>
      </c>
      <c r="H99" s="29" t="str">
        <f>IF(ROWS('Insumos a comprar'!$B$5:I101)&lt;=COUNTIF(Insumos_a_comprar[Planilla],H$1),INDEX(Insumos_a_comprar[Insumo],_xlfn.AGGREGATE(15,6,(Insumos_a_comprar[Planilla]=H$1)/(Insumos_a_comprar[Planilla]=H$1)*ROW(Insumos_a_comprar[Planilla])-ROW(Insumos_a_comprar[[#Headers],[Planilla]]),ROWS('Insumos a comprar'!$B$5:I101))),"")</f>
        <v>Probetas Vidrio 25 ml</v>
      </c>
      <c r="I99" s="29" t="str">
        <f>IF(ROWS('Insumos a comprar'!$B$5:I101)&lt;=COUNTIF(Insumos_a_comprar[Planilla],I$1),INDEX(Insumos_a_comprar[Insumo],_xlfn.AGGREGATE(15,6,(Insumos_a_comprar[Planilla]=I$1)/(Insumos_a_comprar[Planilla]=I$1)*ROW(Insumos_a_comprar[Planilla])-ROW(Insumos_a_comprar[[#Headers],[Planilla]]),ROWS('Insumos a comprar'!$B$5:I101))),"")</f>
        <v/>
      </c>
      <c r="J99" s="29" t="str">
        <f>IF(ROWS('Insumos a comprar'!$B$5:I101)&lt;=COUNTIF(Insumos_a_comprar[Planilla],J$1),INDEX(Insumos_a_comprar[Insumo],_xlfn.AGGREGATE(15,6,(Insumos_a_comprar[Planilla]=J$1)/(Insumos_a_comprar[Planilla]=J$1)*ROW(Insumos_a_comprar[Planilla])-ROW(Insumos_a_comprar[[#Headers],[Planilla]]),ROWS('Insumos a comprar'!$B$5:I101))),"")</f>
        <v/>
      </c>
      <c r="K99" s="29" t="str">
        <f>IF(ROWS('Insumos a comprar'!$B$5:I101)&lt;=COUNTIF(Insumos_a_comprar[Planilla],K$1),INDEX(Insumos_a_comprar[Insumo],_xlfn.AGGREGATE(15,6,(Insumos_a_comprar[Planilla]=K$1)/(Insumos_a_comprar[Planilla]=K$1)*ROW(Insumos_a_comprar[Planilla])-ROW(Insumos_a_comprar[[#Headers],[Planilla]]),ROWS('Insumos a comprar'!$B$5:I101))),"")</f>
        <v/>
      </c>
      <c r="L99" s="29" t="str">
        <f>IF(ROWS('Insumos a comprar'!$B$5:I101)&lt;=COUNTIF(Insumos_a_comprar[Planilla],L$1),INDEX(Insumos_a_comprar[Insumo],_xlfn.AGGREGATE(15,6,(Insumos_a_comprar[Planilla]=L$1)/(Insumos_a_comprar[Planilla]=L$1)*ROW(Insumos_a_comprar[Planilla])-ROW(Insumos_a_comprar[[#Headers],[Planilla]]),ROWS('Insumos a comprar'!$B$5:I101))),"")</f>
        <v/>
      </c>
      <c r="M99" s="29"/>
      <c r="N99" s="29"/>
      <c r="O99" s="29"/>
      <c r="P99" s="29"/>
      <c r="Q99" s="29"/>
    </row>
    <row r="100" spans="1:17" ht="15.75" x14ac:dyDescent="0.25">
      <c r="A100" s="29" t="str">
        <f>IF(ROWS('Insumos a comprar'!$B$5:B102)&lt;=COUNTIF(Insumos_a_comprar[Planilla],A$1),INDEX(Insumos_a_comprar[Insumo],_xlfn.AGGREGATE(15,6,(Insumos_a_comprar[Planilla]=A$1)/(Insumos_a_comprar[Planilla]=A$1)*ROW(Insumos_a_comprar[Planilla])-ROW(Insumos_a_comprar[[#Headers],[Planilla]]),ROWS('Insumos a comprar'!$B$5:B102))),"")</f>
        <v/>
      </c>
      <c r="B100" s="29" t="str">
        <f>IF(ROWS('Insumos a comprar'!$B$5:B102)&lt;=COUNTIF(Insumos_a_comprar[Planilla],B$1),INDEX(Insumos_a_comprar[Insumo],_xlfn.AGGREGATE(15,6,(Insumos_a_comprar[Planilla]=B$1)/(Insumos_a_comprar[Planilla]=B$1)*ROW(Insumos_a_comprar[Planilla])-ROW(Insumos_a_comprar[[#Headers],[Planilla]]),ROWS('Insumos a comprar'!$B$5:B102))),"")</f>
        <v/>
      </c>
      <c r="C100" s="29" t="str">
        <f>IF(ROWS('Insumos a comprar'!$B$5:E102)&lt;=COUNTIF(Insumos_a_comprar[Planilla],C$1),INDEX(Insumos_a_comprar[Insumo],_xlfn.AGGREGATE(15,6,(Insumos_a_comprar[Planilla]=C$1)/(Insumos_a_comprar[Planilla]=C$1)*ROW(Insumos_a_comprar[Planilla])-ROW(Insumos_a_comprar[[#Headers],[Planilla]]),ROWS('Insumos a comprar'!$B$5:E102))),"")</f>
        <v/>
      </c>
      <c r="D100" s="29" t="str">
        <f>IF(ROWS('Insumos a comprar'!$B$5:F102)&lt;=COUNTIF(Insumos_a_comprar[Planilla],D$1),INDEX(Insumos_a_comprar[Insumo],_xlfn.AGGREGATE(15,6,(Insumos_a_comprar[Planilla]=D$1)/(Insumos_a_comprar[Planilla]=D$1)*ROW(Insumos_a_comprar[Planilla])-ROW(Insumos_a_comprar[[#Headers],[Planilla]]),ROWS('Insumos a comprar'!$B$5:F102))),"")</f>
        <v/>
      </c>
      <c r="E100" s="29" t="str">
        <f>IF(ROWS('Insumos a comprar'!$B$5:G102)&lt;=COUNTIF(Insumos_a_comprar[Planilla],E$1),INDEX(Insumos_a_comprar[Insumo],_xlfn.AGGREGATE(15,6,(Insumos_a_comprar[Planilla]=E$1)/(Insumos_a_comprar[Planilla]=E$1)*ROW(Insumos_a_comprar[Planilla])-ROW(Insumos_a_comprar[[#Headers],[Planilla]]),ROWS('Insumos a comprar'!$B$5:G102))),"")</f>
        <v/>
      </c>
      <c r="F100" s="29" t="str">
        <f>IF(ROWS('Insumos a comprar'!$B$5:H102)&lt;=COUNTIF(Insumos_a_comprar[Planilla],F$1),INDEX(Insumos_a_comprar[Insumo],_xlfn.AGGREGATE(15,6,(Insumos_a_comprar[Planilla]=F$1)/(Insumos_a_comprar[Planilla]=F$1)*ROW(Insumos_a_comprar[Planilla])-ROW(Insumos_a_comprar[[#Headers],[Planilla]]),ROWS('Insumos a comprar'!$B$5:H102))),"")</f>
        <v/>
      </c>
      <c r="G100" s="29" t="str">
        <f>IF(ROWS('Insumos a comprar'!$B$5:I102)&lt;=COUNTIF(Insumos_a_comprar[Planilla],G$1),INDEX(Insumos_a_comprar[Insumo],_xlfn.AGGREGATE(15,6,(Insumos_a_comprar[Planilla]=G$1)/(Insumos_a_comprar[Planilla]=G$1)*ROW(Insumos_a_comprar[Planilla])-ROW(Insumos_a_comprar[[#Headers],[Planilla]]),ROWS('Insumos a comprar'!$B$5:I102))),"")</f>
        <v/>
      </c>
      <c r="H100" s="29" t="str">
        <f>IF(ROWS('Insumos a comprar'!$B$5:I102)&lt;=COUNTIF(Insumos_a_comprar[Planilla],H$1),INDEX(Insumos_a_comprar[Insumo],_xlfn.AGGREGATE(15,6,(Insumos_a_comprar[Planilla]=H$1)/(Insumos_a_comprar[Planilla]=H$1)*ROW(Insumos_a_comprar[Planilla])-ROW(Insumos_a_comprar[[#Headers],[Planilla]]),ROWS('Insumos a comprar'!$B$5:I102))),"")</f>
        <v>Probetas Vidrio 250 ml</v>
      </c>
      <c r="I100" s="29" t="str">
        <f>IF(ROWS('Insumos a comprar'!$B$5:I102)&lt;=COUNTIF(Insumos_a_comprar[Planilla],I$1),INDEX(Insumos_a_comprar[Insumo],_xlfn.AGGREGATE(15,6,(Insumos_a_comprar[Planilla]=I$1)/(Insumos_a_comprar[Planilla]=I$1)*ROW(Insumos_a_comprar[Planilla])-ROW(Insumos_a_comprar[[#Headers],[Planilla]]),ROWS('Insumos a comprar'!$B$5:I102))),"")</f>
        <v/>
      </c>
      <c r="J100" s="29" t="str">
        <f>IF(ROWS('Insumos a comprar'!$B$5:I102)&lt;=COUNTIF(Insumos_a_comprar[Planilla],J$1),INDEX(Insumos_a_comprar[Insumo],_xlfn.AGGREGATE(15,6,(Insumos_a_comprar[Planilla]=J$1)/(Insumos_a_comprar[Planilla]=J$1)*ROW(Insumos_a_comprar[Planilla])-ROW(Insumos_a_comprar[[#Headers],[Planilla]]),ROWS('Insumos a comprar'!$B$5:I102))),"")</f>
        <v/>
      </c>
      <c r="K100" s="29" t="str">
        <f>IF(ROWS('Insumos a comprar'!$B$5:I102)&lt;=COUNTIF(Insumos_a_comprar[Planilla],K$1),INDEX(Insumos_a_comprar[Insumo],_xlfn.AGGREGATE(15,6,(Insumos_a_comprar[Planilla]=K$1)/(Insumos_a_comprar[Planilla]=K$1)*ROW(Insumos_a_comprar[Planilla])-ROW(Insumos_a_comprar[[#Headers],[Planilla]]),ROWS('Insumos a comprar'!$B$5:I102))),"")</f>
        <v/>
      </c>
      <c r="L100" s="29" t="str">
        <f>IF(ROWS('Insumos a comprar'!$B$5:I102)&lt;=COUNTIF(Insumos_a_comprar[Planilla],L$1),INDEX(Insumos_a_comprar[Insumo],_xlfn.AGGREGATE(15,6,(Insumos_a_comprar[Planilla]=L$1)/(Insumos_a_comprar[Planilla]=L$1)*ROW(Insumos_a_comprar[Planilla])-ROW(Insumos_a_comprar[[#Headers],[Planilla]]),ROWS('Insumos a comprar'!$B$5:I102))),"")</f>
        <v/>
      </c>
      <c r="M100" s="29"/>
      <c r="N100" s="29"/>
      <c r="O100" s="29"/>
      <c r="P100" s="29"/>
      <c r="Q100" s="29"/>
    </row>
    <row r="101" spans="1:17" ht="15.75" x14ac:dyDescent="0.25">
      <c r="A101" s="29" t="str">
        <f>IF(ROWS('Insumos a comprar'!$B$5:B103)&lt;=COUNTIF(Insumos_a_comprar[Planilla],A$1),INDEX(Insumos_a_comprar[Insumo],_xlfn.AGGREGATE(15,6,(Insumos_a_comprar[Planilla]=A$1)/(Insumos_a_comprar[Planilla]=A$1)*ROW(Insumos_a_comprar[Planilla])-ROW(Insumos_a_comprar[[#Headers],[Planilla]]),ROWS('Insumos a comprar'!$B$5:B103))),"")</f>
        <v/>
      </c>
      <c r="B101" s="29" t="str">
        <f>IF(ROWS('Insumos a comprar'!$B$5:B103)&lt;=COUNTIF(Insumos_a_comprar[Planilla],B$1),INDEX(Insumos_a_comprar[Insumo],_xlfn.AGGREGATE(15,6,(Insumos_a_comprar[Planilla]=B$1)/(Insumos_a_comprar[Planilla]=B$1)*ROW(Insumos_a_comprar[Planilla])-ROW(Insumos_a_comprar[[#Headers],[Planilla]]),ROWS('Insumos a comprar'!$B$5:B103))),"")</f>
        <v/>
      </c>
      <c r="C101" s="29" t="str">
        <f>IF(ROWS('Insumos a comprar'!$B$5:E103)&lt;=COUNTIF(Insumos_a_comprar[Planilla],C$1),INDEX(Insumos_a_comprar[Insumo],_xlfn.AGGREGATE(15,6,(Insumos_a_comprar[Planilla]=C$1)/(Insumos_a_comprar[Planilla]=C$1)*ROW(Insumos_a_comprar[Planilla])-ROW(Insumos_a_comprar[[#Headers],[Planilla]]),ROWS('Insumos a comprar'!$B$5:E103))),"")</f>
        <v/>
      </c>
      <c r="D101" s="29" t="str">
        <f>IF(ROWS('Insumos a comprar'!$B$5:F103)&lt;=COUNTIF(Insumos_a_comprar[Planilla],D$1),INDEX(Insumos_a_comprar[Insumo],_xlfn.AGGREGATE(15,6,(Insumos_a_comprar[Planilla]=D$1)/(Insumos_a_comprar[Planilla]=D$1)*ROW(Insumos_a_comprar[Planilla])-ROW(Insumos_a_comprar[[#Headers],[Planilla]]),ROWS('Insumos a comprar'!$B$5:F103))),"")</f>
        <v/>
      </c>
      <c r="E101" s="29" t="str">
        <f>IF(ROWS('Insumos a comprar'!$B$5:G103)&lt;=COUNTIF(Insumos_a_comprar[Planilla],E$1),INDEX(Insumos_a_comprar[Insumo],_xlfn.AGGREGATE(15,6,(Insumos_a_comprar[Planilla]=E$1)/(Insumos_a_comprar[Planilla]=E$1)*ROW(Insumos_a_comprar[Planilla])-ROW(Insumos_a_comprar[[#Headers],[Planilla]]),ROWS('Insumos a comprar'!$B$5:G103))),"")</f>
        <v/>
      </c>
      <c r="F101" s="29" t="str">
        <f>IF(ROWS('Insumos a comprar'!$B$5:H103)&lt;=COUNTIF(Insumos_a_comprar[Planilla],F$1),INDEX(Insumos_a_comprar[Insumo],_xlfn.AGGREGATE(15,6,(Insumos_a_comprar[Planilla]=F$1)/(Insumos_a_comprar[Planilla]=F$1)*ROW(Insumos_a_comprar[Planilla])-ROW(Insumos_a_comprar[[#Headers],[Planilla]]),ROWS('Insumos a comprar'!$B$5:H103))),"")</f>
        <v/>
      </c>
      <c r="G101" s="29" t="str">
        <f>IF(ROWS('Insumos a comprar'!$B$5:I103)&lt;=COUNTIF(Insumos_a_comprar[Planilla],G$1),INDEX(Insumos_a_comprar[Insumo],_xlfn.AGGREGATE(15,6,(Insumos_a_comprar[Planilla]=G$1)/(Insumos_a_comprar[Planilla]=G$1)*ROW(Insumos_a_comprar[Planilla])-ROW(Insumos_a_comprar[[#Headers],[Planilla]]),ROWS('Insumos a comprar'!$B$5:I103))),"")</f>
        <v/>
      </c>
      <c r="H101" s="29" t="str">
        <f>IF(ROWS('Insumos a comprar'!$B$5:I103)&lt;=COUNTIF(Insumos_a_comprar[Planilla],H$1),INDEX(Insumos_a_comprar[Insumo],_xlfn.AGGREGATE(15,6,(Insumos_a_comprar[Planilla]=H$1)/(Insumos_a_comprar[Planilla]=H$1)*ROW(Insumos_a_comprar[Planilla])-ROW(Insumos_a_comprar[[#Headers],[Planilla]]),ROWS('Insumos a comprar'!$B$5:I103))),"")</f>
        <v>Probetas Vidrio 50 ml</v>
      </c>
      <c r="I101" s="30" t="str">
        <f>IF(ROWS('Insumos a comprar'!$B$5:I103)&lt;=COUNTIF(Insumos_a_comprar[Planilla],I$1),INDEX(Insumos_a_comprar[Insumo],_xlfn.AGGREGATE(15,6,(Insumos_a_comprar[Planilla]=I$1)/(Insumos_a_comprar[Planilla]=I$1)*ROW(Insumos_a_comprar[Planilla])-ROW(Insumos_a_comprar[[#Headers],[Planilla]]),ROWS('Insumos a comprar'!$B$5:I103))),"")</f>
        <v/>
      </c>
      <c r="J101" s="30" t="str">
        <f>IF(ROWS('Insumos a comprar'!$B$5:I103)&lt;=COUNTIF(Insumos_a_comprar[Planilla],J$1),INDEX(Insumos_a_comprar[Insumo],_xlfn.AGGREGATE(15,6,(Insumos_a_comprar[Planilla]=J$1)/(Insumos_a_comprar[Planilla]=J$1)*ROW(Insumos_a_comprar[Planilla])-ROW(Insumos_a_comprar[[#Headers],[Planilla]]),ROWS('Insumos a comprar'!$B$5:I103))),"")</f>
        <v/>
      </c>
      <c r="K101" s="30" t="str">
        <f>IF(ROWS('Insumos a comprar'!$B$5:I103)&lt;=COUNTIF(Insumos_a_comprar[Planilla],K$1),INDEX(Insumos_a_comprar[Insumo],_xlfn.AGGREGATE(15,6,(Insumos_a_comprar[Planilla]=K$1)/(Insumos_a_comprar[Planilla]=K$1)*ROW(Insumos_a_comprar[Planilla])-ROW(Insumos_a_comprar[[#Headers],[Planilla]]),ROWS('Insumos a comprar'!$B$5:I103))),"")</f>
        <v/>
      </c>
      <c r="L101" s="30" t="str">
        <f>IF(ROWS('Insumos a comprar'!$B$5:I103)&lt;=COUNTIF(Insumos_a_comprar[Planilla],L$1),INDEX(Insumos_a_comprar[Insumo],_xlfn.AGGREGATE(15,6,(Insumos_a_comprar[Planilla]=L$1)/(Insumos_a_comprar[Planilla]=L$1)*ROW(Insumos_a_comprar[Planilla])-ROW(Insumos_a_comprar[[#Headers],[Planilla]]),ROWS('Insumos a comprar'!$B$5:I103))),"")</f>
        <v/>
      </c>
      <c r="M101" s="30"/>
      <c r="N101" s="30"/>
      <c r="O101" s="30"/>
      <c r="P101" s="30"/>
      <c r="Q101" s="30"/>
    </row>
    <row r="102" spans="1:17" ht="15.75" x14ac:dyDescent="0.25">
      <c r="A102" s="29" t="str">
        <f>IF(ROWS('Insumos a comprar'!$B$5:B104)&lt;=COUNTIF(Insumos_a_comprar[Planilla],A$1),INDEX(Insumos_a_comprar[Insumo],_xlfn.AGGREGATE(15,6,(Insumos_a_comprar[Planilla]=A$1)/(Insumos_a_comprar[Planilla]=A$1)*ROW(Insumos_a_comprar[Planilla])-ROW(Insumos_a_comprar[[#Headers],[Planilla]]),ROWS('Insumos a comprar'!$B$5:B104))),"")</f>
        <v/>
      </c>
      <c r="B102" s="29" t="str">
        <f>IF(ROWS('Insumos a comprar'!$B$5:B104)&lt;=COUNTIF(Insumos_a_comprar[Planilla],B$1),INDEX(Insumos_a_comprar[Insumo],_xlfn.AGGREGATE(15,6,(Insumos_a_comprar[Planilla]=B$1)/(Insumos_a_comprar[Planilla]=B$1)*ROW(Insumos_a_comprar[Planilla])-ROW(Insumos_a_comprar[[#Headers],[Planilla]]),ROWS('Insumos a comprar'!$B$5:B104))),"")</f>
        <v/>
      </c>
      <c r="C102" s="29" t="str">
        <f>IF(ROWS('Insumos a comprar'!$B$5:E104)&lt;=COUNTIF(Insumos_a_comprar[Planilla],C$1),INDEX(Insumos_a_comprar[Insumo],_xlfn.AGGREGATE(15,6,(Insumos_a_comprar[Planilla]=C$1)/(Insumos_a_comprar[Planilla]=C$1)*ROW(Insumos_a_comprar[Planilla])-ROW(Insumos_a_comprar[[#Headers],[Planilla]]),ROWS('Insumos a comprar'!$B$5:E104))),"")</f>
        <v/>
      </c>
      <c r="D102" s="29" t="str">
        <f>IF(ROWS('Insumos a comprar'!$B$5:F104)&lt;=COUNTIF(Insumos_a_comprar[Planilla],D$1),INDEX(Insumos_a_comprar[Insumo],_xlfn.AGGREGATE(15,6,(Insumos_a_comprar[Planilla]=D$1)/(Insumos_a_comprar[Planilla]=D$1)*ROW(Insumos_a_comprar[Planilla])-ROW(Insumos_a_comprar[[#Headers],[Planilla]]),ROWS('Insumos a comprar'!$B$5:F104))),"")</f>
        <v/>
      </c>
      <c r="E102" s="29" t="str">
        <f>IF(ROWS('Insumos a comprar'!$B$5:G104)&lt;=COUNTIF(Insumos_a_comprar[Planilla],E$1),INDEX(Insumos_a_comprar[Insumo],_xlfn.AGGREGATE(15,6,(Insumos_a_comprar[Planilla]=E$1)/(Insumos_a_comprar[Planilla]=E$1)*ROW(Insumos_a_comprar[Planilla])-ROW(Insumos_a_comprar[[#Headers],[Planilla]]),ROWS('Insumos a comprar'!$B$5:G104))),"")</f>
        <v/>
      </c>
      <c r="F102" s="29" t="str">
        <f>IF(ROWS('Insumos a comprar'!$B$5:H104)&lt;=COUNTIF(Insumos_a_comprar[Planilla],F$1),INDEX(Insumos_a_comprar[Insumo],_xlfn.AGGREGATE(15,6,(Insumos_a_comprar[Planilla]=F$1)/(Insumos_a_comprar[Planilla]=F$1)*ROW(Insumos_a_comprar[Planilla])-ROW(Insumos_a_comprar[[#Headers],[Planilla]]),ROWS('Insumos a comprar'!$B$5:H104))),"")</f>
        <v/>
      </c>
      <c r="G102" s="29" t="str">
        <f>IF(ROWS('Insumos a comprar'!$B$5:I104)&lt;=COUNTIF(Insumos_a_comprar[Planilla],G$1),INDEX(Insumos_a_comprar[Insumo],_xlfn.AGGREGATE(15,6,(Insumos_a_comprar[Planilla]=G$1)/(Insumos_a_comprar[Planilla]=G$1)*ROW(Insumos_a_comprar[Planilla])-ROW(Insumos_a_comprar[[#Headers],[Planilla]]),ROWS('Insumos a comprar'!$B$5:I104))),"")</f>
        <v/>
      </c>
      <c r="H102" s="29" t="str">
        <f>IF(ROWS('Insumos a comprar'!$B$5:I104)&lt;=COUNTIF(Insumos_a_comprar[Planilla],H$1),INDEX(Insumos_a_comprar[Insumo],_xlfn.AGGREGATE(15,6,(Insumos_a_comprar[Planilla]=H$1)/(Insumos_a_comprar[Planilla]=H$1)*ROW(Insumos_a_comprar[Planilla])-ROW(Insumos_a_comprar[[#Headers],[Planilla]]),ROWS('Insumos a comprar'!$B$5:I104))),"")</f>
        <v xml:space="preserve">Probetas Vidrio 500 ml </v>
      </c>
      <c r="I102" s="30" t="str">
        <f>IF(ROWS('Insumos a comprar'!$B$5:I104)&lt;=COUNTIF(Insumos_a_comprar[Planilla],I$1),INDEX(Insumos_a_comprar[Insumo],_xlfn.AGGREGATE(15,6,(Insumos_a_comprar[Planilla]=I$1)/(Insumos_a_comprar[Planilla]=I$1)*ROW(Insumos_a_comprar[Planilla])-ROW(Insumos_a_comprar[[#Headers],[Planilla]]),ROWS('Insumos a comprar'!$B$5:I104))),"")</f>
        <v/>
      </c>
      <c r="J102" s="30" t="str">
        <f>IF(ROWS('Insumos a comprar'!$B$5:I104)&lt;=COUNTIF(Insumos_a_comprar[Planilla],J$1),INDEX(Insumos_a_comprar[Insumo],_xlfn.AGGREGATE(15,6,(Insumos_a_comprar[Planilla]=J$1)/(Insumos_a_comprar[Planilla]=J$1)*ROW(Insumos_a_comprar[Planilla])-ROW(Insumos_a_comprar[[#Headers],[Planilla]]),ROWS('Insumos a comprar'!$B$5:I104))),"")</f>
        <v/>
      </c>
      <c r="K102" s="30" t="str">
        <f>IF(ROWS('Insumos a comprar'!$B$5:I104)&lt;=COUNTIF(Insumos_a_comprar[Planilla],K$1),INDEX(Insumos_a_comprar[Insumo],_xlfn.AGGREGATE(15,6,(Insumos_a_comprar[Planilla]=K$1)/(Insumos_a_comprar[Planilla]=K$1)*ROW(Insumos_a_comprar[Planilla])-ROW(Insumos_a_comprar[[#Headers],[Planilla]]),ROWS('Insumos a comprar'!$B$5:I104))),"")</f>
        <v/>
      </c>
      <c r="L102" s="30" t="str">
        <f>IF(ROWS('Insumos a comprar'!$B$5:I104)&lt;=COUNTIF(Insumos_a_comprar[Planilla],L$1),INDEX(Insumos_a_comprar[Insumo],_xlfn.AGGREGATE(15,6,(Insumos_a_comprar[Planilla]=L$1)/(Insumos_a_comprar[Planilla]=L$1)*ROW(Insumos_a_comprar[Planilla])-ROW(Insumos_a_comprar[[#Headers],[Planilla]]),ROWS('Insumos a comprar'!$B$5:I104))),"")</f>
        <v/>
      </c>
      <c r="M102" s="30"/>
      <c r="N102" s="30"/>
      <c r="O102" s="30"/>
      <c r="P102" s="30"/>
      <c r="Q102" s="30"/>
    </row>
    <row r="103" spans="1:17" ht="15.75" x14ac:dyDescent="0.25">
      <c r="A103" s="29" t="str">
        <f>IF(ROWS('Insumos a comprar'!$B$5:B105)&lt;=COUNTIF(Insumos_a_comprar[Planilla],A$1),INDEX(Insumos_a_comprar[Insumo],_xlfn.AGGREGATE(15,6,(Insumos_a_comprar[Planilla]=A$1)/(Insumos_a_comprar[Planilla]=A$1)*ROW(Insumos_a_comprar[Planilla])-ROW(Insumos_a_comprar[[#Headers],[Planilla]]),ROWS('Insumos a comprar'!$B$5:B105))),"")</f>
        <v/>
      </c>
      <c r="B103" s="29" t="str">
        <f>IF(ROWS('Insumos a comprar'!$B$5:B105)&lt;=COUNTIF(Insumos_a_comprar[Planilla],B$1),INDEX(Insumos_a_comprar[Insumo],_xlfn.AGGREGATE(15,6,(Insumos_a_comprar[Planilla]=B$1)/(Insumos_a_comprar[Planilla]=B$1)*ROW(Insumos_a_comprar[Planilla])-ROW(Insumos_a_comprar[[#Headers],[Planilla]]),ROWS('Insumos a comprar'!$B$5:B105))),"")</f>
        <v/>
      </c>
      <c r="C103" s="29" t="str">
        <f>IF(ROWS('Insumos a comprar'!$B$5:E105)&lt;=COUNTIF(Insumos_a_comprar[Planilla],C$1),INDEX(Insumos_a_comprar[Insumo],_xlfn.AGGREGATE(15,6,(Insumos_a_comprar[Planilla]=C$1)/(Insumos_a_comprar[Planilla]=C$1)*ROW(Insumos_a_comprar[Planilla])-ROW(Insumos_a_comprar[[#Headers],[Planilla]]),ROWS('Insumos a comprar'!$B$5:E105))),"")</f>
        <v/>
      </c>
      <c r="D103" s="29" t="str">
        <f>IF(ROWS('Insumos a comprar'!$B$5:F105)&lt;=COUNTIF(Insumos_a_comprar[Planilla],D$1),INDEX(Insumos_a_comprar[Insumo],_xlfn.AGGREGATE(15,6,(Insumos_a_comprar[Planilla]=D$1)/(Insumos_a_comprar[Planilla]=D$1)*ROW(Insumos_a_comprar[Planilla])-ROW(Insumos_a_comprar[[#Headers],[Planilla]]),ROWS('Insumos a comprar'!$B$5:F105))),"")</f>
        <v/>
      </c>
      <c r="E103" s="29" t="str">
        <f>IF(ROWS('Insumos a comprar'!$B$5:G105)&lt;=COUNTIF(Insumos_a_comprar[Planilla],E$1),INDEX(Insumos_a_comprar[Insumo],_xlfn.AGGREGATE(15,6,(Insumos_a_comprar[Planilla]=E$1)/(Insumos_a_comprar[Planilla]=E$1)*ROW(Insumos_a_comprar[Planilla])-ROW(Insumos_a_comprar[[#Headers],[Planilla]]),ROWS('Insumos a comprar'!$B$5:G105))),"")</f>
        <v/>
      </c>
      <c r="F103" s="29" t="str">
        <f>IF(ROWS('Insumos a comprar'!$B$5:H105)&lt;=COUNTIF(Insumos_a_comprar[Planilla],F$1),INDEX(Insumos_a_comprar[Insumo],_xlfn.AGGREGATE(15,6,(Insumos_a_comprar[Planilla]=F$1)/(Insumos_a_comprar[Planilla]=F$1)*ROW(Insumos_a_comprar[Planilla])-ROW(Insumos_a_comprar[[#Headers],[Planilla]]),ROWS('Insumos a comprar'!$B$5:H105))),"")</f>
        <v/>
      </c>
      <c r="G103" s="29" t="str">
        <f>IF(ROWS('Insumos a comprar'!$B$5:I105)&lt;=COUNTIF(Insumos_a_comprar[Planilla],G$1),INDEX(Insumos_a_comprar[Insumo],_xlfn.AGGREGATE(15,6,(Insumos_a_comprar[Planilla]=G$1)/(Insumos_a_comprar[Planilla]=G$1)*ROW(Insumos_a_comprar[Planilla])-ROW(Insumos_a_comprar[[#Headers],[Planilla]]),ROWS('Insumos a comprar'!$B$5:I105))),"")</f>
        <v/>
      </c>
      <c r="H103" s="29" t="str">
        <f>IF(ROWS('Insumos a comprar'!$B$5:I105)&lt;=COUNTIF(Insumos_a_comprar[Planilla],H$1),INDEX(Insumos_a_comprar[Insumo],_xlfn.AGGREGATE(15,6,(Insumos_a_comprar[Planilla]=H$1)/(Insumos_a_comprar[Planilla]=H$1)*ROW(Insumos_a_comprar[Planilla])-ROW(Insumos_a_comprar[[#Headers],[Planilla]]),ROWS('Insumos a comprar'!$B$5:I105))),"")</f>
        <v xml:space="preserve">Propipetas  </v>
      </c>
      <c r="I103" s="30" t="str">
        <f>IF(ROWS('Insumos a comprar'!$B$5:I105)&lt;=COUNTIF(Insumos_a_comprar[Planilla],I$1),INDEX(Insumos_a_comprar[Insumo],_xlfn.AGGREGATE(15,6,(Insumos_a_comprar[Planilla]=I$1)/(Insumos_a_comprar[Planilla]=I$1)*ROW(Insumos_a_comprar[Planilla])-ROW(Insumos_a_comprar[[#Headers],[Planilla]]),ROWS('Insumos a comprar'!$B$5:I105))),"")</f>
        <v/>
      </c>
      <c r="J103" s="30" t="str">
        <f>IF(ROWS('Insumos a comprar'!$B$5:I105)&lt;=COUNTIF(Insumos_a_comprar[Planilla],J$1),INDEX(Insumos_a_comprar[Insumo],_xlfn.AGGREGATE(15,6,(Insumos_a_comprar[Planilla]=J$1)/(Insumos_a_comprar[Planilla]=J$1)*ROW(Insumos_a_comprar[Planilla])-ROW(Insumos_a_comprar[[#Headers],[Planilla]]),ROWS('Insumos a comprar'!$B$5:I105))),"")</f>
        <v/>
      </c>
      <c r="K103" s="30" t="str">
        <f>IF(ROWS('Insumos a comprar'!$B$5:I105)&lt;=COUNTIF(Insumos_a_comprar[Planilla],K$1),INDEX(Insumos_a_comprar[Insumo],_xlfn.AGGREGATE(15,6,(Insumos_a_comprar[Planilla]=K$1)/(Insumos_a_comprar[Planilla]=K$1)*ROW(Insumos_a_comprar[Planilla])-ROW(Insumos_a_comprar[[#Headers],[Planilla]]),ROWS('Insumos a comprar'!$B$5:I105))),"")</f>
        <v/>
      </c>
      <c r="L103" s="30" t="str">
        <f>IF(ROWS('Insumos a comprar'!$B$5:I105)&lt;=COUNTIF(Insumos_a_comprar[Planilla],L$1),INDEX(Insumos_a_comprar[Insumo],_xlfn.AGGREGATE(15,6,(Insumos_a_comprar[Planilla]=L$1)/(Insumos_a_comprar[Planilla]=L$1)*ROW(Insumos_a_comprar[Planilla])-ROW(Insumos_a_comprar[[#Headers],[Planilla]]),ROWS('Insumos a comprar'!$B$5:I105))),"")</f>
        <v/>
      </c>
      <c r="M103" s="30"/>
      <c r="N103" s="30"/>
      <c r="O103" s="30"/>
      <c r="P103" s="30"/>
      <c r="Q103" s="30"/>
    </row>
    <row r="104" spans="1:17" ht="15.75" x14ac:dyDescent="0.25">
      <c r="A104" s="29" t="str">
        <f>IF(ROWS('Insumos a comprar'!$B$5:B106)&lt;=COUNTIF(Insumos_a_comprar[Planilla],A$1),INDEX(Insumos_a_comprar[Insumo],_xlfn.AGGREGATE(15,6,(Insumos_a_comprar[Planilla]=A$1)/(Insumos_a_comprar[Planilla]=A$1)*ROW(Insumos_a_comprar[Planilla])-ROW(Insumos_a_comprar[[#Headers],[Planilla]]),ROWS('Insumos a comprar'!$B$5:B106))),"")</f>
        <v/>
      </c>
      <c r="B104" s="29" t="str">
        <f>IF(ROWS('Insumos a comprar'!$B$5:B106)&lt;=COUNTIF(Insumos_a_comprar[Planilla],B$1),INDEX(Insumos_a_comprar[Insumo],_xlfn.AGGREGATE(15,6,(Insumos_a_comprar[Planilla]=B$1)/(Insumos_a_comprar[Planilla]=B$1)*ROW(Insumos_a_comprar[Planilla])-ROW(Insumos_a_comprar[[#Headers],[Planilla]]),ROWS('Insumos a comprar'!$B$5:B106))),"")</f>
        <v/>
      </c>
      <c r="C104" s="29" t="str">
        <f>IF(ROWS('Insumos a comprar'!$B$5:E106)&lt;=COUNTIF(Insumos_a_comprar[Planilla],C$1),INDEX(Insumos_a_comprar[Insumo],_xlfn.AGGREGATE(15,6,(Insumos_a_comprar[Planilla]=C$1)/(Insumos_a_comprar[Planilla]=C$1)*ROW(Insumos_a_comprar[Planilla])-ROW(Insumos_a_comprar[[#Headers],[Planilla]]),ROWS('Insumos a comprar'!$B$5:E106))),"")</f>
        <v/>
      </c>
      <c r="D104" s="29" t="str">
        <f>IF(ROWS('Insumos a comprar'!$B$5:F106)&lt;=COUNTIF(Insumos_a_comprar[Planilla],D$1),INDEX(Insumos_a_comprar[Insumo],_xlfn.AGGREGATE(15,6,(Insumos_a_comprar[Planilla]=D$1)/(Insumos_a_comprar[Planilla]=D$1)*ROW(Insumos_a_comprar[Planilla])-ROW(Insumos_a_comprar[[#Headers],[Planilla]]),ROWS('Insumos a comprar'!$B$5:F106))),"")</f>
        <v/>
      </c>
      <c r="E104" s="29" t="str">
        <f>IF(ROWS('Insumos a comprar'!$B$5:G106)&lt;=COUNTIF(Insumos_a_comprar[Planilla],E$1),INDEX(Insumos_a_comprar[Insumo],_xlfn.AGGREGATE(15,6,(Insumos_a_comprar[Planilla]=E$1)/(Insumos_a_comprar[Planilla]=E$1)*ROW(Insumos_a_comprar[Planilla])-ROW(Insumos_a_comprar[[#Headers],[Planilla]]),ROWS('Insumos a comprar'!$B$5:G106))),"")</f>
        <v/>
      </c>
      <c r="F104" s="29" t="str">
        <f>IF(ROWS('Insumos a comprar'!$B$5:H106)&lt;=COUNTIF(Insumos_a_comprar[Planilla],F$1),INDEX(Insumos_a_comprar[Insumo],_xlfn.AGGREGATE(15,6,(Insumos_a_comprar[Planilla]=F$1)/(Insumos_a_comprar[Planilla]=F$1)*ROW(Insumos_a_comprar[Planilla])-ROW(Insumos_a_comprar[[#Headers],[Planilla]]),ROWS('Insumos a comprar'!$B$5:H106))),"")</f>
        <v/>
      </c>
      <c r="G104" s="29" t="str">
        <f>IF(ROWS('Insumos a comprar'!$B$5:I106)&lt;=COUNTIF(Insumos_a_comprar[Planilla],G$1),INDEX(Insumos_a_comprar[Insumo],_xlfn.AGGREGATE(15,6,(Insumos_a_comprar[Planilla]=G$1)/(Insumos_a_comprar[Planilla]=G$1)*ROW(Insumos_a_comprar[Planilla])-ROW(Insumos_a_comprar[[#Headers],[Planilla]]),ROWS('Insumos a comprar'!$B$5:I106))),"")</f>
        <v/>
      </c>
      <c r="H104" s="29" t="str">
        <f>IF(ROWS('Insumos a comprar'!$B$5:I106)&lt;=COUNTIF(Insumos_a_comprar[Planilla],H$1),INDEX(Insumos_a_comprar[Insumo],_xlfn.AGGREGATE(15,6,(Insumos_a_comprar[Planilla]=H$1)/(Insumos_a_comprar[Planilla]=H$1)*ROW(Insumos_a_comprar[Planilla])-ROW(Insumos_a_comprar[[#Headers],[Planilla]]),ROWS('Insumos a comprar'!$B$5:I106))),"")</f>
        <v xml:space="preserve">Tubos chicos c/tapa </v>
      </c>
      <c r="I104" s="30" t="str">
        <f>IF(ROWS('Insumos a comprar'!$B$5:I106)&lt;=COUNTIF(Insumos_a_comprar[Planilla],I$1),INDEX(Insumos_a_comprar[Insumo],_xlfn.AGGREGATE(15,6,(Insumos_a_comprar[Planilla]=I$1)/(Insumos_a_comprar[Planilla]=I$1)*ROW(Insumos_a_comprar[Planilla])-ROW(Insumos_a_comprar[[#Headers],[Planilla]]),ROWS('Insumos a comprar'!$B$5:I106))),"")</f>
        <v/>
      </c>
      <c r="J104" s="30" t="str">
        <f>IF(ROWS('Insumos a comprar'!$B$5:I106)&lt;=COUNTIF(Insumos_a_comprar[Planilla],J$1),INDEX(Insumos_a_comprar[Insumo],_xlfn.AGGREGATE(15,6,(Insumos_a_comprar[Planilla]=J$1)/(Insumos_a_comprar[Planilla]=J$1)*ROW(Insumos_a_comprar[Planilla])-ROW(Insumos_a_comprar[[#Headers],[Planilla]]),ROWS('Insumos a comprar'!$B$5:I106))),"")</f>
        <v/>
      </c>
      <c r="K104" s="30" t="str">
        <f>IF(ROWS('Insumos a comprar'!$B$5:I106)&lt;=COUNTIF(Insumos_a_comprar[Planilla],K$1),INDEX(Insumos_a_comprar[Insumo],_xlfn.AGGREGATE(15,6,(Insumos_a_comprar[Planilla]=K$1)/(Insumos_a_comprar[Planilla]=K$1)*ROW(Insumos_a_comprar[Planilla])-ROW(Insumos_a_comprar[[#Headers],[Planilla]]),ROWS('Insumos a comprar'!$B$5:I106))),"")</f>
        <v/>
      </c>
      <c r="L104" s="30" t="str">
        <f>IF(ROWS('Insumos a comprar'!$B$5:I106)&lt;=COUNTIF(Insumos_a_comprar[Planilla],L$1),INDEX(Insumos_a_comprar[Insumo],_xlfn.AGGREGATE(15,6,(Insumos_a_comprar[Planilla]=L$1)/(Insumos_a_comprar[Planilla]=L$1)*ROW(Insumos_a_comprar[Planilla])-ROW(Insumos_a_comprar[[#Headers],[Planilla]]),ROWS('Insumos a comprar'!$B$5:I106))),"")</f>
        <v/>
      </c>
      <c r="M104" s="30"/>
      <c r="N104" s="30"/>
      <c r="O104" s="30"/>
      <c r="P104" s="30"/>
      <c r="Q104" s="30"/>
    </row>
    <row r="105" spans="1:17" ht="15.75" x14ac:dyDescent="0.25">
      <c r="A105" s="29" t="str">
        <f>IF(ROWS('Insumos a comprar'!$B$5:B107)&lt;=COUNTIF(Insumos_a_comprar[Planilla],A$1),INDEX(Insumos_a_comprar[Insumo],_xlfn.AGGREGATE(15,6,(Insumos_a_comprar[Planilla]=A$1)/(Insumos_a_comprar[Planilla]=A$1)*ROW(Insumos_a_comprar[Planilla])-ROW(Insumos_a_comprar[[#Headers],[Planilla]]),ROWS('Insumos a comprar'!$B$5:B107))),"")</f>
        <v/>
      </c>
      <c r="B105" s="29" t="str">
        <f>IF(ROWS('Insumos a comprar'!$B$5:B107)&lt;=COUNTIF(Insumos_a_comprar[Planilla],B$1),INDEX(Insumos_a_comprar[Insumo],_xlfn.AGGREGATE(15,6,(Insumos_a_comprar[Planilla]=B$1)/(Insumos_a_comprar[Planilla]=B$1)*ROW(Insumos_a_comprar[Planilla])-ROW(Insumos_a_comprar[[#Headers],[Planilla]]),ROWS('Insumos a comprar'!$B$5:B107))),"")</f>
        <v/>
      </c>
      <c r="C105" s="29" t="str">
        <f>IF(ROWS('Insumos a comprar'!$B$5:E107)&lt;=COUNTIF(Insumos_a_comprar[Planilla],C$1),INDEX(Insumos_a_comprar[Insumo],_xlfn.AGGREGATE(15,6,(Insumos_a_comprar[Planilla]=C$1)/(Insumos_a_comprar[Planilla]=C$1)*ROW(Insumos_a_comprar[Planilla])-ROW(Insumos_a_comprar[[#Headers],[Planilla]]),ROWS('Insumos a comprar'!$B$5:E107))),"")</f>
        <v/>
      </c>
      <c r="D105" s="29" t="str">
        <f>IF(ROWS('Insumos a comprar'!$B$5:F107)&lt;=COUNTIF(Insumos_a_comprar[Planilla],D$1),INDEX(Insumos_a_comprar[Insumo],_xlfn.AGGREGATE(15,6,(Insumos_a_comprar[Planilla]=D$1)/(Insumos_a_comprar[Planilla]=D$1)*ROW(Insumos_a_comprar[Planilla])-ROW(Insumos_a_comprar[[#Headers],[Planilla]]),ROWS('Insumos a comprar'!$B$5:F107))),"")</f>
        <v/>
      </c>
      <c r="E105" s="29" t="str">
        <f>IF(ROWS('Insumos a comprar'!$B$5:G107)&lt;=COUNTIF(Insumos_a_comprar[Planilla],E$1),INDEX(Insumos_a_comprar[Insumo],_xlfn.AGGREGATE(15,6,(Insumos_a_comprar[Planilla]=E$1)/(Insumos_a_comprar[Planilla]=E$1)*ROW(Insumos_a_comprar[Planilla])-ROW(Insumos_a_comprar[[#Headers],[Planilla]]),ROWS('Insumos a comprar'!$B$5:G107))),"")</f>
        <v/>
      </c>
      <c r="F105" s="29" t="str">
        <f>IF(ROWS('Insumos a comprar'!$B$5:H107)&lt;=COUNTIF(Insumos_a_comprar[Planilla],F$1),INDEX(Insumos_a_comprar[Insumo],_xlfn.AGGREGATE(15,6,(Insumos_a_comprar[Planilla]=F$1)/(Insumos_a_comprar[Planilla]=F$1)*ROW(Insumos_a_comprar[Planilla])-ROW(Insumos_a_comprar[[#Headers],[Planilla]]),ROWS('Insumos a comprar'!$B$5:H107))),"")</f>
        <v/>
      </c>
      <c r="G105" s="29" t="str">
        <f>IF(ROWS('Insumos a comprar'!$B$5:I107)&lt;=COUNTIF(Insumos_a_comprar[Planilla],G$1),INDEX(Insumos_a_comprar[Insumo],_xlfn.AGGREGATE(15,6,(Insumos_a_comprar[Planilla]=G$1)/(Insumos_a_comprar[Planilla]=G$1)*ROW(Insumos_a_comprar[Planilla])-ROW(Insumos_a_comprar[[#Headers],[Planilla]]),ROWS('Insumos a comprar'!$B$5:I107))),"")</f>
        <v/>
      </c>
      <c r="H105" s="29" t="str">
        <f>IF(ROWS('Insumos a comprar'!$B$5:I107)&lt;=COUNTIF(Insumos_a_comprar[Planilla],H$1),INDEX(Insumos_a_comprar[Insumo],_xlfn.AGGREGATE(15,6,(Insumos_a_comprar[Planilla]=H$1)/(Insumos_a_comprar[Planilla]=H$1)*ROW(Insumos_a_comprar[Planilla])-ROW(Insumos_a_comprar[[#Headers],[Planilla]]),ROWS('Insumos a comprar'!$B$5:I107))),"")</f>
        <v xml:space="preserve">Tubos chicos s/tapa </v>
      </c>
      <c r="I105" s="30" t="str">
        <f>IF(ROWS('Insumos a comprar'!$B$5:I107)&lt;=COUNTIF(Insumos_a_comprar[Planilla],I$1),INDEX(Insumos_a_comprar[Insumo],_xlfn.AGGREGATE(15,6,(Insumos_a_comprar[Planilla]=I$1)/(Insumos_a_comprar[Planilla]=I$1)*ROW(Insumos_a_comprar[Planilla])-ROW(Insumos_a_comprar[[#Headers],[Planilla]]),ROWS('Insumos a comprar'!$B$5:I107))),"")</f>
        <v/>
      </c>
      <c r="J105" s="30" t="str">
        <f>IF(ROWS('Insumos a comprar'!$B$5:I107)&lt;=COUNTIF(Insumos_a_comprar[Planilla],J$1),INDEX(Insumos_a_comprar[Insumo],_xlfn.AGGREGATE(15,6,(Insumos_a_comprar[Planilla]=J$1)/(Insumos_a_comprar[Planilla]=J$1)*ROW(Insumos_a_comprar[Planilla])-ROW(Insumos_a_comprar[[#Headers],[Planilla]]),ROWS('Insumos a comprar'!$B$5:I107))),"")</f>
        <v/>
      </c>
      <c r="K105" s="30" t="str">
        <f>IF(ROWS('Insumos a comprar'!$B$5:I107)&lt;=COUNTIF(Insumos_a_comprar[Planilla],K$1),INDEX(Insumos_a_comprar[Insumo],_xlfn.AGGREGATE(15,6,(Insumos_a_comprar[Planilla]=K$1)/(Insumos_a_comprar[Planilla]=K$1)*ROW(Insumos_a_comprar[Planilla])-ROW(Insumos_a_comprar[[#Headers],[Planilla]]),ROWS('Insumos a comprar'!$B$5:I107))),"")</f>
        <v/>
      </c>
      <c r="L105" s="30" t="str">
        <f>IF(ROWS('Insumos a comprar'!$B$5:I107)&lt;=COUNTIF(Insumos_a_comprar[Planilla],L$1),INDEX(Insumos_a_comprar[Insumo],_xlfn.AGGREGATE(15,6,(Insumos_a_comprar[Planilla]=L$1)/(Insumos_a_comprar[Planilla]=L$1)*ROW(Insumos_a_comprar[Planilla])-ROW(Insumos_a_comprar[[#Headers],[Planilla]]),ROWS('Insumos a comprar'!$B$5:I107))),"")</f>
        <v/>
      </c>
      <c r="M105" s="30"/>
      <c r="N105" s="30"/>
      <c r="O105" s="30"/>
      <c r="P105" s="30"/>
      <c r="Q105" s="30"/>
    </row>
    <row r="106" spans="1:17" ht="15.75" x14ac:dyDescent="0.25">
      <c r="A106" s="29" t="str">
        <f>IF(ROWS('Insumos a comprar'!$B$5:B108)&lt;=COUNTIF(Insumos_a_comprar[Planilla],A$1),INDEX(Insumos_a_comprar[Insumo],_xlfn.AGGREGATE(15,6,(Insumos_a_comprar[Planilla]=A$1)/(Insumos_a_comprar[Planilla]=A$1)*ROW(Insumos_a_comprar[Planilla])-ROW(Insumos_a_comprar[[#Headers],[Planilla]]),ROWS('Insumos a comprar'!$B$5:B108))),"")</f>
        <v/>
      </c>
      <c r="B106" s="29" t="str">
        <f>IF(ROWS('Insumos a comprar'!$B$5:B108)&lt;=COUNTIF(Insumos_a_comprar[Planilla],B$1),INDEX(Insumos_a_comprar[Insumo],_xlfn.AGGREGATE(15,6,(Insumos_a_comprar[Planilla]=B$1)/(Insumos_a_comprar[Planilla]=B$1)*ROW(Insumos_a_comprar[Planilla])-ROW(Insumos_a_comprar[[#Headers],[Planilla]]),ROWS('Insumos a comprar'!$B$5:B108))),"")</f>
        <v/>
      </c>
      <c r="C106" s="29" t="str">
        <f>IF(ROWS('Insumos a comprar'!$B$5:E108)&lt;=COUNTIF(Insumos_a_comprar[Planilla],C$1),INDEX(Insumos_a_comprar[Insumo],_xlfn.AGGREGATE(15,6,(Insumos_a_comprar[Planilla]=C$1)/(Insumos_a_comprar[Planilla]=C$1)*ROW(Insumos_a_comprar[Planilla])-ROW(Insumos_a_comprar[[#Headers],[Planilla]]),ROWS('Insumos a comprar'!$B$5:E108))),"")</f>
        <v/>
      </c>
      <c r="D106" s="29" t="str">
        <f>IF(ROWS('Insumos a comprar'!$B$5:F108)&lt;=COUNTIF(Insumos_a_comprar[Planilla],D$1),INDEX(Insumos_a_comprar[Insumo],_xlfn.AGGREGATE(15,6,(Insumos_a_comprar[Planilla]=D$1)/(Insumos_a_comprar[Planilla]=D$1)*ROW(Insumos_a_comprar[Planilla])-ROW(Insumos_a_comprar[[#Headers],[Planilla]]),ROWS('Insumos a comprar'!$B$5:F108))),"")</f>
        <v/>
      </c>
      <c r="E106" s="29" t="str">
        <f>IF(ROWS('Insumos a comprar'!$B$5:G108)&lt;=COUNTIF(Insumos_a_comprar[Planilla],E$1),INDEX(Insumos_a_comprar[Insumo],_xlfn.AGGREGATE(15,6,(Insumos_a_comprar[Planilla]=E$1)/(Insumos_a_comprar[Planilla]=E$1)*ROW(Insumos_a_comprar[Planilla])-ROW(Insumos_a_comprar[[#Headers],[Planilla]]),ROWS('Insumos a comprar'!$B$5:G108))),"")</f>
        <v/>
      </c>
      <c r="F106" s="29" t="str">
        <f>IF(ROWS('Insumos a comprar'!$B$5:H108)&lt;=COUNTIF(Insumos_a_comprar[Planilla],F$1),INDEX(Insumos_a_comprar[Insumo],_xlfn.AGGREGATE(15,6,(Insumos_a_comprar[Planilla]=F$1)/(Insumos_a_comprar[Planilla]=F$1)*ROW(Insumos_a_comprar[Planilla])-ROW(Insumos_a_comprar[[#Headers],[Planilla]]),ROWS('Insumos a comprar'!$B$5:H108))),"")</f>
        <v/>
      </c>
      <c r="G106" s="29" t="str">
        <f>IF(ROWS('Insumos a comprar'!$B$5:I108)&lt;=COUNTIF(Insumos_a_comprar[Planilla],G$1),INDEX(Insumos_a_comprar[Insumo],_xlfn.AGGREGATE(15,6,(Insumos_a_comprar[Planilla]=G$1)/(Insumos_a_comprar[Planilla]=G$1)*ROW(Insumos_a_comprar[Planilla])-ROW(Insumos_a_comprar[[#Headers],[Planilla]]),ROWS('Insumos a comprar'!$B$5:I108))),"")</f>
        <v/>
      </c>
      <c r="H106" s="29" t="str">
        <f>IF(ROWS('Insumos a comprar'!$B$5:I108)&lt;=COUNTIF(Insumos_a_comprar[Planilla],H$1),INDEX(Insumos_a_comprar[Insumo],_xlfn.AGGREGATE(15,6,(Insumos_a_comprar[Planilla]=H$1)/(Insumos_a_comprar[Planilla]=H$1)*ROW(Insumos_a_comprar[Planilla])-ROW(Insumos_a_comprar[[#Headers],[Planilla]]),ROWS('Insumos a comprar'!$B$5:I108))),"")</f>
        <v>Tubos grandes c/tapa 20 ml</v>
      </c>
      <c r="I106" s="30" t="str">
        <f>IF(ROWS('Insumos a comprar'!$B$5:I108)&lt;=COUNTIF(Insumos_a_comprar[Planilla],I$1),INDEX(Insumos_a_comprar[Insumo],_xlfn.AGGREGATE(15,6,(Insumos_a_comprar[Planilla]=I$1)/(Insumos_a_comprar[Planilla]=I$1)*ROW(Insumos_a_comprar[Planilla])-ROW(Insumos_a_comprar[[#Headers],[Planilla]]),ROWS('Insumos a comprar'!$B$5:I108))),"")</f>
        <v/>
      </c>
      <c r="J106" s="30" t="str">
        <f>IF(ROWS('Insumos a comprar'!$B$5:I108)&lt;=COUNTIF(Insumos_a_comprar[Planilla],J$1),INDEX(Insumos_a_comprar[Insumo],_xlfn.AGGREGATE(15,6,(Insumos_a_comprar[Planilla]=J$1)/(Insumos_a_comprar[Planilla]=J$1)*ROW(Insumos_a_comprar[Planilla])-ROW(Insumos_a_comprar[[#Headers],[Planilla]]),ROWS('Insumos a comprar'!$B$5:I108))),"")</f>
        <v/>
      </c>
      <c r="K106" s="30" t="str">
        <f>IF(ROWS('Insumos a comprar'!$B$5:I108)&lt;=COUNTIF(Insumos_a_comprar[Planilla],K$1),INDEX(Insumos_a_comprar[Insumo],_xlfn.AGGREGATE(15,6,(Insumos_a_comprar[Planilla]=K$1)/(Insumos_a_comprar[Planilla]=K$1)*ROW(Insumos_a_comprar[Planilla])-ROW(Insumos_a_comprar[[#Headers],[Planilla]]),ROWS('Insumos a comprar'!$B$5:I108))),"")</f>
        <v/>
      </c>
      <c r="L106" s="30" t="str">
        <f>IF(ROWS('Insumos a comprar'!$B$5:I108)&lt;=COUNTIF(Insumos_a_comprar[Planilla],L$1),INDEX(Insumos_a_comprar[Insumo],_xlfn.AGGREGATE(15,6,(Insumos_a_comprar[Planilla]=L$1)/(Insumos_a_comprar[Planilla]=L$1)*ROW(Insumos_a_comprar[Planilla])-ROW(Insumos_a_comprar[[#Headers],[Planilla]]),ROWS('Insumos a comprar'!$B$5:I108))),"")</f>
        <v/>
      </c>
      <c r="M106" s="30"/>
      <c r="N106" s="30"/>
      <c r="O106" s="30"/>
      <c r="P106" s="30"/>
      <c r="Q106" s="30"/>
    </row>
    <row r="107" spans="1:17" ht="15.75" x14ac:dyDescent="0.25">
      <c r="A107" s="29" t="str">
        <f>IF(ROWS('Insumos a comprar'!$B$5:B109)&lt;=COUNTIF(Insumos_a_comprar[Planilla],A$1),INDEX(Insumos_a_comprar[Insumo],_xlfn.AGGREGATE(15,6,(Insumos_a_comprar[Planilla]=A$1)/(Insumos_a_comprar[Planilla]=A$1)*ROW(Insumos_a_comprar[Planilla])-ROW(Insumos_a_comprar[[#Headers],[Planilla]]),ROWS('Insumos a comprar'!$B$5:B109))),"")</f>
        <v/>
      </c>
      <c r="B107" s="29" t="str">
        <f>IF(ROWS('Insumos a comprar'!$B$5:B109)&lt;=COUNTIF(Insumos_a_comprar[Planilla],B$1),INDEX(Insumos_a_comprar[Insumo],_xlfn.AGGREGATE(15,6,(Insumos_a_comprar[Planilla]=B$1)/(Insumos_a_comprar[Planilla]=B$1)*ROW(Insumos_a_comprar[Planilla])-ROW(Insumos_a_comprar[[#Headers],[Planilla]]),ROWS('Insumos a comprar'!$B$5:B109))),"")</f>
        <v/>
      </c>
      <c r="C107" s="29" t="str">
        <f>IF(ROWS('Insumos a comprar'!$B$5:E109)&lt;=COUNTIF(Insumos_a_comprar[Planilla],C$1),INDEX(Insumos_a_comprar[Insumo],_xlfn.AGGREGATE(15,6,(Insumos_a_comprar[Planilla]=C$1)/(Insumos_a_comprar[Planilla]=C$1)*ROW(Insumos_a_comprar[Planilla])-ROW(Insumos_a_comprar[[#Headers],[Planilla]]),ROWS('Insumos a comprar'!$B$5:E109))),"")</f>
        <v/>
      </c>
      <c r="D107" s="29" t="str">
        <f>IF(ROWS('Insumos a comprar'!$B$5:F109)&lt;=COUNTIF(Insumos_a_comprar[Planilla],D$1),INDEX(Insumos_a_comprar[Insumo],_xlfn.AGGREGATE(15,6,(Insumos_a_comprar[Planilla]=D$1)/(Insumos_a_comprar[Planilla]=D$1)*ROW(Insumos_a_comprar[Planilla])-ROW(Insumos_a_comprar[[#Headers],[Planilla]]),ROWS('Insumos a comprar'!$B$5:F109))),"")</f>
        <v/>
      </c>
      <c r="E107" s="29" t="str">
        <f>IF(ROWS('Insumos a comprar'!$B$5:G109)&lt;=COUNTIF(Insumos_a_comprar[Planilla],E$1),INDEX(Insumos_a_comprar[Insumo],_xlfn.AGGREGATE(15,6,(Insumos_a_comprar[Planilla]=E$1)/(Insumos_a_comprar[Planilla]=E$1)*ROW(Insumos_a_comprar[Planilla])-ROW(Insumos_a_comprar[[#Headers],[Planilla]]),ROWS('Insumos a comprar'!$B$5:G109))),"")</f>
        <v/>
      </c>
      <c r="F107" s="29" t="str">
        <f>IF(ROWS('Insumos a comprar'!$B$5:H109)&lt;=COUNTIF(Insumos_a_comprar[Planilla],F$1),INDEX(Insumos_a_comprar[Insumo],_xlfn.AGGREGATE(15,6,(Insumos_a_comprar[Planilla]=F$1)/(Insumos_a_comprar[Planilla]=F$1)*ROW(Insumos_a_comprar[Planilla])-ROW(Insumos_a_comprar[[#Headers],[Planilla]]),ROWS('Insumos a comprar'!$B$5:H109))),"")</f>
        <v/>
      </c>
      <c r="G107" s="29" t="str">
        <f>IF(ROWS('Insumos a comprar'!$B$5:I109)&lt;=COUNTIF(Insumos_a_comprar[Planilla],G$1),INDEX(Insumos_a_comprar[Insumo],_xlfn.AGGREGATE(15,6,(Insumos_a_comprar[Planilla]=G$1)/(Insumos_a_comprar[Planilla]=G$1)*ROW(Insumos_a_comprar[Planilla])-ROW(Insumos_a_comprar[[#Headers],[Planilla]]),ROWS('Insumos a comprar'!$B$5:I109))),"")</f>
        <v/>
      </c>
      <c r="H107" s="29" t="str">
        <f>IF(ROWS('Insumos a comprar'!$B$5:I109)&lt;=COUNTIF(Insumos_a_comprar[Planilla],H$1),INDEX(Insumos_a_comprar[Insumo],_xlfn.AGGREGATE(15,6,(Insumos_a_comprar[Planilla]=H$1)/(Insumos_a_comprar[Planilla]=H$1)*ROW(Insumos_a_comprar[Planilla])-ROW(Insumos_a_comprar[[#Headers],[Planilla]]),ROWS('Insumos a comprar'!$B$5:I109))),"")</f>
        <v xml:space="preserve">Tubos grandes s/tapa </v>
      </c>
      <c r="I107" s="30" t="str">
        <f>IF(ROWS('Insumos a comprar'!$B$5:I109)&lt;=COUNTIF(Insumos_a_comprar[Planilla],I$1),INDEX(Insumos_a_comprar[Insumo],_xlfn.AGGREGATE(15,6,(Insumos_a_comprar[Planilla]=I$1)/(Insumos_a_comprar[Planilla]=I$1)*ROW(Insumos_a_comprar[Planilla])-ROW(Insumos_a_comprar[[#Headers],[Planilla]]),ROWS('Insumos a comprar'!$B$5:I109))),"")</f>
        <v/>
      </c>
      <c r="J107" s="30" t="str">
        <f>IF(ROWS('Insumos a comprar'!$B$5:I109)&lt;=COUNTIF(Insumos_a_comprar[Planilla],J$1),INDEX(Insumos_a_comprar[Insumo],_xlfn.AGGREGATE(15,6,(Insumos_a_comprar[Planilla]=J$1)/(Insumos_a_comprar[Planilla]=J$1)*ROW(Insumos_a_comprar[Planilla])-ROW(Insumos_a_comprar[[#Headers],[Planilla]]),ROWS('Insumos a comprar'!$B$5:I109))),"")</f>
        <v/>
      </c>
      <c r="K107" s="30" t="str">
        <f>IF(ROWS('Insumos a comprar'!$B$5:I109)&lt;=COUNTIF(Insumos_a_comprar[Planilla],K$1),INDEX(Insumos_a_comprar[Insumo],_xlfn.AGGREGATE(15,6,(Insumos_a_comprar[Planilla]=K$1)/(Insumos_a_comprar[Planilla]=K$1)*ROW(Insumos_a_comprar[Planilla])-ROW(Insumos_a_comprar[[#Headers],[Planilla]]),ROWS('Insumos a comprar'!$B$5:I109))),"")</f>
        <v/>
      </c>
      <c r="L107" s="30" t="str">
        <f>IF(ROWS('Insumos a comprar'!$B$5:I109)&lt;=COUNTIF(Insumos_a_comprar[Planilla],L$1),INDEX(Insumos_a_comprar[Insumo],_xlfn.AGGREGATE(15,6,(Insumos_a_comprar[Planilla]=L$1)/(Insumos_a_comprar[Planilla]=L$1)*ROW(Insumos_a_comprar[Planilla])-ROW(Insumos_a_comprar[[#Headers],[Planilla]]),ROWS('Insumos a comprar'!$B$5:I109))),"")</f>
        <v/>
      </c>
      <c r="M107" s="30"/>
      <c r="N107" s="30"/>
      <c r="O107" s="30"/>
      <c r="P107" s="30"/>
      <c r="Q107" s="30"/>
    </row>
    <row r="108" spans="1:17" ht="15.75" x14ac:dyDescent="0.25">
      <c r="A108" s="29" t="str">
        <f>IF(ROWS('Insumos a comprar'!$B$5:B110)&lt;=COUNTIF(Insumos_a_comprar[Planilla],A$1),INDEX(Insumos_a_comprar[Insumo],_xlfn.AGGREGATE(15,6,(Insumos_a_comprar[Planilla]=A$1)/(Insumos_a_comprar[Planilla]=A$1)*ROW(Insumos_a_comprar[Planilla])-ROW(Insumos_a_comprar[[#Headers],[Planilla]]),ROWS('Insumos a comprar'!$B$5:B110))),"")</f>
        <v/>
      </c>
      <c r="B108" s="29" t="str">
        <f>IF(ROWS('Insumos a comprar'!$B$5:B110)&lt;=COUNTIF(Insumos_a_comprar[Planilla],B$1),INDEX(Insumos_a_comprar[Insumo],_xlfn.AGGREGATE(15,6,(Insumos_a_comprar[Planilla]=B$1)/(Insumos_a_comprar[Planilla]=B$1)*ROW(Insumos_a_comprar[Planilla])-ROW(Insumos_a_comprar[[#Headers],[Planilla]]),ROWS('Insumos a comprar'!$B$5:B110))),"")</f>
        <v/>
      </c>
      <c r="C108" s="29" t="str">
        <f>IF(ROWS('Insumos a comprar'!$B$5:E110)&lt;=COUNTIF(Insumos_a_comprar[Planilla],C$1),INDEX(Insumos_a_comprar[Insumo],_xlfn.AGGREGATE(15,6,(Insumos_a_comprar[Planilla]=C$1)/(Insumos_a_comprar[Planilla]=C$1)*ROW(Insumos_a_comprar[Planilla])-ROW(Insumos_a_comprar[[#Headers],[Planilla]]),ROWS('Insumos a comprar'!$B$5:E110))),"")</f>
        <v/>
      </c>
      <c r="D108" s="29" t="str">
        <f>IF(ROWS('Insumos a comprar'!$B$5:F110)&lt;=COUNTIF(Insumos_a_comprar[Planilla],D$1),INDEX(Insumos_a_comprar[Insumo],_xlfn.AGGREGATE(15,6,(Insumos_a_comprar[Planilla]=D$1)/(Insumos_a_comprar[Planilla]=D$1)*ROW(Insumos_a_comprar[Planilla])-ROW(Insumos_a_comprar[[#Headers],[Planilla]]),ROWS('Insumos a comprar'!$B$5:F110))),"")</f>
        <v/>
      </c>
      <c r="E108" s="29" t="str">
        <f>IF(ROWS('Insumos a comprar'!$B$5:G110)&lt;=COUNTIF(Insumos_a_comprar[Planilla],E$1),INDEX(Insumos_a_comprar[Insumo],_xlfn.AGGREGATE(15,6,(Insumos_a_comprar[Planilla]=E$1)/(Insumos_a_comprar[Planilla]=E$1)*ROW(Insumos_a_comprar[Planilla])-ROW(Insumos_a_comprar[[#Headers],[Planilla]]),ROWS('Insumos a comprar'!$B$5:G110))),"")</f>
        <v/>
      </c>
      <c r="F108" s="29" t="str">
        <f>IF(ROWS('Insumos a comprar'!$B$5:H110)&lt;=COUNTIF(Insumos_a_comprar[Planilla],F$1),INDEX(Insumos_a_comprar[Insumo],_xlfn.AGGREGATE(15,6,(Insumos_a_comprar[Planilla]=F$1)/(Insumos_a_comprar[Planilla]=F$1)*ROW(Insumos_a_comprar[Planilla])-ROW(Insumos_a_comprar[[#Headers],[Planilla]]),ROWS('Insumos a comprar'!$B$5:H110))),"")</f>
        <v/>
      </c>
      <c r="G108" s="29" t="str">
        <f>IF(ROWS('Insumos a comprar'!$B$5:I110)&lt;=COUNTIF(Insumos_a_comprar[Planilla],G$1),INDEX(Insumos_a_comprar[Insumo],_xlfn.AGGREGATE(15,6,(Insumos_a_comprar[Planilla]=G$1)/(Insumos_a_comprar[Planilla]=G$1)*ROW(Insumos_a_comprar[Planilla])-ROW(Insumos_a_comprar[[#Headers],[Planilla]]),ROWS('Insumos a comprar'!$B$5:I110))),"")</f>
        <v/>
      </c>
      <c r="H108" s="29" t="str">
        <f>IF(ROWS('Insumos a comprar'!$B$5:I110)&lt;=COUNTIF(Insumos_a_comprar[Planilla],H$1),INDEX(Insumos_a_comprar[Insumo],_xlfn.AGGREGATE(15,6,(Insumos_a_comprar[Planilla]=H$1)/(Insumos_a_comprar[Planilla]=H$1)*ROW(Insumos_a_comprar[Planilla])-ROW(Insumos_a_comprar[[#Headers],[Planilla]]),ROWS('Insumos a comprar'!$B$5:I110))),"")</f>
        <v xml:space="preserve">Varillas Cortas </v>
      </c>
      <c r="I108" s="30" t="str">
        <f>IF(ROWS('Insumos a comprar'!$B$5:I110)&lt;=COUNTIF(Insumos_a_comprar[Planilla],I$1),INDEX(Insumos_a_comprar[Insumo],_xlfn.AGGREGATE(15,6,(Insumos_a_comprar[Planilla]=I$1)/(Insumos_a_comprar[Planilla]=I$1)*ROW(Insumos_a_comprar[Planilla])-ROW(Insumos_a_comprar[[#Headers],[Planilla]]),ROWS('Insumos a comprar'!$B$5:I110))),"")</f>
        <v/>
      </c>
      <c r="J108" s="30" t="str">
        <f>IF(ROWS('Insumos a comprar'!$B$5:I110)&lt;=COUNTIF(Insumos_a_comprar[Planilla],J$1),INDEX(Insumos_a_comprar[Insumo],_xlfn.AGGREGATE(15,6,(Insumos_a_comprar[Planilla]=J$1)/(Insumos_a_comprar[Planilla]=J$1)*ROW(Insumos_a_comprar[Planilla])-ROW(Insumos_a_comprar[[#Headers],[Planilla]]),ROWS('Insumos a comprar'!$B$5:I110))),"")</f>
        <v/>
      </c>
      <c r="K108" s="30" t="str">
        <f>IF(ROWS('Insumos a comprar'!$B$5:I110)&lt;=COUNTIF(Insumos_a_comprar[Planilla],K$1),INDEX(Insumos_a_comprar[Insumo],_xlfn.AGGREGATE(15,6,(Insumos_a_comprar[Planilla]=K$1)/(Insumos_a_comprar[Planilla]=K$1)*ROW(Insumos_a_comprar[Planilla])-ROW(Insumos_a_comprar[[#Headers],[Planilla]]),ROWS('Insumos a comprar'!$B$5:I110))),"")</f>
        <v/>
      </c>
      <c r="L108" s="30" t="str">
        <f>IF(ROWS('Insumos a comprar'!$B$5:I110)&lt;=COUNTIF(Insumos_a_comprar[Planilla],L$1),INDEX(Insumos_a_comprar[Insumo],_xlfn.AGGREGATE(15,6,(Insumos_a_comprar[Planilla]=L$1)/(Insumos_a_comprar[Planilla]=L$1)*ROW(Insumos_a_comprar[Planilla])-ROW(Insumos_a_comprar[[#Headers],[Planilla]]),ROWS('Insumos a comprar'!$B$5:I110))),"")</f>
        <v/>
      </c>
      <c r="M108" s="30"/>
      <c r="N108" s="30"/>
      <c r="O108" s="30"/>
      <c r="P108" s="30"/>
      <c r="Q108" s="30"/>
    </row>
    <row r="109" spans="1:17" ht="15.75" x14ac:dyDescent="0.25">
      <c r="A109" s="29" t="str">
        <f>IF(ROWS('Insumos a comprar'!$B$5:B111)&lt;=COUNTIF(Insumos_a_comprar[Planilla],A$1),INDEX(Insumos_a_comprar[Insumo],_xlfn.AGGREGATE(15,6,(Insumos_a_comprar[Planilla]=A$1)/(Insumos_a_comprar[Planilla]=A$1)*ROW(Insumos_a_comprar[Planilla])-ROW(Insumos_a_comprar[[#Headers],[Planilla]]),ROWS('Insumos a comprar'!$B$5:B111))),"")</f>
        <v/>
      </c>
      <c r="B109" s="29" t="str">
        <f>IF(ROWS('Insumos a comprar'!$B$5:B111)&lt;=COUNTIF(Insumos_a_comprar[Planilla],B$1),INDEX(Insumos_a_comprar[Insumo],_xlfn.AGGREGATE(15,6,(Insumos_a_comprar[Planilla]=B$1)/(Insumos_a_comprar[Planilla]=B$1)*ROW(Insumos_a_comprar[Planilla])-ROW(Insumos_a_comprar[[#Headers],[Planilla]]),ROWS('Insumos a comprar'!$B$5:B111))),"")</f>
        <v/>
      </c>
      <c r="C109" s="29" t="str">
        <f>IF(ROWS('Insumos a comprar'!$B$5:E111)&lt;=COUNTIF(Insumos_a_comprar[Planilla],C$1),INDEX(Insumos_a_comprar[Insumo],_xlfn.AGGREGATE(15,6,(Insumos_a_comprar[Planilla]=C$1)/(Insumos_a_comprar[Planilla]=C$1)*ROW(Insumos_a_comprar[Planilla])-ROW(Insumos_a_comprar[[#Headers],[Planilla]]),ROWS('Insumos a comprar'!$B$5:E111))),"")</f>
        <v/>
      </c>
      <c r="D109" s="29" t="str">
        <f>IF(ROWS('Insumos a comprar'!$B$5:F111)&lt;=COUNTIF(Insumos_a_comprar[Planilla],D$1),INDEX(Insumos_a_comprar[Insumo],_xlfn.AGGREGATE(15,6,(Insumos_a_comprar[Planilla]=D$1)/(Insumos_a_comprar[Planilla]=D$1)*ROW(Insumos_a_comprar[Planilla])-ROW(Insumos_a_comprar[[#Headers],[Planilla]]),ROWS('Insumos a comprar'!$B$5:F111))),"")</f>
        <v/>
      </c>
      <c r="E109" s="29" t="str">
        <f>IF(ROWS('Insumos a comprar'!$B$5:G111)&lt;=COUNTIF(Insumos_a_comprar[Planilla],E$1),INDEX(Insumos_a_comprar[Insumo],_xlfn.AGGREGATE(15,6,(Insumos_a_comprar[Planilla]=E$1)/(Insumos_a_comprar[Planilla]=E$1)*ROW(Insumos_a_comprar[Planilla])-ROW(Insumos_a_comprar[[#Headers],[Planilla]]),ROWS('Insumos a comprar'!$B$5:G111))),"")</f>
        <v/>
      </c>
      <c r="F109" s="29" t="str">
        <f>IF(ROWS('Insumos a comprar'!$B$5:H111)&lt;=COUNTIF(Insumos_a_comprar[Planilla],F$1),INDEX(Insumos_a_comprar[Insumo],_xlfn.AGGREGATE(15,6,(Insumos_a_comprar[Planilla]=F$1)/(Insumos_a_comprar[Planilla]=F$1)*ROW(Insumos_a_comprar[Planilla])-ROW(Insumos_a_comprar[[#Headers],[Planilla]]),ROWS('Insumos a comprar'!$B$5:H111))),"")</f>
        <v/>
      </c>
      <c r="G109" s="29" t="str">
        <f>IF(ROWS('Insumos a comprar'!$B$5:I111)&lt;=COUNTIF(Insumos_a_comprar[Planilla],G$1),INDEX(Insumos_a_comprar[Insumo],_xlfn.AGGREGATE(15,6,(Insumos_a_comprar[Planilla]=G$1)/(Insumos_a_comprar[Planilla]=G$1)*ROW(Insumos_a_comprar[Planilla])-ROW(Insumos_a_comprar[[#Headers],[Planilla]]),ROWS('Insumos a comprar'!$B$5:I111))),"")</f>
        <v/>
      </c>
      <c r="H109" s="29" t="str">
        <f>IF(ROWS('Insumos a comprar'!$B$5:I111)&lt;=COUNTIF(Insumos_a_comprar[Planilla],H$1),INDEX(Insumos_a_comprar[Insumo],_xlfn.AGGREGATE(15,6,(Insumos_a_comprar[Planilla]=H$1)/(Insumos_a_comprar[Planilla]=H$1)*ROW(Insumos_a_comprar[Planilla])-ROW(Insumos_a_comprar[[#Headers],[Planilla]]),ROWS('Insumos a comprar'!$B$5:I111))),"")</f>
        <v xml:space="preserve">Varillas Largas </v>
      </c>
      <c r="I109" s="30" t="str">
        <f>IF(ROWS('Insumos a comprar'!$B$5:I111)&lt;=COUNTIF(Insumos_a_comprar[Planilla],I$1),INDEX(Insumos_a_comprar[Insumo],_xlfn.AGGREGATE(15,6,(Insumos_a_comprar[Planilla]=I$1)/(Insumos_a_comprar[Planilla]=I$1)*ROW(Insumos_a_comprar[Planilla])-ROW(Insumos_a_comprar[[#Headers],[Planilla]]),ROWS('Insumos a comprar'!$B$5:I111))),"")</f>
        <v/>
      </c>
      <c r="J109" s="30" t="str">
        <f>IF(ROWS('Insumos a comprar'!$B$5:I111)&lt;=COUNTIF(Insumos_a_comprar[Planilla],J$1),INDEX(Insumos_a_comprar[Insumo],_xlfn.AGGREGATE(15,6,(Insumos_a_comprar[Planilla]=J$1)/(Insumos_a_comprar[Planilla]=J$1)*ROW(Insumos_a_comprar[Planilla])-ROW(Insumos_a_comprar[[#Headers],[Planilla]]),ROWS('Insumos a comprar'!$B$5:I111))),"")</f>
        <v/>
      </c>
      <c r="K109" s="30" t="str">
        <f>IF(ROWS('Insumos a comprar'!$B$5:I111)&lt;=COUNTIF(Insumos_a_comprar[Planilla],K$1),INDEX(Insumos_a_comprar[Insumo],_xlfn.AGGREGATE(15,6,(Insumos_a_comprar[Planilla]=K$1)/(Insumos_a_comprar[Planilla]=K$1)*ROW(Insumos_a_comprar[Planilla])-ROW(Insumos_a_comprar[[#Headers],[Planilla]]),ROWS('Insumos a comprar'!$B$5:I111))),"")</f>
        <v/>
      </c>
      <c r="L109" s="30" t="str">
        <f>IF(ROWS('Insumos a comprar'!$B$5:I111)&lt;=COUNTIF(Insumos_a_comprar[Planilla],L$1),INDEX(Insumos_a_comprar[Insumo],_xlfn.AGGREGATE(15,6,(Insumos_a_comprar[Planilla]=L$1)/(Insumos_a_comprar[Planilla]=L$1)*ROW(Insumos_a_comprar[Planilla])-ROW(Insumos_a_comprar[[#Headers],[Planilla]]),ROWS('Insumos a comprar'!$B$5:I111))),"")</f>
        <v/>
      </c>
      <c r="M109" s="30"/>
      <c r="N109" s="30"/>
      <c r="O109" s="30"/>
      <c r="P109" s="30"/>
      <c r="Q109" s="30"/>
    </row>
    <row r="110" spans="1:17" ht="15.75" x14ac:dyDescent="0.25">
      <c r="A110" s="29" t="str">
        <f>IF(ROWS('Insumos a comprar'!$B$5:B112)&lt;=COUNTIF(Insumos_a_comprar[Planilla],A$1),INDEX(Insumos_a_comprar[Insumo],_xlfn.AGGREGATE(15,6,(Insumos_a_comprar[Planilla]=A$1)/(Insumos_a_comprar[Planilla]=A$1)*ROW(Insumos_a_comprar[Planilla])-ROW(Insumos_a_comprar[[#Headers],[Planilla]]),ROWS('Insumos a comprar'!$B$5:B112))),"")</f>
        <v/>
      </c>
      <c r="B110" s="29" t="str">
        <f>IF(ROWS('Insumos a comprar'!$B$5:B112)&lt;=COUNTIF(Insumos_a_comprar[Planilla],B$1),INDEX(Insumos_a_comprar[Insumo],_xlfn.AGGREGATE(15,6,(Insumos_a_comprar[Planilla]=B$1)/(Insumos_a_comprar[Planilla]=B$1)*ROW(Insumos_a_comprar[Planilla])-ROW(Insumos_a_comprar[[#Headers],[Planilla]]),ROWS('Insumos a comprar'!$B$5:B112))),"")</f>
        <v/>
      </c>
      <c r="C110" s="29" t="str">
        <f>IF(ROWS('Insumos a comprar'!$B$5:E112)&lt;=COUNTIF(Insumos_a_comprar[Planilla],C$1),INDEX(Insumos_a_comprar[Insumo],_xlfn.AGGREGATE(15,6,(Insumos_a_comprar[Planilla]=C$1)/(Insumos_a_comprar[Planilla]=C$1)*ROW(Insumos_a_comprar[Planilla])-ROW(Insumos_a_comprar[[#Headers],[Planilla]]),ROWS('Insumos a comprar'!$B$5:E112))),"")</f>
        <v/>
      </c>
      <c r="D110" s="29" t="str">
        <f>IF(ROWS('Insumos a comprar'!$B$5:F112)&lt;=COUNTIF(Insumos_a_comprar[Planilla],D$1),INDEX(Insumos_a_comprar[Insumo],_xlfn.AGGREGATE(15,6,(Insumos_a_comprar[Planilla]=D$1)/(Insumos_a_comprar[Planilla]=D$1)*ROW(Insumos_a_comprar[Planilla])-ROW(Insumos_a_comprar[[#Headers],[Planilla]]),ROWS('Insumos a comprar'!$B$5:F112))),"")</f>
        <v/>
      </c>
      <c r="E110" s="29" t="str">
        <f>IF(ROWS('Insumos a comprar'!$B$5:G112)&lt;=COUNTIF(Insumos_a_comprar[Planilla],E$1),INDEX(Insumos_a_comprar[Insumo],_xlfn.AGGREGATE(15,6,(Insumos_a_comprar[Planilla]=E$1)/(Insumos_a_comprar[Planilla]=E$1)*ROW(Insumos_a_comprar[Planilla])-ROW(Insumos_a_comprar[[#Headers],[Planilla]]),ROWS('Insumos a comprar'!$B$5:G112))),"")</f>
        <v/>
      </c>
      <c r="F110" s="29" t="str">
        <f>IF(ROWS('Insumos a comprar'!$B$5:H112)&lt;=COUNTIF(Insumos_a_comprar[Planilla],F$1),INDEX(Insumos_a_comprar[Insumo],_xlfn.AGGREGATE(15,6,(Insumos_a_comprar[Planilla]=F$1)/(Insumos_a_comprar[Planilla]=F$1)*ROW(Insumos_a_comprar[Planilla])-ROW(Insumos_a_comprar[[#Headers],[Planilla]]),ROWS('Insumos a comprar'!$B$5:H112))),"")</f>
        <v/>
      </c>
      <c r="G110" s="29" t="str">
        <f>IF(ROWS('Insumos a comprar'!$B$5:I112)&lt;=COUNTIF(Insumos_a_comprar[Planilla],G$1),INDEX(Insumos_a_comprar[Insumo],_xlfn.AGGREGATE(15,6,(Insumos_a_comprar[Planilla]=G$1)/(Insumos_a_comprar[Planilla]=G$1)*ROW(Insumos_a_comprar[Planilla])-ROW(Insumos_a_comprar[[#Headers],[Planilla]]),ROWS('Insumos a comprar'!$B$5:I112))),"")</f>
        <v/>
      </c>
      <c r="H110" s="29" t="str">
        <f>IF(ROWS('Insumos a comprar'!$B$5:I112)&lt;=COUNTIF(Insumos_a_comprar[Planilla],H$1),INDEX(Insumos_a_comprar[Insumo],_xlfn.AGGREGATE(15,6,(Insumos_a_comprar[Planilla]=H$1)/(Insumos_a_comprar[Planilla]=H$1)*ROW(Insumos_a_comprar[Planilla])-ROW(Insumos_a_comprar[[#Headers],[Planilla]]),ROWS('Insumos a comprar'!$B$5:I112))),"")</f>
        <v>Vasos  100 ml</v>
      </c>
      <c r="I110" s="30" t="str">
        <f>IF(ROWS('Insumos a comprar'!$B$5:I112)&lt;=COUNTIF(Insumos_a_comprar[Planilla],I$1),INDEX(Insumos_a_comprar[Insumo],_xlfn.AGGREGATE(15,6,(Insumos_a_comprar[Planilla]=I$1)/(Insumos_a_comprar[Planilla]=I$1)*ROW(Insumos_a_comprar[Planilla])-ROW(Insumos_a_comprar[[#Headers],[Planilla]]),ROWS('Insumos a comprar'!$B$5:I112))),"")</f>
        <v/>
      </c>
      <c r="J110" s="30" t="str">
        <f>IF(ROWS('Insumos a comprar'!$B$5:I112)&lt;=COUNTIF(Insumos_a_comprar[Planilla],J$1),INDEX(Insumos_a_comprar[Insumo],_xlfn.AGGREGATE(15,6,(Insumos_a_comprar[Planilla]=J$1)/(Insumos_a_comprar[Planilla]=J$1)*ROW(Insumos_a_comprar[Planilla])-ROW(Insumos_a_comprar[[#Headers],[Planilla]]),ROWS('Insumos a comprar'!$B$5:I112))),"")</f>
        <v/>
      </c>
      <c r="K110" s="30" t="str">
        <f>IF(ROWS('Insumos a comprar'!$B$5:I112)&lt;=COUNTIF(Insumos_a_comprar[Planilla],K$1),INDEX(Insumos_a_comprar[Insumo],_xlfn.AGGREGATE(15,6,(Insumos_a_comprar[Planilla]=K$1)/(Insumos_a_comprar[Planilla]=K$1)*ROW(Insumos_a_comprar[Planilla])-ROW(Insumos_a_comprar[[#Headers],[Planilla]]),ROWS('Insumos a comprar'!$B$5:I112))),"")</f>
        <v/>
      </c>
      <c r="L110" s="30" t="str">
        <f>IF(ROWS('Insumos a comprar'!$B$5:I112)&lt;=COUNTIF(Insumos_a_comprar[Planilla],L$1),INDEX(Insumos_a_comprar[Insumo],_xlfn.AGGREGATE(15,6,(Insumos_a_comprar[Planilla]=L$1)/(Insumos_a_comprar[Planilla]=L$1)*ROW(Insumos_a_comprar[Planilla])-ROW(Insumos_a_comprar[[#Headers],[Planilla]]),ROWS('Insumos a comprar'!$B$5:I112))),"")</f>
        <v/>
      </c>
      <c r="M110" s="30"/>
      <c r="N110" s="30"/>
      <c r="O110" s="30"/>
      <c r="P110" s="30"/>
      <c r="Q110" s="30"/>
    </row>
    <row r="111" spans="1:17" ht="15.75" x14ac:dyDescent="0.25">
      <c r="A111" s="29" t="str">
        <f>IF(ROWS('Insumos a comprar'!$B$5:B113)&lt;=COUNTIF(Insumos_a_comprar[Planilla],A$1),INDEX(Insumos_a_comprar[Insumo],_xlfn.AGGREGATE(15,6,(Insumos_a_comprar[Planilla]=A$1)/(Insumos_a_comprar[Planilla]=A$1)*ROW(Insumos_a_comprar[Planilla])-ROW(Insumos_a_comprar[[#Headers],[Planilla]]),ROWS('Insumos a comprar'!$B$5:B113))),"")</f>
        <v/>
      </c>
      <c r="B111" s="29" t="str">
        <f>IF(ROWS('Insumos a comprar'!$B$5:B113)&lt;=COUNTIF(Insumos_a_comprar[Planilla],B$1),INDEX(Insumos_a_comprar[Insumo],_xlfn.AGGREGATE(15,6,(Insumos_a_comprar[Planilla]=B$1)/(Insumos_a_comprar[Planilla]=B$1)*ROW(Insumos_a_comprar[Planilla])-ROW(Insumos_a_comprar[[#Headers],[Planilla]]),ROWS('Insumos a comprar'!$B$5:B113))),"")</f>
        <v/>
      </c>
      <c r="C111" s="29" t="str">
        <f>IF(ROWS('Insumos a comprar'!$B$5:E113)&lt;=COUNTIF(Insumos_a_comprar[Planilla],C$1),INDEX(Insumos_a_comprar[Insumo],_xlfn.AGGREGATE(15,6,(Insumos_a_comprar[Planilla]=C$1)/(Insumos_a_comprar[Planilla]=C$1)*ROW(Insumos_a_comprar[Planilla])-ROW(Insumos_a_comprar[[#Headers],[Planilla]]),ROWS('Insumos a comprar'!$B$5:E113))),"")</f>
        <v/>
      </c>
      <c r="D111" s="29" t="str">
        <f>IF(ROWS('Insumos a comprar'!$B$5:F113)&lt;=COUNTIF(Insumos_a_comprar[Planilla],D$1),INDEX(Insumos_a_comprar[Insumo],_xlfn.AGGREGATE(15,6,(Insumos_a_comprar[Planilla]=D$1)/(Insumos_a_comprar[Planilla]=D$1)*ROW(Insumos_a_comprar[Planilla])-ROW(Insumos_a_comprar[[#Headers],[Planilla]]),ROWS('Insumos a comprar'!$B$5:F113))),"")</f>
        <v/>
      </c>
      <c r="E111" s="29" t="str">
        <f>IF(ROWS('Insumos a comprar'!$B$5:G113)&lt;=COUNTIF(Insumos_a_comprar[Planilla],E$1),INDEX(Insumos_a_comprar[Insumo],_xlfn.AGGREGATE(15,6,(Insumos_a_comprar[Planilla]=E$1)/(Insumos_a_comprar[Planilla]=E$1)*ROW(Insumos_a_comprar[Planilla])-ROW(Insumos_a_comprar[[#Headers],[Planilla]]),ROWS('Insumos a comprar'!$B$5:G113))),"")</f>
        <v/>
      </c>
      <c r="F111" s="29" t="str">
        <f>IF(ROWS('Insumos a comprar'!$B$5:H113)&lt;=COUNTIF(Insumos_a_comprar[Planilla],F$1),INDEX(Insumos_a_comprar[Insumo],_xlfn.AGGREGATE(15,6,(Insumos_a_comprar[Planilla]=F$1)/(Insumos_a_comprar[Planilla]=F$1)*ROW(Insumos_a_comprar[Planilla])-ROW(Insumos_a_comprar[[#Headers],[Planilla]]),ROWS('Insumos a comprar'!$B$5:H113))),"")</f>
        <v/>
      </c>
      <c r="G111" s="29" t="str">
        <f>IF(ROWS('Insumos a comprar'!$B$5:I113)&lt;=COUNTIF(Insumos_a_comprar[Planilla],G$1),INDEX(Insumos_a_comprar[Insumo],_xlfn.AGGREGATE(15,6,(Insumos_a_comprar[Planilla]=G$1)/(Insumos_a_comprar[Planilla]=G$1)*ROW(Insumos_a_comprar[Planilla])-ROW(Insumos_a_comprar[[#Headers],[Planilla]]),ROWS('Insumos a comprar'!$B$5:I113))),"")</f>
        <v/>
      </c>
      <c r="H111" s="29" t="str">
        <f>IF(ROWS('Insumos a comprar'!$B$5:I113)&lt;=COUNTIF(Insumos_a_comprar[Planilla],H$1),INDEX(Insumos_a_comprar[Insumo],_xlfn.AGGREGATE(15,6,(Insumos_a_comprar[Planilla]=H$1)/(Insumos_a_comprar[Planilla]=H$1)*ROW(Insumos_a_comprar[Planilla])-ROW(Insumos_a_comprar[[#Headers],[Planilla]]),ROWS('Insumos a comprar'!$B$5:I113))),"")</f>
        <v>Vasos  1000 ml</v>
      </c>
      <c r="I111" s="30" t="str">
        <f>IF(ROWS('Insumos a comprar'!$B$5:I113)&lt;=COUNTIF(Insumos_a_comprar[Planilla],I$1),INDEX(Insumos_a_comprar[Insumo],_xlfn.AGGREGATE(15,6,(Insumos_a_comprar[Planilla]=I$1)/(Insumos_a_comprar[Planilla]=I$1)*ROW(Insumos_a_comprar[Planilla])-ROW(Insumos_a_comprar[[#Headers],[Planilla]]),ROWS('Insumos a comprar'!$B$5:I113))),"")</f>
        <v/>
      </c>
      <c r="J111" s="30" t="str">
        <f>IF(ROWS('Insumos a comprar'!$B$5:I113)&lt;=COUNTIF(Insumos_a_comprar[Planilla],J$1),INDEX(Insumos_a_comprar[Insumo],_xlfn.AGGREGATE(15,6,(Insumos_a_comprar[Planilla]=J$1)/(Insumos_a_comprar[Planilla]=J$1)*ROW(Insumos_a_comprar[Planilla])-ROW(Insumos_a_comprar[[#Headers],[Planilla]]),ROWS('Insumos a comprar'!$B$5:I113))),"")</f>
        <v/>
      </c>
      <c r="K111" s="30" t="str">
        <f>IF(ROWS('Insumos a comprar'!$B$5:I113)&lt;=COUNTIF(Insumos_a_comprar[Planilla],K$1),INDEX(Insumos_a_comprar[Insumo],_xlfn.AGGREGATE(15,6,(Insumos_a_comprar[Planilla]=K$1)/(Insumos_a_comprar[Planilla]=K$1)*ROW(Insumos_a_comprar[Planilla])-ROW(Insumos_a_comprar[[#Headers],[Planilla]]),ROWS('Insumos a comprar'!$B$5:I113))),"")</f>
        <v/>
      </c>
      <c r="L111" s="30" t="str">
        <f>IF(ROWS('Insumos a comprar'!$B$5:I113)&lt;=COUNTIF(Insumos_a_comprar[Planilla],L$1),INDEX(Insumos_a_comprar[Insumo],_xlfn.AGGREGATE(15,6,(Insumos_a_comprar[Planilla]=L$1)/(Insumos_a_comprar[Planilla]=L$1)*ROW(Insumos_a_comprar[Planilla])-ROW(Insumos_a_comprar[[#Headers],[Planilla]]),ROWS('Insumos a comprar'!$B$5:I113))),"")</f>
        <v/>
      </c>
      <c r="M111" s="30"/>
      <c r="N111" s="30"/>
      <c r="O111" s="30"/>
      <c r="P111" s="30"/>
      <c r="Q111" s="30"/>
    </row>
    <row r="112" spans="1:17" ht="15.75" x14ac:dyDescent="0.25">
      <c r="A112" s="29" t="str">
        <f>IF(ROWS('Insumos a comprar'!$B$5:B114)&lt;=COUNTIF(Insumos_a_comprar[Planilla],A$1),INDEX(Insumos_a_comprar[Insumo],_xlfn.AGGREGATE(15,6,(Insumos_a_comprar[Planilla]=A$1)/(Insumos_a_comprar[Planilla]=A$1)*ROW(Insumos_a_comprar[Planilla])-ROW(Insumos_a_comprar[[#Headers],[Planilla]]),ROWS('Insumos a comprar'!$B$5:B114))),"")</f>
        <v/>
      </c>
      <c r="B112" s="29" t="str">
        <f>IF(ROWS('Insumos a comprar'!$B$5:B114)&lt;=COUNTIF(Insumos_a_comprar[Planilla],B$1),INDEX(Insumos_a_comprar[Insumo],_xlfn.AGGREGATE(15,6,(Insumos_a_comprar[Planilla]=B$1)/(Insumos_a_comprar[Planilla]=B$1)*ROW(Insumos_a_comprar[Planilla])-ROW(Insumos_a_comprar[[#Headers],[Planilla]]),ROWS('Insumos a comprar'!$B$5:B114))),"")</f>
        <v/>
      </c>
      <c r="C112" s="29" t="str">
        <f>IF(ROWS('Insumos a comprar'!$B$5:E114)&lt;=COUNTIF(Insumos_a_comprar[Planilla],C$1),INDEX(Insumos_a_comprar[Insumo],_xlfn.AGGREGATE(15,6,(Insumos_a_comprar[Planilla]=C$1)/(Insumos_a_comprar[Planilla]=C$1)*ROW(Insumos_a_comprar[Planilla])-ROW(Insumos_a_comprar[[#Headers],[Planilla]]),ROWS('Insumos a comprar'!$B$5:E114))),"")</f>
        <v/>
      </c>
      <c r="D112" s="29" t="str">
        <f>IF(ROWS('Insumos a comprar'!$B$5:F114)&lt;=COUNTIF(Insumos_a_comprar[Planilla],D$1),INDEX(Insumos_a_comprar[Insumo],_xlfn.AGGREGATE(15,6,(Insumos_a_comprar[Planilla]=D$1)/(Insumos_a_comprar[Planilla]=D$1)*ROW(Insumos_a_comprar[Planilla])-ROW(Insumos_a_comprar[[#Headers],[Planilla]]),ROWS('Insumos a comprar'!$B$5:F114))),"")</f>
        <v/>
      </c>
      <c r="E112" s="29" t="str">
        <f>IF(ROWS('Insumos a comprar'!$B$5:G114)&lt;=COUNTIF(Insumos_a_comprar[Planilla],E$1),INDEX(Insumos_a_comprar[Insumo],_xlfn.AGGREGATE(15,6,(Insumos_a_comprar[Planilla]=E$1)/(Insumos_a_comprar[Planilla]=E$1)*ROW(Insumos_a_comprar[Planilla])-ROW(Insumos_a_comprar[[#Headers],[Planilla]]),ROWS('Insumos a comprar'!$B$5:G114))),"")</f>
        <v/>
      </c>
      <c r="F112" s="29" t="str">
        <f>IF(ROWS('Insumos a comprar'!$B$5:H114)&lt;=COUNTIF(Insumos_a_comprar[Planilla],F$1),INDEX(Insumos_a_comprar[Insumo],_xlfn.AGGREGATE(15,6,(Insumos_a_comprar[Planilla]=F$1)/(Insumos_a_comprar[Planilla]=F$1)*ROW(Insumos_a_comprar[Planilla])-ROW(Insumos_a_comprar[[#Headers],[Planilla]]),ROWS('Insumos a comprar'!$B$5:H114))),"")</f>
        <v/>
      </c>
      <c r="G112" s="29" t="str">
        <f>IF(ROWS('Insumos a comprar'!$B$5:I114)&lt;=COUNTIF(Insumos_a_comprar[Planilla],G$1),INDEX(Insumos_a_comprar[Insumo],_xlfn.AGGREGATE(15,6,(Insumos_a_comprar[Planilla]=G$1)/(Insumos_a_comprar[Planilla]=G$1)*ROW(Insumos_a_comprar[Planilla])-ROW(Insumos_a_comprar[[#Headers],[Planilla]]),ROWS('Insumos a comprar'!$B$5:I114))),"")</f>
        <v/>
      </c>
      <c r="H112" s="29" t="str">
        <f>IF(ROWS('Insumos a comprar'!$B$5:I114)&lt;=COUNTIF(Insumos_a_comprar[Planilla],H$1),INDEX(Insumos_a_comprar[Insumo],_xlfn.AGGREGATE(15,6,(Insumos_a_comprar[Planilla]=H$1)/(Insumos_a_comprar[Planilla]=H$1)*ROW(Insumos_a_comprar[Planilla])-ROW(Insumos_a_comprar[[#Headers],[Planilla]]),ROWS('Insumos a comprar'!$B$5:I114))),"")</f>
        <v>Vasos  150 ml</v>
      </c>
      <c r="I112" s="30" t="str">
        <f>IF(ROWS('Insumos a comprar'!$B$5:I114)&lt;=COUNTIF(Insumos_a_comprar[Planilla],I$1),INDEX(Insumos_a_comprar[Insumo],_xlfn.AGGREGATE(15,6,(Insumos_a_comprar[Planilla]=I$1)/(Insumos_a_comprar[Planilla]=I$1)*ROW(Insumos_a_comprar[Planilla])-ROW(Insumos_a_comprar[[#Headers],[Planilla]]),ROWS('Insumos a comprar'!$B$5:I114))),"")</f>
        <v/>
      </c>
      <c r="J112" s="30" t="str">
        <f>IF(ROWS('Insumos a comprar'!$B$5:I114)&lt;=COUNTIF(Insumos_a_comprar[Planilla],J$1),INDEX(Insumos_a_comprar[Insumo],_xlfn.AGGREGATE(15,6,(Insumos_a_comprar[Planilla]=J$1)/(Insumos_a_comprar[Planilla]=J$1)*ROW(Insumos_a_comprar[Planilla])-ROW(Insumos_a_comprar[[#Headers],[Planilla]]),ROWS('Insumos a comprar'!$B$5:I114))),"")</f>
        <v/>
      </c>
      <c r="K112" s="30" t="str">
        <f>IF(ROWS('Insumos a comprar'!$B$5:I114)&lt;=COUNTIF(Insumos_a_comprar[Planilla],K$1),INDEX(Insumos_a_comprar[Insumo],_xlfn.AGGREGATE(15,6,(Insumos_a_comprar[Planilla]=K$1)/(Insumos_a_comprar[Planilla]=K$1)*ROW(Insumos_a_comprar[Planilla])-ROW(Insumos_a_comprar[[#Headers],[Planilla]]),ROWS('Insumos a comprar'!$B$5:I114))),"")</f>
        <v/>
      </c>
      <c r="L112" s="30" t="str">
        <f>IF(ROWS('Insumos a comprar'!$B$5:I114)&lt;=COUNTIF(Insumos_a_comprar[Planilla],L$1),INDEX(Insumos_a_comprar[Insumo],_xlfn.AGGREGATE(15,6,(Insumos_a_comprar[Planilla]=L$1)/(Insumos_a_comprar[Planilla]=L$1)*ROW(Insumos_a_comprar[Planilla])-ROW(Insumos_a_comprar[[#Headers],[Planilla]]),ROWS('Insumos a comprar'!$B$5:I114))),"")</f>
        <v/>
      </c>
      <c r="M112" s="30"/>
      <c r="N112" s="30"/>
      <c r="O112" s="30"/>
      <c r="P112" s="30"/>
      <c r="Q112" s="30"/>
    </row>
    <row r="113" spans="1:17" ht="15.75" x14ac:dyDescent="0.25">
      <c r="A113" s="29" t="str">
        <f>IF(ROWS('Insumos a comprar'!$B$5:B115)&lt;=COUNTIF(Insumos_a_comprar[Planilla],A$1),INDEX(Insumos_a_comprar[Insumo],_xlfn.AGGREGATE(15,6,(Insumos_a_comprar[Planilla]=A$1)/(Insumos_a_comprar[Planilla]=A$1)*ROW(Insumos_a_comprar[Planilla])-ROW(Insumos_a_comprar[[#Headers],[Planilla]]),ROWS('Insumos a comprar'!$B$5:B115))),"")</f>
        <v/>
      </c>
      <c r="B113" s="29" t="str">
        <f>IF(ROWS('Insumos a comprar'!$B$5:B115)&lt;=COUNTIF(Insumos_a_comprar[Planilla],B$1),INDEX(Insumos_a_comprar[Insumo],_xlfn.AGGREGATE(15,6,(Insumos_a_comprar[Planilla]=B$1)/(Insumos_a_comprar[Planilla]=B$1)*ROW(Insumos_a_comprar[Planilla])-ROW(Insumos_a_comprar[[#Headers],[Planilla]]),ROWS('Insumos a comprar'!$B$5:B115))),"")</f>
        <v/>
      </c>
      <c r="C113" s="29" t="str">
        <f>IF(ROWS('Insumos a comprar'!$B$5:E115)&lt;=COUNTIF(Insumos_a_comprar[Planilla],C$1),INDEX(Insumos_a_comprar[Insumo],_xlfn.AGGREGATE(15,6,(Insumos_a_comprar[Planilla]=C$1)/(Insumos_a_comprar[Planilla]=C$1)*ROW(Insumos_a_comprar[Planilla])-ROW(Insumos_a_comprar[[#Headers],[Planilla]]),ROWS('Insumos a comprar'!$B$5:E115))),"")</f>
        <v/>
      </c>
      <c r="D113" s="29" t="str">
        <f>IF(ROWS('Insumos a comprar'!$B$5:F115)&lt;=COUNTIF(Insumos_a_comprar[Planilla],D$1),INDEX(Insumos_a_comprar[Insumo],_xlfn.AGGREGATE(15,6,(Insumos_a_comprar[Planilla]=D$1)/(Insumos_a_comprar[Planilla]=D$1)*ROW(Insumos_a_comprar[Planilla])-ROW(Insumos_a_comprar[[#Headers],[Planilla]]),ROWS('Insumos a comprar'!$B$5:F115))),"")</f>
        <v/>
      </c>
      <c r="E113" s="29" t="str">
        <f>IF(ROWS('Insumos a comprar'!$B$5:G115)&lt;=COUNTIF(Insumos_a_comprar[Planilla],E$1),INDEX(Insumos_a_comprar[Insumo],_xlfn.AGGREGATE(15,6,(Insumos_a_comprar[Planilla]=E$1)/(Insumos_a_comprar[Planilla]=E$1)*ROW(Insumos_a_comprar[Planilla])-ROW(Insumos_a_comprar[[#Headers],[Planilla]]),ROWS('Insumos a comprar'!$B$5:G115))),"")</f>
        <v/>
      </c>
      <c r="F113" s="29" t="str">
        <f>IF(ROWS('Insumos a comprar'!$B$5:H115)&lt;=COUNTIF(Insumos_a_comprar[Planilla],F$1),INDEX(Insumos_a_comprar[Insumo],_xlfn.AGGREGATE(15,6,(Insumos_a_comprar[Planilla]=F$1)/(Insumos_a_comprar[Planilla]=F$1)*ROW(Insumos_a_comprar[Planilla])-ROW(Insumos_a_comprar[[#Headers],[Planilla]]),ROWS('Insumos a comprar'!$B$5:H115))),"")</f>
        <v/>
      </c>
      <c r="G113" s="29" t="str">
        <f>IF(ROWS('Insumos a comprar'!$B$5:I115)&lt;=COUNTIF(Insumos_a_comprar[Planilla],G$1),INDEX(Insumos_a_comprar[Insumo],_xlfn.AGGREGATE(15,6,(Insumos_a_comprar[Planilla]=G$1)/(Insumos_a_comprar[Planilla]=G$1)*ROW(Insumos_a_comprar[Planilla])-ROW(Insumos_a_comprar[[#Headers],[Planilla]]),ROWS('Insumos a comprar'!$B$5:I115))),"")</f>
        <v/>
      </c>
      <c r="H113" s="29" t="str">
        <f>IF(ROWS('Insumos a comprar'!$B$5:I115)&lt;=COUNTIF(Insumos_a_comprar[Planilla],H$1),INDEX(Insumos_a_comprar[Insumo],_xlfn.AGGREGATE(15,6,(Insumos_a_comprar[Planilla]=H$1)/(Insumos_a_comprar[Planilla]=H$1)*ROW(Insumos_a_comprar[Planilla])-ROW(Insumos_a_comprar[[#Headers],[Planilla]]),ROWS('Insumos a comprar'!$B$5:I115))),"")</f>
        <v>Vasos  2000 ml</v>
      </c>
      <c r="I113" s="30" t="str">
        <f>IF(ROWS('Insumos a comprar'!$B$5:I115)&lt;=COUNTIF(Insumos_a_comprar[Planilla],I$1),INDEX(Insumos_a_comprar[Insumo],_xlfn.AGGREGATE(15,6,(Insumos_a_comprar[Planilla]=I$1)/(Insumos_a_comprar[Planilla]=I$1)*ROW(Insumos_a_comprar[Planilla])-ROW(Insumos_a_comprar[[#Headers],[Planilla]]),ROWS('Insumos a comprar'!$B$5:I115))),"")</f>
        <v/>
      </c>
      <c r="J113" s="30" t="str">
        <f>IF(ROWS('Insumos a comprar'!$B$5:I115)&lt;=COUNTIF(Insumos_a_comprar[Planilla],J$1),INDEX(Insumos_a_comprar[Insumo],_xlfn.AGGREGATE(15,6,(Insumos_a_comprar[Planilla]=J$1)/(Insumos_a_comprar[Planilla]=J$1)*ROW(Insumos_a_comprar[Planilla])-ROW(Insumos_a_comprar[[#Headers],[Planilla]]),ROWS('Insumos a comprar'!$B$5:I115))),"")</f>
        <v/>
      </c>
      <c r="K113" s="30" t="str">
        <f>IF(ROWS('Insumos a comprar'!$B$5:I115)&lt;=COUNTIF(Insumos_a_comprar[Planilla],K$1),INDEX(Insumos_a_comprar[Insumo],_xlfn.AGGREGATE(15,6,(Insumos_a_comprar[Planilla]=K$1)/(Insumos_a_comprar[Planilla]=K$1)*ROW(Insumos_a_comprar[Planilla])-ROW(Insumos_a_comprar[[#Headers],[Planilla]]),ROWS('Insumos a comprar'!$B$5:I115))),"")</f>
        <v/>
      </c>
      <c r="L113" s="30" t="str">
        <f>IF(ROWS('Insumos a comprar'!$B$5:I115)&lt;=COUNTIF(Insumos_a_comprar[Planilla],L$1),INDEX(Insumos_a_comprar[Insumo],_xlfn.AGGREGATE(15,6,(Insumos_a_comprar[Planilla]=L$1)/(Insumos_a_comprar[Planilla]=L$1)*ROW(Insumos_a_comprar[Planilla])-ROW(Insumos_a_comprar[[#Headers],[Planilla]]),ROWS('Insumos a comprar'!$B$5:I115))),"")</f>
        <v/>
      </c>
      <c r="M113" s="30"/>
      <c r="N113" s="30"/>
      <c r="O113" s="30"/>
      <c r="P113" s="30"/>
      <c r="Q113" s="30"/>
    </row>
    <row r="114" spans="1:17" ht="15.75" x14ac:dyDescent="0.25">
      <c r="A114" s="29" t="str">
        <f>IF(ROWS('Insumos a comprar'!$B$5:B116)&lt;=COUNTIF(Insumos_a_comprar[Planilla],A$1),INDEX(Insumos_a_comprar[Insumo],_xlfn.AGGREGATE(15,6,(Insumos_a_comprar[Planilla]=A$1)/(Insumos_a_comprar[Planilla]=A$1)*ROW(Insumos_a_comprar[Planilla])-ROW(Insumos_a_comprar[[#Headers],[Planilla]]),ROWS('Insumos a comprar'!$B$5:B116))),"")</f>
        <v/>
      </c>
      <c r="B114" s="29" t="str">
        <f>IF(ROWS('Insumos a comprar'!$B$5:B116)&lt;=COUNTIF(Insumos_a_comprar[Planilla],B$1),INDEX(Insumos_a_comprar[Insumo],_xlfn.AGGREGATE(15,6,(Insumos_a_comprar[Planilla]=B$1)/(Insumos_a_comprar[Planilla]=B$1)*ROW(Insumos_a_comprar[Planilla])-ROW(Insumos_a_comprar[[#Headers],[Planilla]]),ROWS('Insumos a comprar'!$B$5:B116))),"")</f>
        <v/>
      </c>
      <c r="C114" s="29" t="str">
        <f>IF(ROWS('Insumos a comprar'!$B$5:E116)&lt;=COUNTIF(Insumos_a_comprar[Planilla],C$1),INDEX(Insumos_a_comprar[Insumo],_xlfn.AGGREGATE(15,6,(Insumos_a_comprar[Planilla]=C$1)/(Insumos_a_comprar[Planilla]=C$1)*ROW(Insumos_a_comprar[Planilla])-ROW(Insumos_a_comprar[[#Headers],[Planilla]]),ROWS('Insumos a comprar'!$B$5:E116))),"")</f>
        <v/>
      </c>
      <c r="D114" s="29" t="str">
        <f>IF(ROWS('Insumos a comprar'!$B$5:F116)&lt;=COUNTIF(Insumos_a_comprar[Planilla],D$1),INDEX(Insumos_a_comprar[Insumo],_xlfn.AGGREGATE(15,6,(Insumos_a_comprar[Planilla]=D$1)/(Insumos_a_comprar[Planilla]=D$1)*ROW(Insumos_a_comprar[Planilla])-ROW(Insumos_a_comprar[[#Headers],[Planilla]]),ROWS('Insumos a comprar'!$B$5:F116))),"")</f>
        <v/>
      </c>
      <c r="E114" s="29" t="str">
        <f>IF(ROWS('Insumos a comprar'!$B$5:G116)&lt;=COUNTIF(Insumos_a_comprar[Planilla],E$1),INDEX(Insumos_a_comprar[Insumo],_xlfn.AGGREGATE(15,6,(Insumos_a_comprar[Planilla]=E$1)/(Insumos_a_comprar[Planilla]=E$1)*ROW(Insumos_a_comprar[Planilla])-ROW(Insumos_a_comprar[[#Headers],[Planilla]]),ROWS('Insumos a comprar'!$B$5:G116))),"")</f>
        <v/>
      </c>
      <c r="F114" s="29" t="str">
        <f>IF(ROWS('Insumos a comprar'!$B$5:H116)&lt;=COUNTIF(Insumos_a_comprar[Planilla],F$1),INDEX(Insumos_a_comprar[Insumo],_xlfn.AGGREGATE(15,6,(Insumos_a_comprar[Planilla]=F$1)/(Insumos_a_comprar[Planilla]=F$1)*ROW(Insumos_a_comprar[Planilla])-ROW(Insumos_a_comprar[[#Headers],[Planilla]]),ROWS('Insumos a comprar'!$B$5:H116))),"")</f>
        <v/>
      </c>
      <c r="G114" s="29" t="str">
        <f>IF(ROWS('Insumos a comprar'!$B$5:I116)&lt;=COUNTIF(Insumos_a_comprar[Planilla],G$1),INDEX(Insumos_a_comprar[Insumo],_xlfn.AGGREGATE(15,6,(Insumos_a_comprar[Planilla]=G$1)/(Insumos_a_comprar[Planilla]=G$1)*ROW(Insumos_a_comprar[Planilla])-ROW(Insumos_a_comprar[[#Headers],[Planilla]]),ROWS('Insumos a comprar'!$B$5:I116))),"")</f>
        <v/>
      </c>
      <c r="H114" s="29" t="str">
        <f>IF(ROWS('Insumos a comprar'!$B$5:I116)&lt;=COUNTIF(Insumos_a_comprar[Planilla],H$1),INDEX(Insumos_a_comprar[Insumo],_xlfn.AGGREGATE(15,6,(Insumos_a_comprar[Planilla]=H$1)/(Insumos_a_comprar[Planilla]=H$1)*ROW(Insumos_a_comprar[Planilla])-ROW(Insumos_a_comprar[[#Headers],[Planilla]]),ROWS('Insumos a comprar'!$B$5:I116))),"")</f>
        <v>Vasos  250 ml</v>
      </c>
      <c r="I114" s="30" t="str">
        <f>IF(ROWS('Insumos a comprar'!$B$5:I116)&lt;=COUNTIF(Insumos_a_comprar[Planilla],I$1),INDEX(Insumos_a_comprar[Insumo],_xlfn.AGGREGATE(15,6,(Insumos_a_comprar[Planilla]=I$1)/(Insumos_a_comprar[Planilla]=I$1)*ROW(Insumos_a_comprar[Planilla])-ROW(Insumos_a_comprar[[#Headers],[Planilla]]),ROWS('Insumos a comprar'!$B$5:I116))),"")</f>
        <v/>
      </c>
      <c r="J114" s="30" t="str">
        <f>IF(ROWS('Insumos a comprar'!$B$5:I116)&lt;=COUNTIF(Insumos_a_comprar[Planilla],J$1),INDEX(Insumos_a_comprar[Insumo],_xlfn.AGGREGATE(15,6,(Insumos_a_comprar[Planilla]=J$1)/(Insumos_a_comprar[Planilla]=J$1)*ROW(Insumos_a_comprar[Planilla])-ROW(Insumos_a_comprar[[#Headers],[Planilla]]),ROWS('Insumos a comprar'!$B$5:I116))),"")</f>
        <v/>
      </c>
      <c r="K114" s="30" t="str">
        <f>IF(ROWS('Insumos a comprar'!$B$5:I116)&lt;=COUNTIF(Insumos_a_comprar[Planilla],K$1),INDEX(Insumos_a_comprar[Insumo],_xlfn.AGGREGATE(15,6,(Insumos_a_comprar[Planilla]=K$1)/(Insumos_a_comprar[Planilla]=K$1)*ROW(Insumos_a_comprar[Planilla])-ROW(Insumos_a_comprar[[#Headers],[Planilla]]),ROWS('Insumos a comprar'!$B$5:I116))),"")</f>
        <v/>
      </c>
      <c r="L114" s="30" t="str">
        <f>IF(ROWS('Insumos a comprar'!$B$5:I116)&lt;=COUNTIF(Insumos_a_comprar[Planilla],L$1),INDEX(Insumos_a_comprar[Insumo],_xlfn.AGGREGATE(15,6,(Insumos_a_comprar[Planilla]=L$1)/(Insumos_a_comprar[Planilla]=L$1)*ROW(Insumos_a_comprar[Planilla])-ROW(Insumos_a_comprar[[#Headers],[Planilla]]),ROWS('Insumos a comprar'!$B$5:I116))),"")</f>
        <v/>
      </c>
      <c r="M114" s="30"/>
      <c r="N114" s="30"/>
      <c r="O114" s="30"/>
      <c r="P114" s="30"/>
      <c r="Q114" s="30"/>
    </row>
    <row r="115" spans="1:17" ht="15.75" x14ac:dyDescent="0.25">
      <c r="A115" s="29" t="str">
        <f>IF(ROWS('Insumos a comprar'!$B$5:B117)&lt;=COUNTIF(Insumos_a_comprar[Planilla],A$1),INDEX(Insumos_a_comprar[Insumo],_xlfn.AGGREGATE(15,6,(Insumos_a_comprar[Planilla]=A$1)/(Insumos_a_comprar[Planilla]=A$1)*ROW(Insumos_a_comprar[Planilla])-ROW(Insumos_a_comprar[[#Headers],[Planilla]]),ROWS('Insumos a comprar'!$B$5:B117))),"")</f>
        <v/>
      </c>
      <c r="B115" s="29" t="str">
        <f>IF(ROWS('Insumos a comprar'!$B$5:B117)&lt;=COUNTIF(Insumos_a_comprar[Planilla],B$1),INDEX(Insumos_a_comprar[Insumo],_xlfn.AGGREGATE(15,6,(Insumos_a_comprar[Planilla]=B$1)/(Insumos_a_comprar[Planilla]=B$1)*ROW(Insumos_a_comprar[Planilla])-ROW(Insumos_a_comprar[[#Headers],[Planilla]]),ROWS('Insumos a comprar'!$B$5:B117))),"")</f>
        <v/>
      </c>
      <c r="C115" s="29" t="str">
        <f>IF(ROWS('Insumos a comprar'!$B$5:E117)&lt;=COUNTIF(Insumos_a_comprar[Planilla],C$1),INDEX(Insumos_a_comprar[Insumo],_xlfn.AGGREGATE(15,6,(Insumos_a_comprar[Planilla]=C$1)/(Insumos_a_comprar[Planilla]=C$1)*ROW(Insumos_a_comprar[Planilla])-ROW(Insumos_a_comprar[[#Headers],[Planilla]]),ROWS('Insumos a comprar'!$B$5:E117))),"")</f>
        <v/>
      </c>
      <c r="D115" s="29" t="str">
        <f>IF(ROWS('Insumos a comprar'!$B$5:F117)&lt;=COUNTIF(Insumos_a_comprar[Planilla],D$1),INDEX(Insumos_a_comprar[Insumo],_xlfn.AGGREGATE(15,6,(Insumos_a_comprar[Planilla]=D$1)/(Insumos_a_comprar[Planilla]=D$1)*ROW(Insumos_a_comprar[Planilla])-ROW(Insumos_a_comprar[[#Headers],[Planilla]]),ROWS('Insumos a comprar'!$B$5:F117))),"")</f>
        <v/>
      </c>
      <c r="E115" s="29" t="str">
        <f>IF(ROWS('Insumos a comprar'!$B$5:G117)&lt;=COUNTIF(Insumos_a_comprar[Planilla],E$1),INDEX(Insumos_a_comprar[Insumo],_xlfn.AGGREGATE(15,6,(Insumos_a_comprar[Planilla]=E$1)/(Insumos_a_comprar[Planilla]=E$1)*ROW(Insumos_a_comprar[Planilla])-ROW(Insumos_a_comprar[[#Headers],[Planilla]]),ROWS('Insumos a comprar'!$B$5:G117))),"")</f>
        <v/>
      </c>
      <c r="F115" s="29" t="str">
        <f>IF(ROWS('Insumos a comprar'!$B$5:H117)&lt;=COUNTIF(Insumos_a_comprar[Planilla],F$1),INDEX(Insumos_a_comprar[Insumo],_xlfn.AGGREGATE(15,6,(Insumos_a_comprar[Planilla]=F$1)/(Insumos_a_comprar[Planilla]=F$1)*ROW(Insumos_a_comprar[Planilla])-ROW(Insumos_a_comprar[[#Headers],[Planilla]]),ROWS('Insumos a comprar'!$B$5:H117))),"")</f>
        <v/>
      </c>
      <c r="G115" s="29" t="str">
        <f>IF(ROWS('Insumos a comprar'!$B$5:I117)&lt;=COUNTIF(Insumos_a_comprar[Planilla],G$1),INDEX(Insumos_a_comprar[Insumo],_xlfn.AGGREGATE(15,6,(Insumos_a_comprar[Planilla]=G$1)/(Insumos_a_comprar[Planilla]=G$1)*ROW(Insumos_a_comprar[Planilla])-ROW(Insumos_a_comprar[[#Headers],[Planilla]]),ROWS('Insumos a comprar'!$B$5:I117))),"")</f>
        <v/>
      </c>
      <c r="H115" s="29" t="str">
        <f>IF(ROWS('Insumos a comprar'!$B$5:I117)&lt;=COUNTIF(Insumos_a_comprar[Planilla],H$1),INDEX(Insumos_a_comprar[Insumo],_xlfn.AGGREGATE(15,6,(Insumos_a_comprar[Planilla]=H$1)/(Insumos_a_comprar[Planilla]=H$1)*ROW(Insumos_a_comprar[Planilla])-ROW(Insumos_a_comprar[[#Headers],[Planilla]]),ROWS('Insumos a comprar'!$B$5:I117))),"")</f>
        <v>Vasos  50 ml</v>
      </c>
      <c r="I115" s="30" t="str">
        <f>IF(ROWS('Insumos a comprar'!$B$5:I117)&lt;=COUNTIF(Insumos_a_comprar[Planilla],I$1),INDEX(Insumos_a_comprar[Insumo],_xlfn.AGGREGATE(15,6,(Insumos_a_comprar[Planilla]=I$1)/(Insumos_a_comprar[Planilla]=I$1)*ROW(Insumos_a_comprar[Planilla])-ROW(Insumos_a_comprar[[#Headers],[Planilla]]),ROWS('Insumos a comprar'!$B$5:I117))),"")</f>
        <v/>
      </c>
      <c r="J115" s="30" t="str">
        <f>IF(ROWS('Insumos a comprar'!$B$5:I117)&lt;=COUNTIF(Insumos_a_comprar[Planilla],J$1),INDEX(Insumos_a_comprar[Insumo],_xlfn.AGGREGATE(15,6,(Insumos_a_comprar[Planilla]=J$1)/(Insumos_a_comprar[Planilla]=J$1)*ROW(Insumos_a_comprar[Planilla])-ROW(Insumos_a_comprar[[#Headers],[Planilla]]),ROWS('Insumos a comprar'!$B$5:I117))),"")</f>
        <v/>
      </c>
      <c r="K115" s="30" t="str">
        <f>IF(ROWS('Insumos a comprar'!$B$5:I117)&lt;=COUNTIF(Insumos_a_comprar[Planilla],K$1),INDEX(Insumos_a_comprar[Insumo],_xlfn.AGGREGATE(15,6,(Insumos_a_comprar[Planilla]=K$1)/(Insumos_a_comprar[Planilla]=K$1)*ROW(Insumos_a_comprar[Planilla])-ROW(Insumos_a_comprar[[#Headers],[Planilla]]),ROWS('Insumos a comprar'!$B$5:I117))),"")</f>
        <v/>
      </c>
      <c r="L115" s="30" t="str">
        <f>IF(ROWS('Insumos a comprar'!$B$5:I117)&lt;=COUNTIF(Insumos_a_comprar[Planilla],L$1),INDEX(Insumos_a_comprar[Insumo],_xlfn.AGGREGATE(15,6,(Insumos_a_comprar[Planilla]=L$1)/(Insumos_a_comprar[Planilla]=L$1)*ROW(Insumos_a_comprar[Planilla])-ROW(Insumos_a_comprar[[#Headers],[Planilla]]),ROWS('Insumos a comprar'!$B$5:I117))),"")</f>
        <v/>
      </c>
      <c r="M115" s="30"/>
      <c r="N115" s="30"/>
      <c r="O115" s="30"/>
      <c r="P115" s="30"/>
      <c r="Q115" s="30"/>
    </row>
    <row r="116" spans="1:17" ht="15.75" x14ac:dyDescent="0.25">
      <c r="A116" s="29" t="str">
        <f>IF(ROWS('Insumos a comprar'!$B$5:B118)&lt;=COUNTIF(Insumos_a_comprar[Planilla],A$1),INDEX(Insumos_a_comprar[Insumo],_xlfn.AGGREGATE(15,6,(Insumos_a_comprar[Planilla]=A$1)/(Insumos_a_comprar[Planilla]=A$1)*ROW(Insumos_a_comprar[Planilla])-ROW(Insumos_a_comprar[[#Headers],[Planilla]]),ROWS('Insumos a comprar'!$B$5:B118))),"")</f>
        <v/>
      </c>
      <c r="B116" s="29" t="str">
        <f>IF(ROWS('Insumos a comprar'!$B$5:B118)&lt;=COUNTIF(Insumos_a_comprar[Planilla],B$1),INDEX(Insumos_a_comprar[Insumo],_xlfn.AGGREGATE(15,6,(Insumos_a_comprar[Planilla]=B$1)/(Insumos_a_comprar[Planilla]=B$1)*ROW(Insumos_a_comprar[Planilla])-ROW(Insumos_a_comprar[[#Headers],[Planilla]]),ROWS('Insumos a comprar'!$B$5:B118))),"")</f>
        <v/>
      </c>
      <c r="C116" s="29" t="str">
        <f>IF(ROWS('Insumos a comprar'!$B$5:E118)&lt;=COUNTIF(Insumos_a_comprar[Planilla],C$1),INDEX(Insumos_a_comprar[Insumo],_xlfn.AGGREGATE(15,6,(Insumos_a_comprar[Planilla]=C$1)/(Insumos_a_comprar[Planilla]=C$1)*ROW(Insumos_a_comprar[Planilla])-ROW(Insumos_a_comprar[[#Headers],[Planilla]]),ROWS('Insumos a comprar'!$B$5:E118))),"")</f>
        <v/>
      </c>
      <c r="D116" s="29" t="str">
        <f>IF(ROWS('Insumos a comprar'!$B$5:F118)&lt;=COUNTIF(Insumos_a_comprar[Planilla],D$1),INDEX(Insumos_a_comprar[Insumo],_xlfn.AGGREGATE(15,6,(Insumos_a_comprar[Planilla]=D$1)/(Insumos_a_comprar[Planilla]=D$1)*ROW(Insumos_a_comprar[Planilla])-ROW(Insumos_a_comprar[[#Headers],[Planilla]]),ROWS('Insumos a comprar'!$B$5:F118))),"")</f>
        <v/>
      </c>
      <c r="E116" s="29" t="str">
        <f>IF(ROWS('Insumos a comprar'!$B$5:G118)&lt;=COUNTIF(Insumos_a_comprar[Planilla],E$1),INDEX(Insumos_a_comprar[Insumo],_xlfn.AGGREGATE(15,6,(Insumos_a_comprar[Planilla]=E$1)/(Insumos_a_comprar[Planilla]=E$1)*ROW(Insumos_a_comprar[Planilla])-ROW(Insumos_a_comprar[[#Headers],[Planilla]]),ROWS('Insumos a comprar'!$B$5:G118))),"")</f>
        <v/>
      </c>
      <c r="F116" s="29" t="str">
        <f>IF(ROWS('Insumos a comprar'!$B$5:H118)&lt;=COUNTIF(Insumos_a_comprar[Planilla],F$1),INDEX(Insumos_a_comprar[Insumo],_xlfn.AGGREGATE(15,6,(Insumos_a_comprar[Planilla]=F$1)/(Insumos_a_comprar[Planilla]=F$1)*ROW(Insumos_a_comprar[Planilla])-ROW(Insumos_a_comprar[[#Headers],[Planilla]]),ROWS('Insumos a comprar'!$B$5:H118))),"")</f>
        <v/>
      </c>
      <c r="G116" s="29" t="str">
        <f>IF(ROWS('Insumos a comprar'!$B$5:I118)&lt;=COUNTIF(Insumos_a_comprar[Planilla],G$1),INDEX(Insumos_a_comprar[Insumo],_xlfn.AGGREGATE(15,6,(Insumos_a_comprar[Planilla]=G$1)/(Insumos_a_comprar[Planilla]=G$1)*ROW(Insumos_a_comprar[Planilla])-ROW(Insumos_a_comprar[[#Headers],[Planilla]]),ROWS('Insumos a comprar'!$B$5:I118))),"")</f>
        <v/>
      </c>
      <c r="H116" s="29" t="str">
        <f>IF(ROWS('Insumos a comprar'!$B$5:I118)&lt;=COUNTIF(Insumos_a_comprar[Planilla],H$1),INDEX(Insumos_a_comprar[Insumo],_xlfn.AGGREGATE(15,6,(Insumos_a_comprar[Planilla]=H$1)/(Insumos_a_comprar[Planilla]=H$1)*ROW(Insumos_a_comprar[Planilla])-ROW(Insumos_a_comprar[[#Headers],[Planilla]]),ROWS('Insumos a comprar'!$B$5:I118))),"")</f>
        <v xml:space="preserve">Vasos  500 ml </v>
      </c>
      <c r="I116" s="30" t="str">
        <f>IF(ROWS('Insumos a comprar'!$B$5:I118)&lt;=COUNTIF(Insumos_a_comprar[Planilla],I$1),INDEX(Insumos_a_comprar[Insumo],_xlfn.AGGREGATE(15,6,(Insumos_a_comprar[Planilla]=I$1)/(Insumos_a_comprar[Planilla]=I$1)*ROW(Insumos_a_comprar[Planilla])-ROW(Insumos_a_comprar[[#Headers],[Planilla]]),ROWS('Insumos a comprar'!$B$5:I118))),"")</f>
        <v/>
      </c>
      <c r="J116" s="30" t="str">
        <f>IF(ROWS('Insumos a comprar'!$B$5:I118)&lt;=COUNTIF(Insumos_a_comprar[Planilla],J$1),INDEX(Insumos_a_comprar[Insumo],_xlfn.AGGREGATE(15,6,(Insumos_a_comprar[Planilla]=J$1)/(Insumos_a_comprar[Planilla]=J$1)*ROW(Insumos_a_comprar[Planilla])-ROW(Insumos_a_comprar[[#Headers],[Planilla]]),ROWS('Insumos a comprar'!$B$5:I118))),"")</f>
        <v/>
      </c>
      <c r="K116" s="30" t="str">
        <f>IF(ROWS('Insumos a comprar'!$B$5:I118)&lt;=COUNTIF(Insumos_a_comprar[Planilla],K$1),INDEX(Insumos_a_comprar[Insumo],_xlfn.AGGREGATE(15,6,(Insumos_a_comprar[Planilla]=K$1)/(Insumos_a_comprar[Planilla]=K$1)*ROW(Insumos_a_comprar[Planilla])-ROW(Insumos_a_comprar[[#Headers],[Planilla]]),ROWS('Insumos a comprar'!$B$5:I118))),"")</f>
        <v/>
      </c>
      <c r="L116" s="30" t="str">
        <f>IF(ROWS('Insumos a comprar'!$B$5:I118)&lt;=COUNTIF(Insumos_a_comprar[Planilla],L$1),INDEX(Insumos_a_comprar[Insumo],_xlfn.AGGREGATE(15,6,(Insumos_a_comprar[Planilla]=L$1)/(Insumos_a_comprar[Planilla]=L$1)*ROW(Insumos_a_comprar[Planilla])-ROW(Insumos_a_comprar[[#Headers],[Planilla]]),ROWS('Insumos a comprar'!$B$5:I118))),"")</f>
        <v/>
      </c>
      <c r="M116" s="30"/>
      <c r="N116" s="30"/>
      <c r="O116" s="30"/>
      <c r="P116" s="30"/>
      <c r="Q116" s="30"/>
    </row>
    <row r="117" spans="1:17" ht="15.75" x14ac:dyDescent="0.25">
      <c r="A117" s="29" t="str">
        <f>IF(ROWS('Insumos a comprar'!$B$5:B119)&lt;=COUNTIF(Insumos_a_comprar[Planilla],A$1),INDEX(Insumos_a_comprar[Insumo],_xlfn.AGGREGATE(15,6,(Insumos_a_comprar[Planilla]=A$1)/(Insumos_a_comprar[Planilla]=A$1)*ROW(Insumos_a_comprar[Planilla])-ROW(Insumos_a_comprar[[#Headers],[Planilla]]),ROWS('Insumos a comprar'!$B$5:B119))),"")</f>
        <v/>
      </c>
      <c r="B117" s="29" t="str">
        <f>IF(ROWS('Insumos a comprar'!$B$5:B119)&lt;=COUNTIF(Insumos_a_comprar[Planilla],B$1),INDEX(Insumos_a_comprar[Insumo],_xlfn.AGGREGATE(15,6,(Insumos_a_comprar[Planilla]=B$1)/(Insumos_a_comprar[Planilla]=B$1)*ROW(Insumos_a_comprar[Planilla])-ROW(Insumos_a_comprar[[#Headers],[Planilla]]),ROWS('Insumos a comprar'!$B$5:B119))),"")</f>
        <v/>
      </c>
      <c r="C117" s="29" t="str">
        <f>IF(ROWS('Insumos a comprar'!$B$5:E119)&lt;=COUNTIF(Insumos_a_comprar[Planilla],C$1),INDEX(Insumos_a_comprar[Insumo],_xlfn.AGGREGATE(15,6,(Insumos_a_comprar[Planilla]=C$1)/(Insumos_a_comprar[Planilla]=C$1)*ROW(Insumos_a_comprar[Planilla])-ROW(Insumos_a_comprar[[#Headers],[Planilla]]),ROWS('Insumos a comprar'!$B$5:E119))),"")</f>
        <v/>
      </c>
      <c r="D117" s="29" t="str">
        <f>IF(ROWS('Insumos a comprar'!$B$5:F119)&lt;=COUNTIF(Insumos_a_comprar[Planilla],D$1),INDEX(Insumos_a_comprar[Insumo],_xlfn.AGGREGATE(15,6,(Insumos_a_comprar[Planilla]=D$1)/(Insumos_a_comprar[Planilla]=D$1)*ROW(Insumos_a_comprar[Planilla])-ROW(Insumos_a_comprar[[#Headers],[Planilla]]),ROWS('Insumos a comprar'!$B$5:F119))),"")</f>
        <v/>
      </c>
      <c r="E117" s="29" t="str">
        <f>IF(ROWS('Insumos a comprar'!$B$5:G119)&lt;=COUNTIF(Insumos_a_comprar[Planilla],E$1),INDEX(Insumos_a_comprar[Insumo],_xlfn.AGGREGATE(15,6,(Insumos_a_comprar[Planilla]=E$1)/(Insumos_a_comprar[Planilla]=E$1)*ROW(Insumos_a_comprar[Planilla])-ROW(Insumos_a_comprar[[#Headers],[Planilla]]),ROWS('Insumos a comprar'!$B$5:G119))),"")</f>
        <v/>
      </c>
      <c r="F117" s="29" t="str">
        <f>IF(ROWS('Insumos a comprar'!$B$5:H119)&lt;=COUNTIF(Insumos_a_comprar[Planilla],F$1),INDEX(Insumos_a_comprar[Insumo],_xlfn.AGGREGATE(15,6,(Insumos_a_comprar[Planilla]=F$1)/(Insumos_a_comprar[Planilla]=F$1)*ROW(Insumos_a_comprar[Planilla])-ROW(Insumos_a_comprar[[#Headers],[Planilla]]),ROWS('Insumos a comprar'!$B$5:H119))),"")</f>
        <v/>
      </c>
      <c r="G117" s="29" t="str">
        <f>IF(ROWS('Insumos a comprar'!$B$5:I119)&lt;=COUNTIF(Insumos_a_comprar[Planilla],G$1),INDEX(Insumos_a_comprar[Insumo],_xlfn.AGGREGATE(15,6,(Insumos_a_comprar[Planilla]=G$1)/(Insumos_a_comprar[Planilla]=G$1)*ROW(Insumos_a_comprar[Planilla])-ROW(Insumos_a_comprar[[#Headers],[Planilla]]),ROWS('Insumos a comprar'!$B$5:I119))),"")</f>
        <v/>
      </c>
      <c r="H117" s="29" t="str">
        <f>IF(ROWS('Insumos a comprar'!$B$5:I119)&lt;=COUNTIF(Insumos_a_comprar[Planilla],H$1),INDEX(Insumos_a_comprar[Insumo],_xlfn.AGGREGATE(15,6,(Insumos_a_comprar[Planilla]=H$1)/(Insumos_a_comprar[Planilla]=H$1)*ROW(Insumos_a_comprar[Planilla])-ROW(Insumos_a_comprar[[#Headers],[Planilla]]),ROWS('Insumos a comprar'!$B$5:I119))),"")</f>
        <v xml:space="preserve">Vidrios de reloj chicos </v>
      </c>
      <c r="I117" s="30" t="str">
        <f>IF(ROWS('Insumos a comprar'!$B$5:I119)&lt;=COUNTIF(Insumos_a_comprar[Planilla],I$1),INDEX(Insumos_a_comprar[Insumo],_xlfn.AGGREGATE(15,6,(Insumos_a_comprar[Planilla]=I$1)/(Insumos_a_comprar[Planilla]=I$1)*ROW(Insumos_a_comprar[Planilla])-ROW(Insumos_a_comprar[[#Headers],[Planilla]]),ROWS('Insumos a comprar'!$B$5:I119))),"")</f>
        <v/>
      </c>
      <c r="J117" s="30" t="str">
        <f>IF(ROWS('Insumos a comprar'!$B$5:I119)&lt;=COUNTIF(Insumos_a_comprar[Planilla],J$1),INDEX(Insumos_a_comprar[Insumo],_xlfn.AGGREGATE(15,6,(Insumos_a_comprar[Planilla]=J$1)/(Insumos_a_comprar[Planilla]=J$1)*ROW(Insumos_a_comprar[Planilla])-ROW(Insumos_a_comprar[[#Headers],[Planilla]]),ROWS('Insumos a comprar'!$B$5:I119))),"")</f>
        <v/>
      </c>
      <c r="K117" s="30" t="str">
        <f>IF(ROWS('Insumos a comprar'!$B$5:I119)&lt;=COUNTIF(Insumos_a_comprar[Planilla],K$1),INDEX(Insumos_a_comprar[Insumo],_xlfn.AGGREGATE(15,6,(Insumos_a_comprar[Planilla]=K$1)/(Insumos_a_comprar[Planilla]=K$1)*ROW(Insumos_a_comprar[Planilla])-ROW(Insumos_a_comprar[[#Headers],[Planilla]]),ROWS('Insumos a comprar'!$B$5:I119))),"")</f>
        <v/>
      </c>
      <c r="L117" s="30" t="str">
        <f>IF(ROWS('Insumos a comprar'!$B$5:I119)&lt;=COUNTIF(Insumos_a_comprar[Planilla],L$1),INDEX(Insumos_a_comprar[Insumo],_xlfn.AGGREGATE(15,6,(Insumos_a_comprar[Planilla]=L$1)/(Insumos_a_comprar[Planilla]=L$1)*ROW(Insumos_a_comprar[Planilla])-ROW(Insumos_a_comprar[[#Headers],[Planilla]]),ROWS('Insumos a comprar'!$B$5:I119))),"")</f>
        <v/>
      </c>
      <c r="M117" s="30"/>
      <c r="N117" s="30"/>
      <c r="O117" s="30"/>
      <c r="P117" s="30"/>
      <c r="Q117" s="30"/>
    </row>
    <row r="118" spans="1:17" ht="15.75" x14ac:dyDescent="0.25">
      <c r="A118" s="29" t="str">
        <f>IF(ROWS('Insumos a comprar'!$B$5:B120)&lt;=COUNTIF(Insumos_a_comprar[Planilla],A$1),INDEX(Insumos_a_comprar[Insumo],_xlfn.AGGREGATE(15,6,(Insumos_a_comprar[Planilla]=A$1)/(Insumos_a_comprar[Planilla]=A$1)*ROW(Insumos_a_comprar[Planilla])-ROW(Insumos_a_comprar[[#Headers],[Planilla]]),ROWS('Insumos a comprar'!$B$5:B120))),"")</f>
        <v/>
      </c>
      <c r="B118" s="29" t="str">
        <f>IF(ROWS('Insumos a comprar'!$B$5:B120)&lt;=COUNTIF(Insumos_a_comprar[Planilla],B$1),INDEX(Insumos_a_comprar[Insumo],_xlfn.AGGREGATE(15,6,(Insumos_a_comprar[Planilla]=B$1)/(Insumos_a_comprar[Planilla]=B$1)*ROW(Insumos_a_comprar[Planilla])-ROW(Insumos_a_comprar[[#Headers],[Planilla]]),ROWS('Insumos a comprar'!$B$5:B120))),"")</f>
        <v/>
      </c>
      <c r="C118" s="29" t="str">
        <f>IF(ROWS('Insumos a comprar'!$B$5:E120)&lt;=COUNTIF(Insumos_a_comprar[Planilla],C$1),INDEX(Insumos_a_comprar[Insumo],_xlfn.AGGREGATE(15,6,(Insumos_a_comprar[Planilla]=C$1)/(Insumos_a_comprar[Planilla]=C$1)*ROW(Insumos_a_comprar[Planilla])-ROW(Insumos_a_comprar[[#Headers],[Planilla]]),ROWS('Insumos a comprar'!$B$5:E120))),"")</f>
        <v/>
      </c>
      <c r="D118" s="29" t="str">
        <f>IF(ROWS('Insumos a comprar'!$B$5:F120)&lt;=COUNTIF(Insumos_a_comprar[Planilla],D$1),INDEX(Insumos_a_comprar[Insumo],_xlfn.AGGREGATE(15,6,(Insumos_a_comprar[Planilla]=D$1)/(Insumos_a_comprar[Planilla]=D$1)*ROW(Insumos_a_comprar[Planilla])-ROW(Insumos_a_comprar[[#Headers],[Planilla]]),ROWS('Insumos a comprar'!$B$5:F120))),"")</f>
        <v/>
      </c>
      <c r="E118" s="29" t="str">
        <f>IF(ROWS('Insumos a comprar'!$B$5:G120)&lt;=COUNTIF(Insumos_a_comprar[Planilla],E$1),INDEX(Insumos_a_comprar[Insumo],_xlfn.AGGREGATE(15,6,(Insumos_a_comprar[Planilla]=E$1)/(Insumos_a_comprar[Planilla]=E$1)*ROW(Insumos_a_comprar[Planilla])-ROW(Insumos_a_comprar[[#Headers],[Planilla]]),ROWS('Insumos a comprar'!$B$5:G120))),"")</f>
        <v/>
      </c>
      <c r="F118" s="29" t="str">
        <f>IF(ROWS('Insumos a comprar'!$B$5:H120)&lt;=COUNTIF(Insumos_a_comprar[Planilla],F$1),INDEX(Insumos_a_comprar[Insumo],_xlfn.AGGREGATE(15,6,(Insumos_a_comprar[Planilla]=F$1)/(Insumos_a_comprar[Planilla]=F$1)*ROW(Insumos_a_comprar[Planilla])-ROW(Insumos_a_comprar[[#Headers],[Planilla]]),ROWS('Insumos a comprar'!$B$5:H120))),"")</f>
        <v/>
      </c>
      <c r="G118" s="29" t="str">
        <f>IF(ROWS('Insumos a comprar'!$B$5:I120)&lt;=COUNTIF(Insumos_a_comprar[Planilla],G$1),INDEX(Insumos_a_comprar[Insumo],_xlfn.AGGREGATE(15,6,(Insumos_a_comprar[Planilla]=G$1)/(Insumos_a_comprar[Planilla]=G$1)*ROW(Insumos_a_comprar[Planilla])-ROW(Insumos_a_comprar[[#Headers],[Planilla]]),ROWS('Insumos a comprar'!$B$5:I120))),"")</f>
        <v/>
      </c>
      <c r="H118" s="29" t="str">
        <f>IF(ROWS('Insumos a comprar'!$B$5:I120)&lt;=COUNTIF(Insumos_a_comprar[Planilla],H$1),INDEX(Insumos_a_comprar[Insumo],_xlfn.AGGREGATE(15,6,(Insumos_a_comprar[Planilla]=H$1)/(Insumos_a_comprar[Planilla]=H$1)*ROW(Insumos_a_comprar[Planilla])-ROW(Insumos_a_comprar[[#Headers],[Planilla]]),ROWS('Insumos a comprar'!$B$5:I120))),"")</f>
        <v xml:space="preserve">Vidrios de reloj grandes  </v>
      </c>
      <c r="I118" s="30" t="str">
        <f>IF(ROWS('Insumos a comprar'!$B$5:I120)&lt;=COUNTIF(Insumos_a_comprar[Planilla],I$1),INDEX(Insumos_a_comprar[Insumo],_xlfn.AGGREGATE(15,6,(Insumos_a_comprar[Planilla]=I$1)/(Insumos_a_comprar[Planilla]=I$1)*ROW(Insumos_a_comprar[Planilla])-ROW(Insumos_a_comprar[[#Headers],[Planilla]]),ROWS('Insumos a comprar'!$B$5:I120))),"")</f>
        <v/>
      </c>
      <c r="J118" s="30" t="str">
        <f>IF(ROWS('Insumos a comprar'!$B$5:I120)&lt;=COUNTIF(Insumos_a_comprar[Planilla],J$1),INDEX(Insumos_a_comprar[Insumo],_xlfn.AGGREGATE(15,6,(Insumos_a_comprar[Planilla]=J$1)/(Insumos_a_comprar[Planilla]=J$1)*ROW(Insumos_a_comprar[Planilla])-ROW(Insumos_a_comprar[[#Headers],[Planilla]]),ROWS('Insumos a comprar'!$B$5:I120))),"")</f>
        <v/>
      </c>
      <c r="K118" s="30" t="str">
        <f>IF(ROWS('Insumos a comprar'!$B$5:I120)&lt;=COUNTIF(Insumos_a_comprar[Planilla],K$1),INDEX(Insumos_a_comprar[Insumo],_xlfn.AGGREGATE(15,6,(Insumos_a_comprar[Planilla]=K$1)/(Insumos_a_comprar[Planilla]=K$1)*ROW(Insumos_a_comprar[Planilla])-ROW(Insumos_a_comprar[[#Headers],[Planilla]]),ROWS('Insumos a comprar'!$B$5:I120))),"")</f>
        <v/>
      </c>
      <c r="L118" s="30" t="str">
        <f>IF(ROWS('Insumos a comprar'!$B$5:I120)&lt;=COUNTIF(Insumos_a_comprar[Planilla],L$1),INDEX(Insumos_a_comprar[Insumo],_xlfn.AGGREGATE(15,6,(Insumos_a_comprar[Planilla]=L$1)/(Insumos_a_comprar[Planilla]=L$1)*ROW(Insumos_a_comprar[Planilla])-ROW(Insumos_a_comprar[[#Headers],[Planilla]]),ROWS('Insumos a comprar'!$B$5:I120))),"")</f>
        <v/>
      </c>
      <c r="M118" s="30"/>
      <c r="N118" s="30"/>
      <c r="O118" s="30"/>
      <c r="P118" s="30"/>
      <c r="Q118" s="30"/>
    </row>
    <row r="119" spans="1:17" ht="15.75" x14ac:dyDescent="0.25">
      <c r="A119" s="29" t="str">
        <f>IF(ROWS('Insumos a comprar'!$B$5:B121)&lt;=COUNTIF(Insumos_a_comprar[Planilla],A$1),INDEX(Insumos_a_comprar[Insumo],_xlfn.AGGREGATE(15,6,(Insumos_a_comprar[Planilla]=A$1)/(Insumos_a_comprar[Planilla]=A$1)*ROW(Insumos_a_comprar[Planilla])-ROW(Insumos_a_comprar[[#Headers],[Planilla]]),ROWS('Insumos a comprar'!$B$5:B121))),"")</f>
        <v/>
      </c>
      <c r="B119" s="29" t="str">
        <f>IF(ROWS('Insumos a comprar'!$B$5:B121)&lt;=COUNTIF(Insumos_a_comprar[Planilla],B$1),INDEX(Insumos_a_comprar[Insumo],_xlfn.AGGREGATE(15,6,(Insumos_a_comprar[Planilla]=B$1)/(Insumos_a_comprar[Planilla]=B$1)*ROW(Insumos_a_comprar[Planilla])-ROW(Insumos_a_comprar[[#Headers],[Planilla]]),ROWS('Insumos a comprar'!$B$5:B121))),"")</f>
        <v/>
      </c>
      <c r="C119" s="29" t="str">
        <f>IF(ROWS('Insumos a comprar'!$B$5:E121)&lt;=COUNTIF(Insumos_a_comprar[Planilla],C$1),INDEX(Insumos_a_comprar[Insumo],_xlfn.AGGREGATE(15,6,(Insumos_a_comprar[Planilla]=C$1)/(Insumos_a_comprar[Planilla]=C$1)*ROW(Insumos_a_comprar[Planilla])-ROW(Insumos_a_comprar[[#Headers],[Planilla]]),ROWS('Insumos a comprar'!$B$5:E121))),"")</f>
        <v/>
      </c>
      <c r="D119" s="29" t="str">
        <f>IF(ROWS('Insumos a comprar'!$B$5:F121)&lt;=COUNTIF(Insumos_a_comprar[Planilla],D$1),INDEX(Insumos_a_comprar[Insumo],_xlfn.AGGREGATE(15,6,(Insumos_a_comprar[Planilla]=D$1)/(Insumos_a_comprar[Planilla]=D$1)*ROW(Insumos_a_comprar[Planilla])-ROW(Insumos_a_comprar[[#Headers],[Planilla]]),ROWS('Insumos a comprar'!$B$5:F121))),"")</f>
        <v/>
      </c>
      <c r="E119" s="29" t="str">
        <f>IF(ROWS('Insumos a comprar'!$B$5:G121)&lt;=COUNTIF(Insumos_a_comprar[Planilla],E$1),INDEX(Insumos_a_comprar[Insumo],_xlfn.AGGREGATE(15,6,(Insumos_a_comprar[Planilla]=E$1)/(Insumos_a_comprar[Planilla]=E$1)*ROW(Insumos_a_comprar[Planilla])-ROW(Insumos_a_comprar[[#Headers],[Planilla]]),ROWS('Insumos a comprar'!$B$5:G121))),"")</f>
        <v/>
      </c>
      <c r="F119" s="29" t="str">
        <f>IF(ROWS('Insumos a comprar'!$B$5:H121)&lt;=COUNTIF(Insumos_a_comprar[Planilla],F$1),INDEX(Insumos_a_comprar[Insumo],_xlfn.AGGREGATE(15,6,(Insumos_a_comprar[Planilla]=F$1)/(Insumos_a_comprar[Planilla]=F$1)*ROW(Insumos_a_comprar[Planilla])-ROW(Insumos_a_comprar[[#Headers],[Planilla]]),ROWS('Insumos a comprar'!$B$5:H121))),"")</f>
        <v/>
      </c>
      <c r="G119" s="29" t="str">
        <f>IF(ROWS('Insumos a comprar'!$B$5:I121)&lt;=COUNTIF(Insumos_a_comprar[Planilla],G$1),INDEX(Insumos_a_comprar[Insumo],_xlfn.AGGREGATE(15,6,(Insumos_a_comprar[Planilla]=G$1)/(Insumos_a_comprar[Planilla]=G$1)*ROW(Insumos_a_comprar[Planilla])-ROW(Insumos_a_comprar[[#Headers],[Planilla]]),ROWS('Insumos a comprar'!$B$5:I121))),"")</f>
        <v/>
      </c>
      <c r="H119" s="29" t="str">
        <f>IF(ROWS('Insumos a comprar'!$B$5:I121)&lt;=COUNTIF(Insumos_a_comprar[Planilla],H$1),INDEX(Insumos_a_comprar[Insumo],_xlfn.AGGREGATE(15,6,(Insumos_a_comprar[Planilla]=H$1)/(Insumos_a_comprar[Planilla]=H$1)*ROW(Insumos_a_comprar[Planilla])-ROW(Insumos_a_comprar[[#Headers],[Planilla]]),ROWS('Insumos a comprar'!$B$5:I121))),"")</f>
        <v xml:space="preserve">Vidrios de reloj medianos </v>
      </c>
      <c r="I119" s="30" t="str">
        <f>IF(ROWS('Insumos a comprar'!$B$5:I121)&lt;=COUNTIF(Insumos_a_comprar[Planilla],I$1),INDEX(Insumos_a_comprar[Insumo],_xlfn.AGGREGATE(15,6,(Insumos_a_comprar[Planilla]=I$1)/(Insumos_a_comprar[Planilla]=I$1)*ROW(Insumos_a_comprar[Planilla])-ROW(Insumos_a_comprar[[#Headers],[Planilla]]),ROWS('Insumos a comprar'!$B$5:I121))),"")</f>
        <v/>
      </c>
      <c r="J119" s="30" t="str">
        <f>IF(ROWS('Insumos a comprar'!$B$5:I121)&lt;=COUNTIF(Insumos_a_comprar[Planilla],J$1),INDEX(Insumos_a_comprar[Insumo],_xlfn.AGGREGATE(15,6,(Insumos_a_comprar[Planilla]=J$1)/(Insumos_a_comprar[Planilla]=J$1)*ROW(Insumos_a_comprar[Planilla])-ROW(Insumos_a_comprar[[#Headers],[Planilla]]),ROWS('Insumos a comprar'!$B$5:I121))),"")</f>
        <v/>
      </c>
      <c r="K119" s="30" t="str">
        <f>IF(ROWS('Insumos a comprar'!$B$5:I121)&lt;=COUNTIF(Insumos_a_comprar[Planilla],K$1),INDEX(Insumos_a_comprar[Insumo],_xlfn.AGGREGATE(15,6,(Insumos_a_comprar[Planilla]=K$1)/(Insumos_a_comprar[Planilla]=K$1)*ROW(Insumos_a_comprar[Planilla])-ROW(Insumos_a_comprar[[#Headers],[Planilla]]),ROWS('Insumos a comprar'!$B$5:I121))),"")</f>
        <v/>
      </c>
      <c r="L119" s="30" t="str">
        <f>IF(ROWS('Insumos a comprar'!$B$5:I121)&lt;=COUNTIF(Insumos_a_comprar[Planilla],L$1),INDEX(Insumos_a_comprar[Insumo],_xlfn.AGGREGATE(15,6,(Insumos_a_comprar[Planilla]=L$1)/(Insumos_a_comprar[Planilla]=L$1)*ROW(Insumos_a_comprar[Planilla])-ROW(Insumos_a_comprar[[#Headers],[Planilla]]),ROWS('Insumos a comprar'!$B$5:I121))),"")</f>
        <v/>
      </c>
      <c r="M119" s="30"/>
      <c r="N119" s="30"/>
      <c r="O119" s="30"/>
      <c r="P119" s="30"/>
      <c r="Q119" s="30"/>
    </row>
    <row r="120" spans="1:17" ht="15.75" x14ac:dyDescent="0.25">
      <c r="A120" s="29" t="str">
        <f>IF(ROWS('Insumos a comprar'!$B$5:B122)&lt;=COUNTIF(Insumos_a_comprar[Planilla],A$1),INDEX(Insumos_a_comprar[Insumo],_xlfn.AGGREGATE(15,6,(Insumos_a_comprar[Planilla]=A$1)/(Insumos_a_comprar[Planilla]=A$1)*ROW(Insumos_a_comprar[Planilla])-ROW(Insumos_a_comprar[[#Headers],[Planilla]]),ROWS('Insumos a comprar'!$B$5:B122))),"")</f>
        <v/>
      </c>
      <c r="B120" s="29" t="str">
        <f>IF(ROWS('Insumos a comprar'!$B$5:B122)&lt;=COUNTIF(Insumos_a_comprar[Planilla],B$1),INDEX(Insumos_a_comprar[Insumo],_xlfn.AGGREGATE(15,6,(Insumos_a_comprar[Planilla]=B$1)/(Insumos_a_comprar[Planilla]=B$1)*ROW(Insumos_a_comprar[Planilla])-ROW(Insumos_a_comprar[[#Headers],[Planilla]]),ROWS('Insumos a comprar'!$B$5:B122))),"")</f>
        <v/>
      </c>
      <c r="C120" s="29" t="str">
        <f>IF(ROWS('Insumos a comprar'!$B$5:E122)&lt;=COUNTIF(Insumos_a_comprar[Planilla],C$1),INDEX(Insumos_a_comprar[Insumo],_xlfn.AGGREGATE(15,6,(Insumos_a_comprar[Planilla]=C$1)/(Insumos_a_comprar[Planilla]=C$1)*ROW(Insumos_a_comprar[Planilla])-ROW(Insumos_a_comprar[[#Headers],[Planilla]]),ROWS('Insumos a comprar'!$B$5:E122))),"")</f>
        <v/>
      </c>
      <c r="D120" s="29" t="str">
        <f>IF(ROWS('Insumos a comprar'!$B$5:F122)&lt;=COUNTIF(Insumos_a_comprar[Planilla],D$1),INDEX(Insumos_a_comprar[Insumo],_xlfn.AGGREGATE(15,6,(Insumos_a_comprar[Planilla]=D$1)/(Insumos_a_comprar[Planilla]=D$1)*ROW(Insumos_a_comprar[Planilla])-ROW(Insumos_a_comprar[[#Headers],[Planilla]]),ROWS('Insumos a comprar'!$B$5:F122))),"")</f>
        <v/>
      </c>
      <c r="E120" s="29" t="str">
        <f>IF(ROWS('Insumos a comprar'!$B$5:G122)&lt;=COUNTIF(Insumos_a_comprar[Planilla],E$1),INDEX(Insumos_a_comprar[Insumo],_xlfn.AGGREGATE(15,6,(Insumos_a_comprar[Planilla]=E$1)/(Insumos_a_comprar[Planilla]=E$1)*ROW(Insumos_a_comprar[Planilla])-ROW(Insumos_a_comprar[[#Headers],[Planilla]]),ROWS('Insumos a comprar'!$B$5:G122))),"")</f>
        <v/>
      </c>
      <c r="F120" s="29" t="str">
        <f>IF(ROWS('Insumos a comprar'!$B$5:H122)&lt;=COUNTIF(Insumos_a_comprar[Planilla],F$1),INDEX(Insumos_a_comprar[Insumo],_xlfn.AGGREGATE(15,6,(Insumos_a_comprar[Planilla]=F$1)/(Insumos_a_comprar[Planilla]=F$1)*ROW(Insumos_a_comprar[Planilla])-ROW(Insumos_a_comprar[[#Headers],[Planilla]]),ROWS('Insumos a comprar'!$B$5:H122))),"")</f>
        <v/>
      </c>
      <c r="G120" s="29" t="str">
        <f>IF(ROWS('Insumos a comprar'!$B$5:I122)&lt;=COUNTIF(Insumos_a_comprar[Planilla],G$1),INDEX(Insumos_a_comprar[Insumo],_xlfn.AGGREGATE(15,6,(Insumos_a_comprar[Planilla]=G$1)/(Insumos_a_comprar[Planilla]=G$1)*ROW(Insumos_a_comprar[Planilla])-ROW(Insumos_a_comprar[[#Headers],[Planilla]]),ROWS('Insumos a comprar'!$B$5:I122))),"")</f>
        <v/>
      </c>
      <c r="H120" s="29" t="str">
        <f>IF(ROWS('Insumos a comprar'!$B$5:I122)&lt;=COUNTIF(Insumos_a_comprar[Planilla],H$1),INDEX(Insumos_a_comprar[Insumo],_xlfn.AGGREGATE(15,6,(Insumos_a_comprar[Planilla]=H$1)/(Insumos_a_comprar[Planilla]=H$1)*ROW(Insumos_a_comprar[Planilla])-ROW(Insumos_a_comprar[[#Headers],[Planilla]]),ROWS('Insumos a comprar'!$B$5:I122))),"")</f>
        <v/>
      </c>
      <c r="I120" s="30" t="str">
        <f>IF(ROWS('Insumos a comprar'!$B$5:I122)&lt;=COUNTIF(Insumos_a_comprar[Planilla],I$1),INDEX(Insumos_a_comprar[Insumo],_xlfn.AGGREGATE(15,6,(Insumos_a_comprar[Planilla]=I$1)/(Insumos_a_comprar[Planilla]=I$1)*ROW(Insumos_a_comprar[Planilla])-ROW(Insumos_a_comprar[[#Headers],[Planilla]]),ROWS('Insumos a comprar'!$B$5:I122))),"")</f>
        <v/>
      </c>
      <c r="J120" s="30" t="str">
        <f>IF(ROWS('Insumos a comprar'!$B$5:I122)&lt;=COUNTIF(Insumos_a_comprar[Planilla],J$1),INDEX(Insumos_a_comprar[Insumo],_xlfn.AGGREGATE(15,6,(Insumos_a_comprar[Planilla]=J$1)/(Insumos_a_comprar[Planilla]=J$1)*ROW(Insumos_a_comprar[Planilla])-ROW(Insumos_a_comprar[[#Headers],[Planilla]]),ROWS('Insumos a comprar'!$B$5:I122))),"")</f>
        <v/>
      </c>
      <c r="K120" s="30" t="str">
        <f>IF(ROWS('Insumos a comprar'!$B$5:I122)&lt;=COUNTIF(Insumos_a_comprar[Planilla],K$1),INDEX(Insumos_a_comprar[Insumo],_xlfn.AGGREGATE(15,6,(Insumos_a_comprar[Planilla]=K$1)/(Insumos_a_comprar[Planilla]=K$1)*ROW(Insumos_a_comprar[Planilla])-ROW(Insumos_a_comprar[[#Headers],[Planilla]]),ROWS('Insumos a comprar'!$B$5:I122))),"")</f>
        <v/>
      </c>
      <c r="L120" s="30" t="str">
        <f>IF(ROWS('Insumos a comprar'!$B$5:I122)&lt;=COUNTIF(Insumos_a_comprar[Planilla],L$1),INDEX(Insumos_a_comprar[Insumo],_xlfn.AGGREGATE(15,6,(Insumos_a_comprar[Planilla]=L$1)/(Insumos_a_comprar[Planilla]=L$1)*ROW(Insumos_a_comprar[Planilla])-ROW(Insumos_a_comprar[[#Headers],[Planilla]]),ROWS('Insumos a comprar'!$B$5:I122))),"")</f>
        <v/>
      </c>
      <c r="M120" s="30"/>
      <c r="N120" s="30"/>
      <c r="O120" s="30"/>
      <c r="P120" s="30"/>
      <c r="Q120" s="30"/>
    </row>
    <row r="121" spans="1:17" ht="15.75" x14ac:dyDescent="0.25">
      <c r="A121" s="29" t="str">
        <f>IF(ROWS('Insumos a comprar'!$B$5:B123)&lt;=COUNTIF(Insumos_a_comprar[Planilla],A$1),INDEX(Insumos_a_comprar[Insumo],_xlfn.AGGREGATE(15,6,(Insumos_a_comprar[Planilla]=A$1)/(Insumos_a_comprar[Planilla]=A$1)*ROW(Insumos_a_comprar[Planilla])-ROW(Insumos_a_comprar[[#Headers],[Planilla]]),ROWS('Insumos a comprar'!$B$5:B123))),"")</f>
        <v/>
      </c>
      <c r="B121" s="29" t="str">
        <f>IF(ROWS('Insumos a comprar'!$B$5:B123)&lt;=COUNTIF(Insumos_a_comprar[Planilla],B$1),INDEX(Insumos_a_comprar[Insumo],_xlfn.AGGREGATE(15,6,(Insumos_a_comprar[Planilla]=B$1)/(Insumos_a_comprar[Planilla]=B$1)*ROW(Insumos_a_comprar[Planilla])-ROW(Insumos_a_comprar[[#Headers],[Planilla]]),ROWS('Insumos a comprar'!$B$5:B123))),"")</f>
        <v/>
      </c>
      <c r="C121" s="29" t="str">
        <f>IF(ROWS('Insumos a comprar'!$B$5:E123)&lt;=COUNTIF(Insumos_a_comprar[Planilla],C$1),INDEX(Insumos_a_comprar[Insumo],_xlfn.AGGREGATE(15,6,(Insumos_a_comprar[Planilla]=C$1)/(Insumos_a_comprar[Planilla]=C$1)*ROW(Insumos_a_comprar[Planilla])-ROW(Insumos_a_comprar[[#Headers],[Planilla]]),ROWS('Insumos a comprar'!$B$5:E123))),"")</f>
        <v/>
      </c>
      <c r="D121" s="29" t="str">
        <f>IF(ROWS('Insumos a comprar'!$B$5:F123)&lt;=COUNTIF(Insumos_a_comprar[Planilla],D$1),INDEX(Insumos_a_comprar[Insumo],_xlfn.AGGREGATE(15,6,(Insumos_a_comprar[Planilla]=D$1)/(Insumos_a_comprar[Planilla]=D$1)*ROW(Insumos_a_comprar[Planilla])-ROW(Insumos_a_comprar[[#Headers],[Planilla]]),ROWS('Insumos a comprar'!$B$5:F123))),"")</f>
        <v/>
      </c>
      <c r="E121" s="29" t="str">
        <f>IF(ROWS('Insumos a comprar'!$B$5:G123)&lt;=COUNTIF(Insumos_a_comprar[Planilla],E$1),INDEX(Insumos_a_comprar[Insumo],_xlfn.AGGREGATE(15,6,(Insumos_a_comprar[Planilla]=E$1)/(Insumos_a_comprar[Planilla]=E$1)*ROW(Insumos_a_comprar[Planilla])-ROW(Insumos_a_comprar[[#Headers],[Planilla]]),ROWS('Insumos a comprar'!$B$5:G123))),"")</f>
        <v/>
      </c>
      <c r="F121" s="29" t="str">
        <f>IF(ROWS('Insumos a comprar'!$B$5:H123)&lt;=COUNTIF(Insumos_a_comprar[Planilla],F$1),INDEX(Insumos_a_comprar[Insumo],_xlfn.AGGREGATE(15,6,(Insumos_a_comprar[Planilla]=F$1)/(Insumos_a_comprar[Planilla]=F$1)*ROW(Insumos_a_comprar[Planilla])-ROW(Insumos_a_comprar[[#Headers],[Planilla]]),ROWS('Insumos a comprar'!$B$5:H123))),"")</f>
        <v/>
      </c>
      <c r="G121" s="29" t="str">
        <f>IF(ROWS('Insumos a comprar'!$B$5:I123)&lt;=COUNTIF(Insumos_a_comprar[Planilla],G$1),INDEX(Insumos_a_comprar[Insumo],_xlfn.AGGREGATE(15,6,(Insumos_a_comprar[Planilla]=G$1)/(Insumos_a_comprar[Planilla]=G$1)*ROW(Insumos_a_comprar[Planilla])-ROW(Insumos_a_comprar[[#Headers],[Planilla]]),ROWS('Insumos a comprar'!$B$5:I123))),"")</f>
        <v/>
      </c>
      <c r="H121" s="29" t="str">
        <f>IF(ROWS('Insumos a comprar'!$B$5:I123)&lt;=COUNTIF(Insumos_a_comprar[Planilla],H$1),INDEX(Insumos_a_comprar[Insumo],_xlfn.AGGREGATE(15,6,(Insumos_a_comprar[Planilla]=H$1)/(Insumos_a_comprar[Planilla]=H$1)*ROW(Insumos_a_comprar[Planilla])-ROW(Insumos_a_comprar[[#Headers],[Planilla]]),ROWS('Insumos a comprar'!$B$5:I123))),"")</f>
        <v/>
      </c>
      <c r="I121" s="30" t="str">
        <f>IF(ROWS('Insumos a comprar'!$B$5:I123)&lt;=COUNTIF(Insumos_a_comprar[Planilla],I$1),INDEX(Insumos_a_comprar[Insumo],_xlfn.AGGREGATE(15,6,(Insumos_a_comprar[Planilla]=I$1)/(Insumos_a_comprar[Planilla]=I$1)*ROW(Insumos_a_comprar[Planilla])-ROW(Insumos_a_comprar[[#Headers],[Planilla]]),ROWS('Insumos a comprar'!$B$5:I123))),"")</f>
        <v/>
      </c>
      <c r="J121" s="30" t="str">
        <f>IF(ROWS('Insumos a comprar'!$B$5:I123)&lt;=COUNTIF(Insumos_a_comprar[Planilla],J$1),INDEX(Insumos_a_comprar[Insumo],_xlfn.AGGREGATE(15,6,(Insumos_a_comprar[Planilla]=J$1)/(Insumos_a_comprar[Planilla]=J$1)*ROW(Insumos_a_comprar[Planilla])-ROW(Insumos_a_comprar[[#Headers],[Planilla]]),ROWS('Insumos a comprar'!$B$5:I123))),"")</f>
        <v/>
      </c>
      <c r="K121" s="30" t="str">
        <f>IF(ROWS('Insumos a comprar'!$B$5:I123)&lt;=COUNTIF(Insumos_a_comprar[Planilla],K$1),INDEX(Insumos_a_comprar[Insumo],_xlfn.AGGREGATE(15,6,(Insumos_a_comprar[Planilla]=K$1)/(Insumos_a_comprar[Planilla]=K$1)*ROW(Insumos_a_comprar[Planilla])-ROW(Insumos_a_comprar[[#Headers],[Planilla]]),ROWS('Insumos a comprar'!$B$5:I123))),"")</f>
        <v/>
      </c>
      <c r="L121" s="30" t="str">
        <f>IF(ROWS('Insumos a comprar'!$B$5:I123)&lt;=COUNTIF(Insumos_a_comprar[Planilla],L$1),INDEX(Insumos_a_comprar[Insumo],_xlfn.AGGREGATE(15,6,(Insumos_a_comprar[Planilla]=L$1)/(Insumos_a_comprar[Planilla]=L$1)*ROW(Insumos_a_comprar[Planilla])-ROW(Insumos_a_comprar[[#Headers],[Planilla]]),ROWS('Insumos a comprar'!$B$5:I123))),"")</f>
        <v/>
      </c>
      <c r="M121" s="30"/>
      <c r="N121" s="30"/>
      <c r="O121" s="30"/>
      <c r="P121" s="30"/>
      <c r="Q121" s="30"/>
    </row>
    <row r="122" spans="1:17" ht="15.75" x14ac:dyDescent="0.25">
      <c r="A122" s="29" t="str">
        <f>IF(ROWS('Insumos a comprar'!$B$5:B124)&lt;=COUNTIF(Insumos_a_comprar[Planilla],A$1),INDEX(Insumos_a_comprar[Insumo],_xlfn.AGGREGATE(15,6,(Insumos_a_comprar[Planilla]=A$1)/(Insumos_a_comprar[Planilla]=A$1)*ROW(Insumos_a_comprar[Planilla])-ROW(Insumos_a_comprar[[#Headers],[Planilla]]),ROWS('Insumos a comprar'!$B$5:B124))),"")</f>
        <v/>
      </c>
      <c r="B122" s="29" t="str">
        <f>IF(ROWS('Insumos a comprar'!$B$5:B124)&lt;=COUNTIF(Insumos_a_comprar[Planilla],B$1),INDEX(Insumos_a_comprar[Insumo],_xlfn.AGGREGATE(15,6,(Insumos_a_comprar[Planilla]=B$1)/(Insumos_a_comprar[Planilla]=B$1)*ROW(Insumos_a_comprar[Planilla])-ROW(Insumos_a_comprar[[#Headers],[Planilla]]),ROWS('Insumos a comprar'!$B$5:B124))),"")</f>
        <v/>
      </c>
      <c r="C122" s="29" t="str">
        <f>IF(ROWS('Insumos a comprar'!$B$5:E124)&lt;=COUNTIF(Insumos_a_comprar[Planilla],C$1),INDEX(Insumos_a_comprar[Insumo],_xlfn.AGGREGATE(15,6,(Insumos_a_comprar[Planilla]=C$1)/(Insumos_a_comprar[Planilla]=C$1)*ROW(Insumos_a_comprar[Planilla])-ROW(Insumos_a_comprar[[#Headers],[Planilla]]),ROWS('Insumos a comprar'!$B$5:E124))),"")</f>
        <v/>
      </c>
      <c r="D122" s="29" t="str">
        <f>IF(ROWS('Insumos a comprar'!$B$5:F124)&lt;=COUNTIF(Insumos_a_comprar[Planilla],D$1),INDEX(Insumos_a_comprar[Insumo],_xlfn.AGGREGATE(15,6,(Insumos_a_comprar[Planilla]=D$1)/(Insumos_a_comprar[Planilla]=D$1)*ROW(Insumos_a_comprar[Planilla])-ROW(Insumos_a_comprar[[#Headers],[Planilla]]),ROWS('Insumos a comprar'!$B$5:F124))),"")</f>
        <v/>
      </c>
      <c r="E122" s="29" t="str">
        <f>IF(ROWS('Insumos a comprar'!$B$5:G124)&lt;=COUNTIF(Insumos_a_comprar[Planilla],E$1),INDEX(Insumos_a_comprar[Insumo],_xlfn.AGGREGATE(15,6,(Insumos_a_comprar[Planilla]=E$1)/(Insumos_a_comprar[Planilla]=E$1)*ROW(Insumos_a_comprar[Planilla])-ROW(Insumos_a_comprar[[#Headers],[Planilla]]),ROWS('Insumos a comprar'!$B$5:G124))),"")</f>
        <v/>
      </c>
      <c r="F122" s="29" t="str">
        <f>IF(ROWS('Insumos a comprar'!$B$5:H124)&lt;=COUNTIF(Insumos_a_comprar[Planilla],F$1),INDEX(Insumos_a_comprar[Insumo],_xlfn.AGGREGATE(15,6,(Insumos_a_comprar[Planilla]=F$1)/(Insumos_a_comprar[Planilla]=F$1)*ROW(Insumos_a_comprar[Planilla])-ROW(Insumos_a_comprar[[#Headers],[Planilla]]),ROWS('Insumos a comprar'!$B$5:H124))),"")</f>
        <v/>
      </c>
      <c r="G122" s="29" t="str">
        <f>IF(ROWS('Insumos a comprar'!$B$5:I124)&lt;=COUNTIF(Insumos_a_comprar[Planilla],G$1),INDEX(Insumos_a_comprar[Insumo],_xlfn.AGGREGATE(15,6,(Insumos_a_comprar[Planilla]=G$1)/(Insumos_a_comprar[Planilla]=G$1)*ROW(Insumos_a_comprar[Planilla])-ROW(Insumos_a_comprar[[#Headers],[Planilla]]),ROWS('Insumos a comprar'!$B$5:I124))),"")</f>
        <v/>
      </c>
      <c r="H122" s="29" t="str">
        <f>IF(ROWS('Insumos a comprar'!$B$5:I124)&lt;=COUNTIF(Insumos_a_comprar[Planilla],H$1),INDEX(Insumos_a_comprar[Insumo],_xlfn.AGGREGATE(15,6,(Insumos_a_comprar[Planilla]=H$1)/(Insumos_a_comprar[Planilla]=H$1)*ROW(Insumos_a_comprar[Planilla])-ROW(Insumos_a_comprar[[#Headers],[Planilla]]),ROWS('Insumos a comprar'!$B$5:I124))),"")</f>
        <v/>
      </c>
      <c r="I122" s="30" t="str">
        <f>IF(ROWS('Insumos a comprar'!$B$5:I124)&lt;=COUNTIF(Insumos_a_comprar[Planilla],I$1),INDEX(Insumos_a_comprar[Insumo],_xlfn.AGGREGATE(15,6,(Insumos_a_comprar[Planilla]=I$1)/(Insumos_a_comprar[Planilla]=I$1)*ROW(Insumos_a_comprar[Planilla])-ROW(Insumos_a_comprar[[#Headers],[Planilla]]),ROWS('Insumos a comprar'!$B$5:I124))),"")</f>
        <v/>
      </c>
      <c r="J122" s="30" t="str">
        <f>IF(ROWS('Insumos a comprar'!$B$5:I124)&lt;=COUNTIF(Insumos_a_comprar[Planilla],J$1),INDEX(Insumos_a_comprar[Insumo],_xlfn.AGGREGATE(15,6,(Insumos_a_comprar[Planilla]=J$1)/(Insumos_a_comprar[Planilla]=J$1)*ROW(Insumos_a_comprar[Planilla])-ROW(Insumos_a_comprar[[#Headers],[Planilla]]),ROWS('Insumos a comprar'!$B$5:I124))),"")</f>
        <v/>
      </c>
      <c r="K122" s="30" t="str">
        <f>IF(ROWS('Insumos a comprar'!$B$5:I124)&lt;=COUNTIF(Insumos_a_comprar[Planilla],K$1),INDEX(Insumos_a_comprar[Insumo],_xlfn.AGGREGATE(15,6,(Insumos_a_comprar[Planilla]=K$1)/(Insumos_a_comprar[Planilla]=K$1)*ROW(Insumos_a_comprar[Planilla])-ROW(Insumos_a_comprar[[#Headers],[Planilla]]),ROWS('Insumos a comprar'!$B$5:I124))),"")</f>
        <v/>
      </c>
      <c r="L122" s="30" t="str">
        <f>IF(ROWS('Insumos a comprar'!$B$5:I124)&lt;=COUNTIF(Insumos_a_comprar[Planilla],L$1),INDEX(Insumos_a_comprar[Insumo],_xlfn.AGGREGATE(15,6,(Insumos_a_comprar[Planilla]=L$1)/(Insumos_a_comprar[Planilla]=L$1)*ROW(Insumos_a_comprar[Planilla])-ROW(Insumos_a_comprar[[#Headers],[Planilla]]),ROWS('Insumos a comprar'!$B$5:I124))),"")</f>
        <v/>
      </c>
      <c r="M122" s="30"/>
      <c r="N122" s="30"/>
      <c r="O122" s="30"/>
      <c r="P122" s="30"/>
      <c r="Q122" s="30"/>
    </row>
    <row r="123" spans="1:17" ht="15.75" x14ac:dyDescent="0.25">
      <c r="A123" s="29" t="str">
        <f>IF(ROWS('Insumos a comprar'!$B$5:B125)&lt;=COUNTIF(Insumos_a_comprar[Planilla],A$1),INDEX(Insumos_a_comprar[Insumo],_xlfn.AGGREGATE(15,6,(Insumos_a_comprar[Planilla]=A$1)/(Insumos_a_comprar[Planilla]=A$1)*ROW(Insumos_a_comprar[Planilla])-ROW(Insumos_a_comprar[[#Headers],[Planilla]]),ROWS('Insumos a comprar'!$B$5:B125))),"")</f>
        <v/>
      </c>
      <c r="B123" s="29" t="str">
        <f>IF(ROWS('Insumos a comprar'!$B$5:B125)&lt;=COUNTIF(Insumos_a_comprar[Planilla],B$1),INDEX(Insumos_a_comprar[Insumo],_xlfn.AGGREGATE(15,6,(Insumos_a_comprar[Planilla]=B$1)/(Insumos_a_comprar[Planilla]=B$1)*ROW(Insumos_a_comprar[Planilla])-ROW(Insumos_a_comprar[[#Headers],[Planilla]]),ROWS('Insumos a comprar'!$B$5:B125))),"")</f>
        <v/>
      </c>
      <c r="C123" s="29" t="str">
        <f>IF(ROWS('Insumos a comprar'!$B$5:E125)&lt;=COUNTIF(Insumos_a_comprar[Planilla],C$1),INDEX(Insumos_a_comprar[Insumo],_xlfn.AGGREGATE(15,6,(Insumos_a_comprar[Planilla]=C$1)/(Insumos_a_comprar[Planilla]=C$1)*ROW(Insumos_a_comprar[Planilla])-ROW(Insumos_a_comprar[[#Headers],[Planilla]]),ROWS('Insumos a comprar'!$B$5:E125))),"")</f>
        <v/>
      </c>
      <c r="D123" s="29" t="str">
        <f>IF(ROWS('Insumos a comprar'!$B$5:F125)&lt;=COUNTIF(Insumos_a_comprar[Planilla],D$1),INDEX(Insumos_a_comprar[Insumo],_xlfn.AGGREGATE(15,6,(Insumos_a_comprar[Planilla]=D$1)/(Insumos_a_comprar[Planilla]=D$1)*ROW(Insumos_a_comprar[Planilla])-ROW(Insumos_a_comprar[[#Headers],[Planilla]]),ROWS('Insumos a comprar'!$B$5:F125))),"")</f>
        <v/>
      </c>
      <c r="E123" s="29" t="str">
        <f>IF(ROWS('Insumos a comprar'!$B$5:G125)&lt;=COUNTIF(Insumos_a_comprar[Planilla],E$1),INDEX(Insumos_a_comprar[Insumo],_xlfn.AGGREGATE(15,6,(Insumos_a_comprar[Planilla]=E$1)/(Insumos_a_comprar[Planilla]=E$1)*ROW(Insumos_a_comprar[Planilla])-ROW(Insumos_a_comprar[[#Headers],[Planilla]]),ROWS('Insumos a comprar'!$B$5:G125))),"")</f>
        <v/>
      </c>
      <c r="F123" s="29" t="str">
        <f>IF(ROWS('Insumos a comprar'!$B$5:H125)&lt;=COUNTIF(Insumos_a_comprar[Planilla],F$1),INDEX(Insumos_a_comprar[Insumo],_xlfn.AGGREGATE(15,6,(Insumos_a_comprar[Planilla]=F$1)/(Insumos_a_comprar[Planilla]=F$1)*ROW(Insumos_a_comprar[Planilla])-ROW(Insumos_a_comprar[[#Headers],[Planilla]]),ROWS('Insumos a comprar'!$B$5:H125))),"")</f>
        <v/>
      </c>
      <c r="G123" s="29" t="str">
        <f>IF(ROWS('Insumos a comprar'!$B$5:I125)&lt;=COUNTIF(Insumos_a_comprar[Planilla],G$1),INDEX(Insumos_a_comprar[Insumo],_xlfn.AGGREGATE(15,6,(Insumos_a_comprar[Planilla]=G$1)/(Insumos_a_comprar[Planilla]=G$1)*ROW(Insumos_a_comprar[Planilla])-ROW(Insumos_a_comprar[[#Headers],[Planilla]]),ROWS('Insumos a comprar'!$B$5:I125))),"")</f>
        <v/>
      </c>
      <c r="H123" s="29" t="str">
        <f>IF(ROWS('Insumos a comprar'!$B$5:I125)&lt;=COUNTIF(Insumos_a_comprar[Planilla],H$1),INDEX(Insumos_a_comprar[Insumo],_xlfn.AGGREGATE(15,6,(Insumos_a_comprar[Planilla]=H$1)/(Insumos_a_comprar[Planilla]=H$1)*ROW(Insumos_a_comprar[Planilla])-ROW(Insumos_a_comprar[[#Headers],[Planilla]]),ROWS('Insumos a comprar'!$B$5:I125))),"")</f>
        <v/>
      </c>
      <c r="I123" s="30" t="str">
        <f>IF(ROWS('Insumos a comprar'!$B$5:I125)&lt;=COUNTIF(Insumos_a_comprar[Planilla],I$1),INDEX(Insumos_a_comprar[Insumo],_xlfn.AGGREGATE(15,6,(Insumos_a_comprar[Planilla]=I$1)/(Insumos_a_comprar[Planilla]=I$1)*ROW(Insumos_a_comprar[Planilla])-ROW(Insumos_a_comprar[[#Headers],[Planilla]]),ROWS('Insumos a comprar'!$B$5:I125))),"")</f>
        <v/>
      </c>
      <c r="J123" s="30" t="str">
        <f>IF(ROWS('Insumos a comprar'!$B$5:I125)&lt;=COUNTIF(Insumos_a_comprar[Planilla],J$1),INDEX(Insumos_a_comprar[Insumo],_xlfn.AGGREGATE(15,6,(Insumos_a_comprar[Planilla]=J$1)/(Insumos_a_comprar[Planilla]=J$1)*ROW(Insumos_a_comprar[Planilla])-ROW(Insumos_a_comprar[[#Headers],[Planilla]]),ROWS('Insumos a comprar'!$B$5:I125))),"")</f>
        <v/>
      </c>
      <c r="K123" s="30" t="str">
        <f>IF(ROWS('Insumos a comprar'!$B$5:I125)&lt;=COUNTIF(Insumos_a_comprar[Planilla],K$1),INDEX(Insumos_a_comprar[Insumo],_xlfn.AGGREGATE(15,6,(Insumos_a_comprar[Planilla]=K$1)/(Insumos_a_comprar[Planilla]=K$1)*ROW(Insumos_a_comprar[Planilla])-ROW(Insumos_a_comprar[[#Headers],[Planilla]]),ROWS('Insumos a comprar'!$B$5:I125))),"")</f>
        <v/>
      </c>
      <c r="L123" s="30" t="str">
        <f>IF(ROWS('Insumos a comprar'!$B$5:I125)&lt;=COUNTIF(Insumos_a_comprar[Planilla],L$1),INDEX(Insumos_a_comprar[Insumo],_xlfn.AGGREGATE(15,6,(Insumos_a_comprar[Planilla]=L$1)/(Insumos_a_comprar[Planilla]=L$1)*ROW(Insumos_a_comprar[Planilla])-ROW(Insumos_a_comprar[[#Headers],[Planilla]]),ROWS('Insumos a comprar'!$B$5:I125))),"")</f>
        <v/>
      </c>
      <c r="M123" s="30"/>
      <c r="N123" s="30"/>
      <c r="O123" s="30"/>
      <c r="P123" s="30"/>
      <c r="Q123" s="30"/>
    </row>
    <row r="124" spans="1:17" ht="15.75" x14ac:dyDescent="0.25">
      <c r="A124" s="29" t="str">
        <f>IF(ROWS('Insumos a comprar'!$B$5:B126)&lt;=COUNTIF(Insumos_a_comprar[Planilla],A$1),INDEX(Insumos_a_comprar[Insumo],_xlfn.AGGREGATE(15,6,(Insumos_a_comprar[Planilla]=A$1)/(Insumos_a_comprar[Planilla]=A$1)*ROW(Insumos_a_comprar[Planilla])-ROW(Insumos_a_comprar[[#Headers],[Planilla]]),ROWS('Insumos a comprar'!$B$5:B126))),"")</f>
        <v/>
      </c>
      <c r="B124" s="29" t="str">
        <f>IF(ROWS('Insumos a comprar'!$B$5:B126)&lt;=COUNTIF(Insumos_a_comprar[Planilla],B$1),INDEX(Insumos_a_comprar[Insumo],_xlfn.AGGREGATE(15,6,(Insumos_a_comprar[Planilla]=B$1)/(Insumos_a_comprar[Planilla]=B$1)*ROW(Insumos_a_comprar[Planilla])-ROW(Insumos_a_comprar[[#Headers],[Planilla]]),ROWS('Insumos a comprar'!$B$5:B126))),"")</f>
        <v/>
      </c>
      <c r="C124" s="29" t="str">
        <f>IF(ROWS('Insumos a comprar'!$B$5:E126)&lt;=COUNTIF(Insumos_a_comprar[Planilla],C$1),INDEX(Insumos_a_comprar[Insumo],_xlfn.AGGREGATE(15,6,(Insumos_a_comprar[Planilla]=C$1)/(Insumos_a_comprar[Planilla]=C$1)*ROW(Insumos_a_comprar[Planilla])-ROW(Insumos_a_comprar[[#Headers],[Planilla]]),ROWS('Insumos a comprar'!$B$5:E126))),"")</f>
        <v/>
      </c>
      <c r="D124" s="29" t="str">
        <f>IF(ROWS('Insumos a comprar'!$B$5:F126)&lt;=COUNTIF(Insumos_a_comprar[Planilla],D$1),INDEX(Insumos_a_comprar[Insumo],_xlfn.AGGREGATE(15,6,(Insumos_a_comprar[Planilla]=D$1)/(Insumos_a_comprar[Planilla]=D$1)*ROW(Insumos_a_comprar[Planilla])-ROW(Insumos_a_comprar[[#Headers],[Planilla]]),ROWS('Insumos a comprar'!$B$5:F126))),"")</f>
        <v/>
      </c>
      <c r="E124" s="29" t="str">
        <f>IF(ROWS('Insumos a comprar'!$B$5:G126)&lt;=COUNTIF(Insumos_a_comprar[Planilla],E$1),INDEX(Insumos_a_comprar[Insumo],_xlfn.AGGREGATE(15,6,(Insumos_a_comprar[Planilla]=E$1)/(Insumos_a_comprar[Planilla]=E$1)*ROW(Insumos_a_comprar[Planilla])-ROW(Insumos_a_comprar[[#Headers],[Planilla]]),ROWS('Insumos a comprar'!$B$5:G126))),"")</f>
        <v/>
      </c>
      <c r="F124" s="29" t="str">
        <f>IF(ROWS('Insumos a comprar'!$B$5:H126)&lt;=COUNTIF(Insumos_a_comprar[Planilla],F$1),INDEX(Insumos_a_comprar[Insumo],_xlfn.AGGREGATE(15,6,(Insumos_a_comprar[Planilla]=F$1)/(Insumos_a_comprar[Planilla]=F$1)*ROW(Insumos_a_comprar[Planilla])-ROW(Insumos_a_comprar[[#Headers],[Planilla]]),ROWS('Insumos a comprar'!$B$5:H126))),"")</f>
        <v/>
      </c>
      <c r="G124" s="29" t="str">
        <f>IF(ROWS('Insumos a comprar'!$B$5:I126)&lt;=COUNTIF(Insumos_a_comprar[Planilla],G$1),INDEX(Insumos_a_comprar[Insumo],_xlfn.AGGREGATE(15,6,(Insumos_a_comprar[Planilla]=G$1)/(Insumos_a_comprar[Planilla]=G$1)*ROW(Insumos_a_comprar[Planilla])-ROW(Insumos_a_comprar[[#Headers],[Planilla]]),ROWS('Insumos a comprar'!$B$5:I126))),"")</f>
        <v/>
      </c>
      <c r="H124" s="29" t="str">
        <f>IF(ROWS('Insumos a comprar'!$B$5:I126)&lt;=COUNTIF(Insumos_a_comprar[Planilla],H$1),INDEX(Insumos_a_comprar[Insumo],_xlfn.AGGREGATE(15,6,(Insumos_a_comprar[Planilla]=H$1)/(Insumos_a_comprar[Planilla]=H$1)*ROW(Insumos_a_comprar[Planilla])-ROW(Insumos_a_comprar[[#Headers],[Planilla]]),ROWS('Insumos a comprar'!$B$5:I126))),"")</f>
        <v/>
      </c>
      <c r="I124" s="30" t="str">
        <f>IF(ROWS('Insumos a comprar'!$B$5:I126)&lt;=COUNTIF(Insumos_a_comprar[Planilla],I$1),INDEX(Insumos_a_comprar[Insumo],_xlfn.AGGREGATE(15,6,(Insumos_a_comprar[Planilla]=I$1)/(Insumos_a_comprar[Planilla]=I$1)*ROW(Insumos_a_comprar[Planilla])-ROW(Insumos_a_comprar[[#Headers],[Planilla]]),ROWS('Insumos a comprar'!$B$5:I126))),"")</f>
        <v/>
      </c>
      <c r="J124" s="30" t="str">
        <f>IF(ROWS('Insumos a comprar'!$B$5:I126)&lt;=COUNTIF(Insumos_a_comprar[Planilla],J$1),INDEX(Insumos_a_comprar[Insumo],_xlfn.AGGREGATE(15,6,(Insumos_a_comprar[Planilla]=J$1)/(Insumos_a_comprar[Planilla]=J$1)*ROW(Insumos_a_comprar[Planilla])-ROW(Insumos_a_comprar[[#Headers],[Planilla]]),ROWS('Insumos a comprar'!$B$5:I126))),"")</f>
        <v/>
      </c>
      <c r="K124" s="30" t="str">
        <f>IF(ROWS('Insumos a comprar'!$B$5:I126)&lt;=COUNTIF(Insumos_a_comprar[Planilla],K$1),INDEX(Insumos_a_comprar[Insumo],_xlfn.AGGREGATE(15,6,(Insumos_a_comprar[Planilla]=K$1)/(Insumos_a_comprar[Planilla]=K$1)*ROW(Insumos_a_comprar[Planilla])-ROW(Insumos_a_comprar[[#Headers],[Planilla]]),ROWS('Insumos a comprar'!$B$5:I126))),"")</f>
        <v/>
      </c>
      <c r="L124" s="30" t="str">
        <f>IF(ROWS('Insumos a comprar'!$B$5:I126)&lt;=COUNTIF(Insumos_a_comprar[Planilla],L$1),INDEX(Insumos_a_comprar[Insumo],_xlfn.AGGREGATE(15,6,(Insumos_a_comprar[Planilla]=L$1)/(Insumos_a_comprar[Planilla]=L$1)*ROW(Insumos_a_comprar[Planilla])-ROW(Insumos_a_comprar[[#Headers],[Planilla]]),ROWS('Insumos a comprar'!$B$5:I126))),"")</f>
        <v/>
      </c>
      <c r="M124" s="30"/>
      <c r="N124" s="30"/>
      <c r="O124" s="30"/>
      <c r="P124" s="30"/>
      <c r="Q124" s="30"/>
    </row>
    <row r="125" spans="1:17" ht="15.75" x14ac:dyDescent="0.25">
      <c r="A125" s="29" t="str">
        <f>IF(ROWS('Insumos a comprar'!$B$5:B127)&lt;=COUNTIF(Insumos_a_comprar[Planilla],A$1),INDEX(Insumos_a_comprar[Insumo],_xlfn.AGGREGATE(15,6,(Insumos_a_comprar[Planilla]=A$1)/(Insumos_a_comprar[Planilla]=A$1)*ROW(Insumos_a_comprar[Planilla])-ROW(Insumos_a_comprar[[#Headers],[Planilla]]),ROWS('Insumos a comprar'!$B$5:B127))),"")</f>
        <v/>
      </c>
      <c r="B125" s="29" t="str">
        <f>IF(ROWS('Insumos a comprar'!$B$5:B127)&lt;=COUNTIF(Insumos_a_comprar[Planilla],B$1),INDEX(Insumos_a_comprar[Insumo],_xlfn.AGGREGATE(15,6,(Insumos_a_comprar[Planilla]=B$1)/(Insumos_a_comprar[Planilla]=B$1)*ROW(Insumos_a_comprar[Planilla])-ROW(Insumos_a_comprar[[#Headers],[Planilla]]),ROWS('Insumos a comprar'!$B$5:B127))),"")</f>
        <v/>
      </c>
      <c r="C125" s="29" t="str">
        <f>IF(ROWS('Insumos a comprar'!$B$5:E127)&lt;=COUNTIF(Insumos_a_comprar[Planilla],C$1),INDEX(Insumos_a_comprar[Insumo],_xlfn.AGGREGATE(15,6,(Insumos_a_comprar[Planilla]=C$1)/(Insumos_a_comprar[Planilla]=C$1)*ROW(Insumos_a_comprar[Planilla])-ROW(Insumos_a_comprar[[#Headers],[Planilla]]),ROWS('Insumos a comprar'!$B$5:E127))),"")</f>
        <v/>
      </c>
      <c r="D125" s="29" t="str">
        <f>IF(ROWS('Insumos a comprar'!$B$5:F127)&lt;=COUNTIF(Insumos_a_comprar[Planilla],D$1),INDEX(Insumos_a_comprar[Insumo],_xlfn.AGGREGATE(15,6,(Insumos_a_comprar[Planilla]=D$1)/(Insumos_a_comprar[Planilla]=D$1)*ROW(Insumos_a_comprar[Planilla])-ROW(Insumos_a_comprar[[#Headers],[Planilla]]),ROWS('Insumos a comprar'!$B$5:F127))),"")</f>
        <v/>
      </c>
      <c r="E125" s="29" t="str">
        <f>IF(ROWS('Insumos a comprar'!$B$5:G127)&lt;=COUNTIF(Insumos_a_comprar[Planilla],E$1),INDEX(Insumos_a_comprar[Insumo],_xlfn.AGGREGATE(15,6,(Insumos_a_comprar[Planilla]=E$1)/(Insumos_a_comprar[Planilla]=E$1)*ROW(Insumos_a_comprar[Planilla])-ROW(Insumos_a_comprar[[#Headers],[Planilla]]),ROWS('Insumos a comprar'!$B$5:G127))),"")</f>
        <v/>
      </c>
      <c r="F125" s="29" t="str">
        <f>IF(ROWS('Insumos a comprar'!$B$5:H127)&lt;=COUNTIF(Insumos_a_comprar[Planilla],F$1),INDEX(Insumos_a_comprar[Insumo],_xlfn.AGGREGATE(15,6,(Insumos_a_comprar[Planilla]=F$1)/(Insumos_a_comprar[Planilla]=F$1)*ROW(Insumos_a_comprar[Planilla])-ROW(Insumos_a_comprar[[#Headers],[Planilla]]),ROWS('Insumos a comprar'!$B$5:H127))),"")</f>
        <v/>
      </c>
      <c r="G125" s="29" t="str">
        <f>IF(ROWS('Insumos a comprar'!$B$5:I127)&lt;=COUNTIF(Insumos_a_comprar[Planilla],G$1),INDEX(Insumos_a_comprar[Insumo],_xlfn.AGGREGATE(15,6,(Insumos_a_comprar[Planilla]=G$1)/(Insumos_a_comprar[Planilla]=G$1)*ROW(Insumos_a_comprar[Planilla])-ROW(Insumos_a_comprar[[#Headers],[Planilla]]),ROWS('Insumos a comprar'!$B$5:I127))),"")</f>
        <v/>
      </c>
      <c r="H125" s="29" t="str">
        <f>IF(ROWS('Insumos a comprar'!$B$5:I127)&lt;=COUNTIF(Insumos_a_comprar[Planilla],H$1),INDEX(Insumos_a_comprar[Insumo],_xlfn.AGGREGATE(15,6,(Insumos_a_comprar[Planilla]=H$1)/(Insumos_a_comprar[Planilla]=H$1)*ROW(Insumos_a_comprar[Planilla])-ROW(Insumos_a_comprar[[#Headers],[Planilla]]),ROWS('Insumos a comprar'!$B$5:I127))),"")</f>
        <v/>
      </c>
      <c r="I125" s="30" t="str">
        <f>IF(ROWS('Insumos a comprar'!$B$5:I127)&lt;=COUNTIF(Insumos_a_comprar[Planilla],I$1),INDEX(Insumos_a_comprar[Insumo],_xlfn.AGGREGATE(15,6,(Insumos_a_comprar[Planilla]=I$1)/(Insumos_a_comprar[Planilla]=I$1)*ROW(Insumos_a_comprar[Planilla])-ROW(Insumos_a_comprar[[#Headers],[Planilla]]),ROWS('Insumos a comprar'!$B$5:I127))),"")</f>
        <v/>
      </c>
      <c r="J125" s="30" t="str">
        <f>IF(ROWS('Insumos a comprar'!$B$5:I127)&lt;=COUNTIF(Insumos_a_comprar[Planilla],J$1),INDEX(Insumos_a_comprar[Insumo],_xlfn.AGGREGATE(15,6,(Insumos_a_comprar[Planilla]=J$1)/(Insumos_a_comprar[Planilla]=J$1)*ROW(Insumos_a_comprar[Planilla])-ROW(Insumos_a_comprar[[#Headers],[Planilla]]),ROWS('Insumos a comprar'!$B$5:I127))),"")</f>
        <v/>
      </c>
      <c r="K125" s="30" t="str">
        <f>IF(ROWS('Insumos a comprar'!$B$5:I127)&lt;=COUNTIF(Insumos_a_comprar[Planilla],K$1),INDEX(Insumos_a_comprar[Insumo],_xlfn.AGGREGATE(15,6,(Insumos_a_comprar[Planilla]=K$1)/(Insumos_a_comprar[Planilla]=K$1)*ROW(Insumos_a_comprar[Planilla])-ROW(Insumos_a_comprar[[#Headers],[Planilla]]),ROWS('Insumos a comprar'!$B$5:I127))),"")</f>
        <v/>
      </c>
      <c r="L125" s="30" t="str">
        <f>IF(ROWS('Insumos a comprar'!$B$5:I127)&lt;=COUNTIF(Insumos_a_comprar[Planilla],L$1),INDEX(Insumos_a_comprar[Insumo],_xlfn.AGGREGATE(15,6,(Insumos_a_comprar[Planilla]=L$1)/(Insumos_a_comprar[Planilla]=L$1)*ROW(Insumos_a_comprar[Planilla])-ROW(Insumos_a_comprar[[#Headers],[Planilla]]),ROWS('Insumos a comprar'!$B$5:I127))),"")</f>
        <v/>
      </c>
      <c r="M125" s="30"/>
      <c r="N125" s="30"/>
      <c r="O125" s="30"/>
      <c r="P125" s="30"/>
      <c r="Q125" s="30"/>
    </row>
    <row r="126" spans="1:17" ht="15.75" x14ac:dyDescent="0.25">
      <c r="A126" s="29" t="str">
        <f>IF(ROWS('Insumos a comprar'!$B$5:B128)&lt;=COUNTIF(Insumos_a_comprar[Planilla],A$1),INDEX(Insumos_a_comprar[Insumo],_xlfn.AGGREGATE(15,6,(Insumos_a_comprar[Planilla]=A$1)/(Insumos_a_comprar[Planilla]=A$1)*ROW(Insumos_a_comprar[Planilla])-ROW(Insumos_a_comprar[[#Headers],[Planilla]]),ROWS('Insumos a comprar'!$B$5:B128))),"")</f>
        <v/>
      </c>
      <c r="B126" s="29" t="str">
        <f>IF(ROWS('Insumos a comprar'!$B$5:B128)&lt;=COUNTIF(Insumos_a_comprar[Planilla],B$1),INDEX(Insumos_a_comprar[Insumo],_xlfn.AGGREGATE(15,6,(Insumos_a_comprar[Planilla]=B$1)/(Insumos_a_comprar[Planilla]=B$1)*ROW(Insumos_a_comprar[Planilla])-ROW(Insumos_a_comprar[[#Headers],[Planilla]]),ROWS('Insumos a comprar'!$B$5:B128))),"")</f>
        <v/>
      </c>
      <c r="C126" s="29" t="str">
        <f>IF(ROWS('Insumos a comprar'!$B$5:E128)&lt;=COUNTIF(Insumos_a_comprar[Planilla],C$1),INDEX(Insumos_a_comprar[Insumo],_xlfn.AGGREGATE(15,6,(Insumos_a_comprar[Planilla]=C$1)/(Insumos_a_comprar[Planilla]=C$1)*ROW(Insumos_a_comprar[Planilla])-ROW(Insumos_a_comprar[[#Headers],[Planilla]]),ROWS('Insumos a comprar'!$B$5:E128))),"")</f>
        <v/>
      </c>
      <c r="D126" s="29" t="str">
        <f>IF(ROWS('Insumos a comprar'!$B$5:F128)&lt;=COUNTIF(Insumos_a_comprar[Planilla],D$1),INDEX(Insumos_a_comprar[Insumo],_xlfn.AGGREGATE(15,6,(Insumos_a_comprar[Planilla]=D$1)/(Insumos_a_comprar[Planilla]=D$1)*ROW(Insumos_a_comprar[Planilla])-ROW(Insumos_a_comprar[[#Headers],[Planilla]]),ROWS('Insumos a comprar'!$B$5:F128))),"")</f>
        <v/>
      </c>
      <c r="E126" s="29" t="str">
        <f>IF(ROWS('Insumos a comprar'!$B$5:G128)&lt;=COUNTIF(Insumos_a_comprar[Planilla],E$1),INDEX(Insumos_a_comprar[Insumo],_xlfn.AGGREGATE(15,6,(Insumos_a_comprar[Planilla]=E$1)/(Insumos_a_comprar[Planilla]=E$1)*ROW(Insumos_a_comprar[Planilla])-ROW(Insumos_a_comprar[[#Headers],[Planilla]]),ROWS('Insumos a comprar'!$B$5:G128))),"")</f>
        <v/>
      </c>
      <c r="F126" s="29" t="str">
        <f>IF(ROWS('Insumos a comprar'!$B$5:H128)&lt;=COUNTIF(Insumos_a_comprar[Planilla],F$1),INDEX(Insumos_a_comprar[Insumo],_xlfn.AGGREGATE(15,6,(Insumos_a_comprar[Planilla]=F$1)/(Insumos_a_comprar[Planilla]=F$1)*ROW(Insumos_a_comprar[Planilla])-ROW(Insumos_a_comprar[[#Headers],[Planilla]]),ROWS('Insumos a comprar'!$B$5:H128))),"")</f>
        <v/>
      </c>
      <c r="G126" s="29" t="str">
        <f>IF(ROWS('Insumos a comprar'!$B$5:I128)&lt;=COUNTIF(Insumos_a_comprar[Planilla],G$1),INDEX(Insumos_a_comprar[Insumo],_xlfn.AGGREGATE(15,6,(Insumos_a_comprar[Planilla]=G$1)/(Insumos_a_comprar[Planilla]=G$1)*ROW(Insumos_a_comprar[Planilla])-ROW(Insumos_a_comprar[[#Headers],[Planilla]]),ROWS('Insumos a comprar'!$B$5:I128))),"")</f>
        <v/>
      </c>
      <c r="H126" s="29" t="str">
        <f>IF(ROWS('Insumos a comprar'!$B$5:I128)&lt;=COUNTIF(Insumos_a_comprar[Planilla],H$1),INDEX(Insumos_a_comprar[Insumo],_xlfn.AGGREGATE(15,6,(Insumos_a_comprar[Planilla]=H$1)/(Insumos_a_comprar[Planilla]=H$1)*ROW(Insumos_a_comprar[Planilla])-ROW(Insumos_a_comprar[[#Headers],[Planilla]]),ROWS('Insumos a comprar'!$B$5:I128))),"")</f>
        <v/>
      </c>
      <c r="I126" s="30" t="str">
        <f>IF(ROWS('Insumos a comprar'!$B$5:I128)&lt;=COUNTIF(Insumos_a_comprar[Planilla],I$1),INDEX(Insumos_a_comprar[Insumo],_xlfn.AGGREGATE(15,6,(Insumos_a_comprar[Planilla]=I$1)/(Insumos_a_comprar[Planilla]=I$1)*ROW(Insumos_a_comprar[Planilla])-ROW(Insumos_a_comprar[[#Headers],[Planilla]]),ROWS('Insumos a comprar'!$B$5:I128))),"")</f>
        <v/>
      </c>
      <c r="J126" s="30" t="str">
        <f>IF(ROWS('Insumos a comprar'!$B$5:I128)&lt;=COUNTIF(Insumos_a_comprar[Planilla],J$1),INDEX(Insumos_a_comprar[Insumo],_xlfn.AGGREGATE(15,6,(Insumos_a_comprar[Planilla]=J$1)/(Insumos_a_comprar[Planilla]=J$1)*ROW(Insumos_a_comprar[Planilla])-ROW(Insumos_a_comprar[[#Headers],[Planilla]]),ROWS('Insumos a comprar'!$B$5:I128))),"")</f>
        <v/>
      </c>
      <c r="K126" s="30" t="str">
        <f>IF(ROWS('Insumos a comprar'!$B$5:I128)&lt;=COUNTIF(Insumos_a_comprar[Planilla],K$1),INDEX(Insumos_a_comprar[Insumo],_xlfn.AGGREGATE(15,6,(Insumos_a_comprar[Planilla]=K$1)/(Insumos_a_comprar[Planilla]=K$1)*ROW(Insumos_a_comprar[Planilla])-ROW(Insumos_a_comprar[[#Headers],[Planilla]]),ROWS('Insumos a comprar'!$B$5:I128))),"")</f>
        <v/>
      </c>
      <c r="L126" s="30" t="str">
        <f>IF(ROWS('Insumos a comprar'!$B$5:I128)&lt;=COUNTIF(Insumos_a_comprar[Planilla],L$1),INDEX(Insumos_a_comprar[Insumo],_xlfn.AGGREGATE(15,6,(Insumos_a_comprar[Planilla]=L$1)/(Insumos_a_comprar[Planilla]=L$1)*ROW(Insumos_a_comprar[Planilla])-ROW(Insumos_a_comprar[[#Headers],[Planilla]]),ROWS('Insumos a comprar'!$B$5:I128))),"")</f>
        <v/>
      </c>
      <c r="M126" s="30"/>
      <c r="N126" s="30"/>
      <c r="O126" s="30"/>
      <c r="P126" s="30"/>
      <c r="Q126" s="30"/>
    </row>
    <row r="127" spans="1:17" ht="15.75" x14ac:dyDescent="0.25">
      <c r="A127" s="29" t="str">
        <f>IF(ROWS('Insumos a comprar'!$B$5:B129)&lt;=COUNTIF(Insumos_a_comprar[Planilla],A$1),INDEX(Insumos_a_comprar[Insumo],_xlfn.AGGREGATE(15,6,(Insumos_a_comprar[Planilla]=A$1)/(Insumos_a_comprar[Planilla]=A$1)*ROW(Insumos_a_comprar[Planilla])-ROW(Insumos_a_comprar[[#Headers],[Planilla]]),ROWS('Insumos a comprar'!$B$5:B129))),"")</f>
        <v/>
      </c>
      <c r="B127" s="29" t="str">
        <f>IF(ROWS('Insumos a comprar'!$B$5:B129)&lt;=COUNTIF(Insumos_a_comprar[Planilla],B$1),INDEX(Insumos_a_comprar[Insumo],_xlfn.AGGREGATE(15,6,(Insumos_a_comprar[Planilla]=B$1)/(Insumos_a_comprar[Planilla]=B$1)*ROW(Insumos_a_comprar[Planilla])-ROW(Insumos_a_comprar[[#Headers],[Planilla]]),ROWS('Insumos a comprar'!$B$5:B129))),"")</f>
        <v/>
      </c>
      <c r="C127" s="29" t="str">
        <f>IF(ROWS('Insumos a comprar'!$B$5:E129)&lt;=COUNTIF(Insumos_a_comprar[Planilla],C$1),INDEX(Insumos_a_comprar[Insumo],_xlfn.AGGREGATE(15,6,(Insumos_a_comprar[Planilla]=C$1)/(Insumos_a_comprar[Planilla]=C$1)*ROW(Insumos_a_comprar[Planilla])-ROW(Insumos_a_comprar[[#Headers],[Planilla]]),ROWS('Insumos a comprar'!$B$5:E129))),"")</f>
        <v/>
      </c>
      <c r="D127" s="29" t="str">
        <f>IF(ROWS('Insumos a comprar'!$B$5:F129)&lt;=COUNTIF(Insumos_a_comprar[Planilla],D$1),INDEX(Insumos_a_comprar[Insumo],_xlfn.AGGREGATE(15,6,(Insumos_a_comprar[Planilla]=D$1)/(Insumos_a_comprar[Planilla]=D$1)*ROW(Insumos_a_comprar[Planilla])-ROW(Insumos_a_comprar[[#Headers],[Planilla]]),ROWS('Insumos a comprar'!$B$5:F129))),"")</f>
        <v/>
      </c>
      <c r="E127" s="29" t="str">
        <f>IF(ROWS('Insumos a comprar'!$B$5:G129)&lt;=COUNTIF(Insumos_a_comprar[Planilla],E$1),INDEX(Insumos_a_comprar[Insumo],_xlfn.AGGREGATE(15,6,(Insumos_a_comprar[Planilla]=E$1)/(Insumos_a_comprar[Planilla]=E$1)*ROW(Insumos_a_comprar[Planilla])-ROW(Insumos_a_comprar[[#Headers],[Planilla]]),ROWS('Insumos a comprar'!$B$5:G129))),"")</f>
        <v/>
      </c>
      <c r="F127" s="29" t="str">
        <f>IF(ROWS('Insumos a comprar'!$B$5:H129)&lt;=COUNTIF(Insumos_a_comprar[Planilla],F$1),INDEX(Insumos_a_comprar[Insumo],_xlfn.AGGREGATE(15,6,(Insumos_a_comprar[Planilla]=F$1)/(Insumos_a_comprar[Planilla]=F$1)*ROW(Insumos_a_comprar[Planilla])-ROW(Insumos_a_comprar[[#Headers],[Planilla]]),ROWS('Insumos a comprar'!$B$5:H129))),"")</f>
        <v/>
      </c>
      <c r="G127" s="29" t="str">
        <f>IF(ROWS('Insumos a comprar'!$B$5:I129)&lt;=COUNTIF(Insumos_a_comprar[Planilla],G$1),INDEX(Insumos_a_comprar[Insumo],_xlfn.AGGREGATE(15,6,(Insumos_a_comprar[Planilla]=G$1)/(Insumos_a_comprar[Planilla]=G$1)*ROW(Insumos_a_comprar[Planilla])-ROW(Insumos_a_comprar[[#Headers],[Planilla]]),ROWS('Insumos a comprar'!$B$5:I129))),"")</f>
        <v/>
      </c>
      <c r="H127" s="29" t="str">
        <f>IF(ROWS('Insumos a comprar'!$B$5:I129)&lt;=COUNTIF(Insumos_a_comprar[Planilla],H$1),INDEX(Insumos_a_comprar[Insumo],_xlfn.AGGREGATE(15,6,(Insumos_a_comprar[Planilla]=H$1)/(Insumos_a_comprar[Planilla]=H$1)*ROW(Insumos_a_comprar[Planilla])-ROW(Insumos_a_comprar[[#Headers],[Planilla]]),ROWS('Insumos a comprar'!$B$5:I129))),"")</f>
        <v/>
      </c>
      <c r="I127" s="30" t="str">
        <f>IF(ROWS('Insumos a comprar'!$B$5:I129)&lt;=COUNTIF(Insumos_a_comprar[Planilla],I$1),INDEX(Insumos_a_comprar[Insumo],_xlfn.AGGREGATE(15,6,(Insumos_a_comprar[Planilla]=I$1)/(Insumos_a_comprar[Planilla]=I$1)*ROW(Insumos_a_comprar[Planilla])-ROW(Insumos_a_comprar[[#Headers],[Planilla]]),ROWS('Insumos a comprar'!$B$5:I129))),"")</f>
        <v/>
      </c>
      <c r="J127" s="30" t="str">
        <f>IF(ROWS('Insumos a comprar'!$B$5:I129)&lt;=COUNTIF(Insumos_a_comprar[Planilla],J$1),INDEX(Insumos_a_comprar[Insumo],_xlfn.AGGREGATE(15,6,(Insumos_a_comprar[Planilla]=J$1)/(Insumos_a_comprar[Planilla]=J$1)*ROW(Insumos_a_comprar[Planilla])-ROW(Insumos_a_comprar[[#Headers],[Planilla]]),ROWS('Insumos a comprar'!$B$5:I129))),"")</f>
        <v/>
      </c>
      <c r="K127" s="30" t="str">
        <f>IF(ROWS('Insumos a comprar'!$B$5:I129)&lt;=COUNTIF(Insumos_a_comprar[Planilla],K$1),INDEX(Insumos_a_comprar[Insumo],_xlfn.AGGREGATE(15,6,(Insumos_a_comprar[Planilla]=K$1)/(Insumos_a_comprar[Planilla]=K$1)*ROW(Insumos_a_comprar[Planilla])-ROW(Insumos_a_comprar[[#Headers],[Planilla]]),ROWS('Insumos a comprar'!$B$5:I129))),"")</f>
        <v/>
      </c>
      <c r="L127" s="30" t="str">
        <f>IF(ROWS('Insumos a comprar'!$B$5:I129)&lt;=COUNTIF(Insumos_a_comprar[Planilla],L$1),INDEX(Insumos_a_comprar[Insumo],_xlfn.AGGREGATE(15,6,(Insumos_a_comprar[Planilla]=L$1)/(Insumos_a_comprar[Planilla]=L$1)*ROW(Insumos_a_comprar[Planilla])-ROW(Insumos_a_comprar[[#Headers],[Planilla]]),ROWS('Insumos a comprar'!$B$5:I129))),"")</f>
        <v/>
      </c>
      <c r="M127" s="30"/>
      <c r="N127" s="30"/>
      <c r="O127" s="30"/>
      <c r="P127" s="30"/>
      <c r="Q127" s="30"/>
    </row>
    <row r="128" spans="1:17" ht="15.75" x14ac:dyDescent="0.25">
      <c r="A128" s="29" t="str">
        <f>IF(ROWS('Insumos a comprar'!$B$5:B130)&lt;=COUNTIF(Insumos_a_comprar[Planilla],A$1),INDEX(Insumos_a_comprar[Insumo],_xlfn.AGGREGATE(15,6,(Insumos_a_comprar[Planilla]=A$1)/(Insumos_a_comprar[Planilla]=A$1)*ROW(Insumos_a_comprar[Planilla])-ROW(Insumos_a_comprar[[#Headers],[Planilla]]),ROWS('Insumos a comprar'!$B$5:B130))),"")</f>
        <v/>
      </c>
      <c r="B128" s="29" t="str">
        <f>IF(ROWS('Insumos a comprar'!$B$5:B130)&lt;=COUNTIF(Insumos_a_comprar[Planilla],B$1),INDEX(Insumos_a_comprar[Insumo],_xlfn.AGGREGATE(15,6,(Insumos_a_comprar[Planilla]=B$1)/(Insumos_a_comprar[Planilla]=B$1)*ROW(Insumos_a_comprar[Planilla])-ROW(Insumos_a_comprar[[#Headers],[Planilla]]),ROWS('Insumos a comprar'!$B$5:B130))),"")</f>
        <v/>
      </c>
      <c r="C128" s="29" t="str">
        <f>IF(ROWS('Insumos a comprar'!$B$5:E130)&lt;=COUNTIF(Insumos_a_comprar[Planilla],C$1),INDEX(Insumos_a_comprar[Insumo],_xlfn.AGGREGATE(15,6,(Insumos_a_comprar[Planilla]=C$1)/(Insumos_a_comprar[Planilla]=C$1)*ROW(Insumos_a_comprar[Planilla])-ROW(Insumos_a_comprar[[#Headers],[Planilla]]),ROWS('Insumos a comprar'!$B$5:E130))),"")</f>
        <v/>
      </c>
      <c r="D128" s="29" t="str">
        <f>IF(ROWS('Insumos a comprar'!$B$5:F130)&lt;=COUNTIF(Insumos_a_comprar[Planilla],D$1),INDEX(Insumos_a_comprar[Insumo],_xlfn.AGGREGATE(15,6,(Insumos_a_comprar[Planilla]=D$1)/(Insumos_a_comprar[Planilla]=D$1)*ROW(Insumos_a_comprar[Planilla])-ROW(Insumos_a_comprar[[#Headers],[Planilla]]),ROWS('Insumos a comprar'!$B$5:F130))),"")</f>
        <v/>
      </c>
      <c r="E128" s="29" t="str">
        <f>IF(ROWS('Insumos a comprar'!$B$5:G130)&lt;=COUNTIF(Insumos_a_comprar[Planilla],E$1),INDEX(Insumos_a_comprar[Insumo],_xlfn.AGGREGATE(15,6,(Insumos_a_comprar[Planilla]=E$1)/(Insumos_a_comprar[Planilla]=E$1)*ROW(Insumos_a_comprar[Planilla])-ROW(Insumos_a_comprar[[#Headers],[Planilla]]),ROWS('Insumos a comprar'!$B$5:G130))),"")</f>
        <v/>
      </c>
      <c r="F128" s="29" t="str">
        <f>IF(ROWS('Insumos a comprar'!$B$5:H130)&lt;=COUNTIF(Insumos_a_comprar[Planilla],F$1),INDEX(Insumos_a_comprar[Insumo],_xlfn.AGGREGATE(15,6,(Insumos_a_comprar[Planilla]=F$1)/(Insumos_a_comprar[Planilla]=F$1)*ROW(Insumos_a_comprar[Planilla])-ROW(Insumos_a_comprar[[#Headers],[Planilla]]),ROWS('Insumos a comprar'!$B$5:H130))),"")</f>
        <v/>
      </c>
      <c r="G128" s="29" t="str">
        <f>IF(ROWS('Insumos a comprar'!$B$5:I130)&lt;=COUNTIF(Insumos_a_comprar[Planilla],G$1),INDEX(Insumos_a_comprar[Insumo],_xlfn.AGGREGATE(15,6,(Insumos_a_comprar[Planilla]=G$1)/(Insumos_a_comprar[Planilla]=G$1)*ROW(Insumos_a_comprar[Planilla])-ROW(Insumos_a_comprar[[#Headers],[Planilla]]),ROWS('Insumos a comprar'!$B$5:I130))),"")</f>
        <v/>
      </c>
      <c r="H128" s="29" t="str">
        <f>IF(ROWS('Insumos a comprar'!$B$5:I130)&lt;=COUNTIF(Insumos_a_comprar[Planilla],H$1),INDEX(Insumos_a_comprar[Insumo],_xlfn.AGGREGATE(15,6,(Insumos_a_comprar[Planilla]=H$1)/(Insumos_a_comprar[Planilla]=H$1)*ROW(Insumos_a_comprar[Planilla])-ROW(Insumos_a_comprar[[#Headers],[Planilla]]),ROWS('Insumos a comprar'!$B$5:I130))),"")</f>
        <v/>
      </c>
      <c r="I128" s="30" t="str">
        <f>IF(ROWS('Insumos a comprar'!$B$5:I130)&lt;=COUNTIF(Insumos_a_comprar[Planilla],I$1),INDEX(Insumos_a_comprar[Insumo],_xlfn.AGGREGATE(15,6,(Insumos_a_comprar[Planilla]=I$1)/(Insumos_a_comprar[Planilla]=I$1)*ROW(Insumos_a_comprar[Planilla])-ROW(Insumos_a_comprar[[#Headers],[Planilla]]),ROWS('Insumos a comprar'!$B$5:I130))),"")</f>
        <v/>
      </c>
      <c r="J128" s="30" t="str">
        <f>IF(ROWS('Insumos a comprar'!$B$5:I130)&lt;=COUNTIF(Insumos_a_comprar[Planilla],J$1),INDEX(Insumos_a_comprar[Insumo],_xlfn.AGGREGATE(15,6,(Insumos_a_comprar[Planilla]=J$1)/(Insumos_a_comprar[Planilla]=J$1)*ROW(Insumos_a_comprar[Planilla])-ROW(Insumos_a_comprar[[#Headers],[Planilla]]),ROWS('Insumos a comprar'!$B$5:I130))),"")</f>
        <v/>
      </c>
      <c r="K128" s="30" t="str">
        <f>IF(ROWS('Insumos a comprar'!$B$5:I130)&lt;=COUNTIF(Insumos_a_comprar[Planilla],K$1),INDEX(Insumos_a_comprar[Insumo],_xlfn.AGGREGATE(15,6,(Insumos_a_comprar[Planilla]=K$1)/(Insumos_a_comprar[Planilla]=K$1)*ROW(Insumos_a_comprar[Planilla])-ROW(Insumos_a_comprar[[#Headers],[Planilla]]),ROWS('Insumos a comprar'!$B$5:I130))),"")</f>
        <v/>
      </c>
      <c r="L128" s="30" t="str">
        <f>IF(ROWS('Insumos a comprar'!$B$5:I130)&lt;=COUNTIF(Insumos_a_comprar[Planilla],L$1),INDEX(Insumos_a_comprar[Insumo],_xlfn.AGGREGATE(15,6,(Insumos_a_comprar[Planilla]=L$1)/(Insumos_a_comprar[Planilla]=L$1)*ROW(Insumos_a_comprar[Planilla])-ROW(Insumos_a_comprar[[#Headers],[Planilla]]),ROWS('Insumos a comprar'!$B$5:I130))),"")</f>
        <v/>
      </c>
      <c r="M128" s="30"/>
      <c r="N128" s="30"/>
      <c r="O128" s="30"/>
      <c r="P128" s="30"/>
      <c r="Q128" s="30"/>
    </row>
    <row r="129" spans="1:17" ht="15.75" x14ac:dyDescent="0.25">
      <c r="A129" s="29" t="str">
        <f>IF(ROWS('Insumos a comprar'!$B$5:B131)&lt;=COUNTIF(Insumos_a_comprar[Planilla],A$1),INDEX(Insumos_a_comprar[Insumo],_xlfn.AGGREGATE(15,6,(Insumos_a_comprar[Planilla]=A$1)/(Insumos_a_comprar[Planilla]=A$1)*ROW(Insumos_a_comprar[Planilla])-ROW(Insumos_a_comprar[[#Headers],[Planilla]]),ROWS('Insumos a comprar'!$B$5:B131))),"")</f>
        <v/>
      </c>
      <c r="B129" s="29" t="str">
        <f>IF(ROWS('Insumos a comprar'!$B$5:B131)&lt;=COUNTIF(Insumos_a_comprar[Planilla],B$1),INDEX(Insumos_a_comprar[Insumo],_xlfn.AGGREGATE(15,6,(Insumos_a_comprar[Planilla]=B$1)/(Insumos_a_comprar[Planilla]=B$1)*ROW(Insumos_a_comprar[Planilla])-ROW(Insumos_a_comprar[[#Headers],[Planilla]]),ROWS('Insumos a comprar'!$B$5:B131))),"")</f>
        <v/>
      </c>
      <c r="C129" s="29" t="str">
        <f>IF(ROWS('Insumos a comprar'!$B$5:E131)&lt;=COUNTIF(Insumos_a_comprar[Planilla],C$1),INDEX(Insumos_a_comprar[Insumo],_xlfn.AGGREGATE(15,6,(Insumos_a_comprar[Planilla]=C$1)/(Insumos_a_comprar[Planilla]=C$1)*ROW(Insumos_a_comprar[Planilla])-ROW(Insumos_a_comprar[[#Headers],[Planilla]]),ROWS('Insumos a comprar'!$B$5:E131))),"")</f>
        <v/>
      </c>
      <c r="D129" s="29" t="str">
        <f>IF(ROWS('Insumos a comprar'!$B$5:F131)&lt;=COUNTIF(Insumos_a_comprar[Planilla],D$1),INDEX(Insumos_a_comprar[Insumo],_xlfn.AGGREGATE(15,6,(Insumos_a_comprar[Planilla]=D$1)/(Insumos_a_comprar[Planilla]=D$1)*ROW(Insumos_a_comprar[Planilla])-ROW(Insumos_a_comprar[[#Headers],[Planilla]]),ROWS('Insumos a comprar'!$B$5:F131))),"")</f>
        <v/>
      </c>
      <c r="E129" s="29" t="str">
        <f>IF(ROWS('Insumos a comprar'!$B$5:G131)&lt;=COUNTIF(Insumos_a_comprar[Planilla],E$1),INDEX(Insumos_a_comprar[Insumo],_xlfn.AGGREGATE(15,6,(Insumos_a_comprar[Planilla]=E$1)/(Insumos_a_comprar[Planilla]=E$1)*ROW(Insumos_a_comprar[Planilla])-ROW(Insumos_a_comprar[[#Headers],[Planilla]]),ROWS('Insumos a comprar'!$B$5:G131))),"")</f>
        <v/>
      </c>
      <c r="F129" s="29" t="str">
        <f>IF(ROWS('Insumos a comprar'!$B$5:H131)&lt;=COUNTIF(Insumos_a_comprar[Planilla],F$1),INDEX(Insumos_a_comprar[Insumo],_xlfn.AGGREGATE(15,6,(Insumos_a_comprar[Planilla]=F$1)/(Insumos_a_comprar[Planilla]=F$1)*ROW(Insumos_a_comprar[Planilla])-ROW(Insumos_a_comprar[[#Headers],[Planilla]]),ROWS('Insumos a comprar'!$B$5:H131))),"")</f>
        <v/>
      </c>
      <c r="G129" s="29" t="str">
        <f>IF(ROWS('Insumos a comprar'!$B$5:I131)&lt;=COUNTIF(Insumos_a_comprar[Planilla],G$1),INDEX(Insumos_a_comprar[Insumo],_xlfn.AGGREGATE(15,6,(Insumos_a_comprar[Planilla]=G$1)/(Insumos_a_comprar[Planilla]=G$1)*ROW(Insumos_a_comprar[Planilla])-ROW(Insumos_a_comprar[[#Headers],[Planilla]]),ROWS('Insumos a comprar'!$B$5:I131))),"")</f>
        <v/>
      </c>
      <c r="H129" s="29" t="str">
        <f>IF(ROWS('Insumos a comprar'!$B$5:I131)&lt;=COUNTIF(Insumos_a_comprar[Planilla],H$1),INDEX(Insumos_a_comprar[Insumo],_xlfn.AGGREGATE(15,6,(Insumos_a_comprar[Planilla]=H$1)/(Insumos_a_comprar[Planilla]=H$1)*ROW(Insumos_a_comprar[Planilla])-ROW(Insumos_a_comprar[[#Headers],[Planilla]]),ROWS('Insumos a comprar'!$B$5:I131))),"")</f>
        <v/>
      </c>
      <c r="I129" s="30" t="str">
        <f>IF(ROWS('Insumos a comprar'!$B$5:I131)&lt;=COUNTIF(Insumos_a_comprar[Planilla],I$1),INDEX(Insumos_a_comprar[Insumo],_xlfn.AGGREGATE(15,6,(Insumos_a_comprar[Planilla]=I$1)/(Insumos_a_comprar[Planilla]=I$1)*ROW(Insumos_a_comprar[Planilla])-ROW(Insumos_a_comprar[[#Headers],[Planilla]]),ROWS('Insumos a comprar'!$B$5:I131))),"")</f>
        <v/>
      </c>
      <c r="J129" s="30" t="str">
        <f>IF(ROWS('Insumos a comprar'!$B$5:I131)&lt;=COUNTIF(Insumos_a_comprar[Planilla],J$1),INDEX(Insumos_a_comprar[Insumo],_xlfn.AGGREGATE(15,6,(Insumos_a_comprar[Planilla]=J$1)/(Insumos_a_comprar[Planilla]=J$1)*ROW(Insumos_a_comprar[Planilla])-ROW(Insumos_a_comprar[[#Headers],[Planilla]]),ROWS('Insumos a comprar'!$B$5:I131))),"")</f>
        <v/>
      </c>
      <c r="K129" s="30" t="str">
        <f>IF(ROWS('Insumos a comprar'!$B$5:I131)&lt;=COUNTIF(Insumos_a_comprar[Planilla],K$1),INDEX(Insumos_a_comprar[Insumo],_xlfn.AGGREGATE(15,6,(Insumos_a_comprar[Planilla]=K$1)/(Insumos_a_comprar[Planilla]=K$1)*ROW(Insumos_a_comprar[Planilla])-ROW(Insumos_a_comprar[[#Headers],[Planilla]]),ROWS('Insumos a comprar'!$B$5:I131))),"")</f>
        <v/>
      </c>
      <c r="L129" s="30" t="str">
        <f>IF(ROWS('Insumos a comprar'!$B$5:I131)&lt;=COUNTIF(Insumos_a_comprar[Planilla],L$1),INDEX(Insumos_a_comprar[Insumo],_xlfn.AGGREGATE(15,6,(Insumos_a_comprar[Planilla]=L$1)/(Insumos_a_comprar[Planilla]=L$1)*ROW(Insumos_a_comprar[Planilla])-ROW(Insumos_a_comprar[[#Headers],[Planilla]]),ROWS('Insumos a comprar'!$B$5:I131))),"")</f>
        <v/>
      </c>
      <c r="M129" s="30"/>
      <c r="N129" s="30"/>
      <c r="O129" s="30"/>
      <c r="P129" s="30"/>
      <c r="Q129" s="30"/>
    </row>
    <row r="130" spans="1:17" ht="15.75" x14ac:dyDescent="0.25">
      <c r="A130" s="29" t="str">
        <f>IF(ROWS('Insumos a comprar'!$B$5:B132)&lt;=COUNTIF(Insumos_a_comprar[Planilla],A$1),INDEX(Insumos_a_comprar[Insumo],_xlfn.AGGREGATE(15,6,(Insumos_a_comprar[Planilla]=A$1)/(Insumos_a_comprar[Planilla]=A$1)*ROW(Insumos_a_comprar[Planilla])-ROW(Insumos_a_comprar[[#Headers],[Planilla]]),ROWS('Insumos a comprar'!$B$5:B132))),"")</f>
        <v/>
      </c>
      <c r="B130" s="29" t="str">
        <f>IF(ROWS('Insumos a comprar'!$B$5:B132)&lt;=COUNTIF(Insumos_a_comprar[Planilla],B$1),INDEX(Insumos_a_comprar[Insumo],_xlfn.AGGREGATE(15,6,(Insumos_a_comprar[Planilla]=B$1)/(Insumos_a_comprar[Planilla]=B$1)*ROW(Insumos_a_comprar[Planilla])-ROW(Insumos_a_comprar[[#Headers],[Planilla]]),ROWS('Insumos a comprar'!$B$5:B132))),"")</f>
        <v/>
      </c>
      <c r="C130" s="29" t="str">
        <f>IF(ROWS('Insumos a comprar'!$B$5:E132)&lt;=COUNTIF(Insumos_a_comprar[Planilla],C$1),INDEX(Insumos_a_comprar[Insumo],_xlfn.AGGREGATE(15,6,(Insumos_a_comprar[Planilla]=C$1)/(Insumos_a_comprar[Planilla]=C$1)*ROW(Insumos_a_comprar[Planilla])-ROW(Insumos_a_comprar[[#Headers],[Planilla]]),ROWS('Insumos a comprar'!$B$5:E132))),"")</f>
        <v/>
      </c>
      <c r="D130" s="29" t="str">
        <f>IF(ROWS('Insumos a comprar'!$B$5:F132)&lt;=COUNTIF(Insumos_a_comprar[Planilla],D$1),INDEX(Insumos_a_comprar[Insumo],_xlfn.AGGREGATE(15,6,(Insumos_a_comprar[Planilla]=D$1)/(Insumos_a_comprar[Planilla]=D$1)*ROW(Insumos_a_comprar[Planilla])-ROW(Insumos_a_comprar[[#Headers],[Planilla]]),ROWS('Insumos a comprar'!$B$5:F132))),"")</f>
        <v/>
      </c>
      <c r="E130" s="29" t="str">
        <f>IF(ROWS('Insumos a comprar'!$B$5:G132)&lt;=COUNTIF(Insumos_a_comprar[Planilla],E$1),INDEX(Insumos_a_comprar[Insumo],_xlfn.AGGREGATE(15,6,(Insumos_a_comprar[Planilla]=E$1)/(Insumos_a_comprar[Planilla]=E$1)*ROW(Insumos_a_comprar[Planilla])-ROW(Insumos_a_comprar[[#Headers],[Planilla]]),ROWS('Insumos a comprar'!$B$5:G132))),"")</f>
        <v/>
      </c>
      <c r="F130" s="29" t="str">
        <f>IF(ROWS('Insumos a comprar'!$B$5:H132)&lt;=COUNTIF(Insumos_a_comprar[Planilla],F$1),INDEX(Insumos_a_comprar[Insumo],_xlfn.AGGREGATE(15,6,(Insumos_a_comprar[Planilla]=F$1)/(Insumos_a_comprar[Planilla]=F$1)*ROW(Insumos_a_comprar[Planilla])-ROW(Insumos_a_comprar[[#Headers],[Planilla]]),ROWS('Insumos a comprar'!$B$5:H132))),"")</f>
        <v/>
      </c>
      <c r="G130" s="29" t="str">
        <f>IF(ROWS('Insumos a comprar'!$B$5:I132)&lt;=COUNTIF(Insumos_a_comprar[Planilla],G$1),INDEX(Insumos_a_comprar[Insumo],_xlfn.AGGREGATE(15,6,(Insumos_a_comprar[Planilla]=G$1)/(Insumos_a_comprar[Planilla]=G$1)*ROW(Insumos_a_comprar[Planilla])-ROW(Insumos_a_comprar[[#Headers],[Planilla]]),ROWS('Insumos a comprar'!$B$5:I132))),"")</f>
        <v/>
      </c>
      <c r="H130" s="29" t="str">
        <f>IF(ROWS('Insumos a comprar'!$B$5:I132)&lt;=COUNTIF(Insumos_a_comprar[Planilla],H$1),INDEX(Insumos_a_comprar[Insumo],_xlfn.AGGREGATE(15,6,(Insumos_a_comprar[Planilla]=H$1)/(Insumos_a_comprar[Planilla]=H$1)*ROW(Insumos_a_comprar[Planilla])-ROW(Insumos_a_comprar[[#Headers],[Planilla]]),ROWS('Insumos a comprar'!$B$5:I132))),"")</f>
        <v/>
      </c>
      <c r="I130" s="30" t="str">
        <f>IF(ROWS('Insumos a comprar'!$B$5:I132)&lt;=COUNTIF(Insumos_a_comprar[Planilla],I$1),INDEX(Insumos_a_comprar[Insumo],_xlfn.AGGREGATE(15,6,(Insumos_a_comprar[Planilla]=I$1)/(Insumos_a_comprar[Planilla]=I$1)*ROW(Insumos_a_comprar[Planilla])-ROW(Insumos_a_comprar[[#Headers],[Planilla]]),ROWS('Insumos a comprar'!$B$5:I132))),"")</f>
        <v/>
      </c>
      <c r="J130" s="30" t="str">
        <f>IF(ROWS('Insumos a comprar'!$B$5:I132)&lt;=COUNTIF(Insumos_a_comprar[Planilla],J$1),INDEX(Insumos_a_comprar[Insumo],_xlfn.AGGREGATE(15,6,(Insumos_a_comprar[Planilla]=J$1)/(Insumos_a_comprar[Planilla]=J$1)*ROW(Insumos_a_comprar[Planilla])-ROW(Insumos_a_comprar[[#Headers],[Planilla]]),ROWS('Insumos a comprar'!$B$5:I132))),"")</f>
        <v/>
      </c>
      <c r="K130" s="30" t="str">
        <f>IF(ROWS('Insumos a comprar'!$B$5:I132)&lt;=COUNTIF(Insumos_a_comprar[Planilla],K$1),INDEX(Insumos_a_comprar[Insumo],_xlfn.AGGREGATE(15,6,(Insumos_a_comprar[Planilla]=K$1)/(Insumos_a_comprar[Planilla]=K$1)*ROW(Insumos_a_comprar[Planilla])-ROW(Insumos_a_comprar[[#Headers],[Planilla]]),ROWS('Insumos a comprar'!$B$5:I132))),"")</f>
        <v/>
      </c>
      <c r="L130" s="30" t="str">
        <f>IF(ROWS('Insumos a comprar'!$B$5:I132)&lt;=COUNTIF(Insumos_a_comprar[Planilla],L$1),INDEX(Insumos_a_comprar[Insumo],_xlfn.AGGREGATE(15,6,(Insumos_a_comprar[Planilla]=L$1)/(Insumos_a_comprar[Planilla]=L$1)*ROW(Insumos_a_comprar[Planilla])-ROW(Insumos_a_comprar[[#Headers],[Planilla]]),ROWS('Insumos a comprar'!$B$5:I132))),"")</f>
        <v/>
      </c>
      <c r="M130" s="30"/>
      <c r="N130" s="30"/>
      <c r="O130" s="30"/>
      <c r="P130" s="30"/>
      <c r="Q130" s="30"/>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'Estado general'!$A$4:$A$15</xm:f>
          </x14:formula1>
          <xm:sqref>A1:Q1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F43"/>
  <sheetViews>
    <sheetView workbookViewId="0">
      <pane ySplit="2" topLeftCell="A3" activePane="bottomLeft" state="frozen"/>
      <selection pane="bottomLeft" activeCell="C10" sqref="C10"/>
    </sheetView>
  </sheetViews>
  <sheetFormatPr defaultColWidth="9.140625" defaultRowHeight="15" x14ac:dyDescent="0.25"/>
  <cols>
    <col min="1" max="1" width="21.5703125" style="201" customWidth="1"/>
    <col min="2" max="2" width="7.5703125" style="201" bestFit="1" customWidth="1"/>
    <col min="3" max="4" width="50.7109375" style="200" customWidth="1"/>
    <col min="5" max="5" width="12.85546875" style="201" customWidth="1"/>
    <col min="6" max="6" width="17.42578125" style="201" bestFit="1" customWidth="1"/>
    <col min="7" max="16384" width="9.140625" style="199"/>
  </cols>
  <sheetData>
    <row r="1" spans="1:6" x14ac:dyDescent="0.25">
      <c r="A1" s="425" t="s">
        <v>911</v>
      </c>
      <c r="B1" s="426"/>
      <c r="C1" s="426"/>
      <c r="D1" s="426"/>
      <c r="E1" s="426"/>
      <c r="F1" s="427"/>
    </row>
    <row r="2" spans="1:6" x14ac:dyDescent="0.25">
      <c r="A2" s="203" t="s">
        <v>912</v>
      </c>
      <c r="B2" s="203" t="s">
        <v>913</v>
      </c>
      <c r="C2" s="202" t="s">
        <v>914</v>
      </c>
      <c r="D2" s="202" t="s">
        <v>915</v>
      </c>
      <c r="E2" s="204" t="s">
        <v>916</v>
      </c>
      <c r="F2" s="203" t="s">
        <v>917</v>
      </c>
    </row>
    <row r="3" spans="1:6" ht="30" x14ac:dyDescent="0.25">
      <c r="A3" s="201" t="s">
        <v>903</v>
      </c>
      <c r="B3" s="201" t="s">
        <v>909</v>
      </c>
      <c r="C3" s="200" t="s">
        <v>908</v>
      </c>
      <c r="D3" s="200" t="s">
        <v>918</v>
      </c>
      <c r="E3" s="201" t="s">
        <v>910</v>
      </c>
      <c r="F3" s="205">
        <v>43999.76190972222</v>
      </c>
    </row>
    <row r="4" spans="1:6" x14ac:dyDescent="0.25">
      <c r="A4" s="201" t="s">
        <v>903</v>
      </c>
      <c r="B4" s="201" t="s">
        <v>909</v>
      </c>
      <c r="C4" s="200" t="s">
        <v>908</v>
      </c>
      <c r="D4" s="200" t="s">
        <v>921</v>
      </c>
      <c r="E4" s="201" t="s">
        <v>910</v>
      </c>
      <c r="F4" s="205">
        <v>43999.763020833336</v>
      </c>
    </row>
    <row r="5" spans="1:6" x14ac:dyDescent="0.25">
      <c r="A5" s="201" t="s">
        <v>903</v>
      </c>
      <c r="B5" s="201" t="s">
        <v>922</v>
      </c>
      <c r="C5" s="200" t="s">
        <v>919</v>
      </c>
      <c r="D5" s="200" t="s">
        <v>908</v>
      </c>
      <c r="E5" s="201" t="s">
        <v>910</v>
      </c>
      <c r="F5" s="205">
        <v>43999.763043981482</v>
      </c>
    </row>
    <row r="6" spans="1:6" x14ac:dyDescent="0.25">
      <c r="A6" s="201" t="s">
        <v>903</v>
      </c>
      <c r="B6" s="201" t="s">
        <v>923</v>
      </c>
      <c r="C6" s="200" t="s">
        <v>908</v>
      </c>
      <c r="D6" s="200" t="s">
        <v>920</v>
      </c>
      <c r="E6" s="201" t="s">
        <v>910</v>
      </c>
      <c r="F6" s="205">
        <v>43999.763055555559</v>
      </c>
    </row>
    <row r="7" spans="1:6" x14ac:dyDescent="0.25">
      <c r="A7" s="201" t="s">
        <v>903</v>
      </c>
      <c r="B7" s="201" t="s">
        <v>923</v>
      </c>
      <c r="C7" s="200" t="s">
        <v>920</v>
      </c>
      <c r="D7" s="200" t="s">
        <v>908</v>
      </c>
      <c r="E7" s="201" t="s">
        <v>910</v>
      </c>
      <c r="F7" s="205">
        <v>43999.763090277775</v>
      </c>
    </row>
    <row r="8" spans="1:6" x14ac:dyDescent="0.25">
      <c r="A8" s="201" t="s">
        <v>903</v>
      </c>
      <c r="B8" s="201" t="s">
        <v>924</v>
      </c>
      <c r="C8" s="200" t="s">
        <v>921</v>
      </c>
      <c r="E8" s="201" t="s">
        <v>910</v>
      </c>
      <c r="F8" s="205">
        <v>43999.763182870367</v>
      </c>
    </row>
    <row r="9" spans="1:6" x14ac:dyDescent="0.25">
      <c r="A9" s="201" t="s">
        <v>739</v>
      </c>
      <c r="B9" s="201" t="s">
        <v>1060</v>
      </c>
      <c r="D9" s="200" t="s">
        <v>1082</v>
      </c>
      <c r="E9" s="201" t="s">
        <v>910</v>
      </c>
      <c r="F9" s="205">
        <v>44499.729814814818</v>
      </c>
    </row>
    <row r="10" spans="1:6" x14ac:dyDescent="0.25">
      <c r="A10" s="201" t="s">
        <v>739</v>
      </c>
      <c r="B10" s="201" t="s">
        <v>1060</v>
      </c>
      <c r="C10" s="200" t="s">
        <v>1082</v>
      </c>
      <c r="D10" s="200" t="s">
        <v>1083</v>
      </c>
      <c r="E10" s="201" t="s">
        <v>910</v>
      </c>
      <c r="F10" s="205">
        <v>44499.72996527778</v>
      </c>
    </row>
    <row r="11" spans="1:6" x14ac:dyDescent="0.25">
      <c r="A11" s="201" t="s">
        <v>739</v>
      </c>
      <c r="B11" s="201" t="s">
        <v>1060</v>
      </c>
      <c r="C11" s="200" t="s">
        <v>1083</v>
      </c>
      <c r="E11" s="201" t="s">
        <v>910</v>
      </c>
      <c r="F11" s="205">
        <v>44499.730057870373</v>
      </c>
    </row>
    <row r="12" spans="1:6" x14ac:dyDescent="0.25">
      <c r="A12" s="201" t="s">
        <v>739</v>
      </c>
      <c r="B12" s="201" t="s">
        <v>1060</v>
      </c>
      <c r="D12" s="200" t="s">
        <v>1084</v>
      </c>
      <c r="E12" s="201" t="s">
        <v>910</v>
      </c>
      <c r="F12" s="205">
        <v>44499.730405092596</v>
      </c>
    </row>
    <row r="13" spans="1:6" x14ac:dyDescent="0.25">
      <c r="A13" s="201" t="s">
        <v>739</v>
      </c>
      <c r="B13" s="201" t="s">
        <v>927</v>
      </c>
      <c r="D13" s="200" t="s">
        <v>1085</v>
      </c>
      <c r="E13" s="201" t="s">
        <v>910</v>
      </c>
      <c r="F13" s="205">
        <v>44499.730428240742</v>
      </c>
    </row>
    <row r="14" spans="1:6" x14ac:dyDescent="0.25">
      <c r="A14" s="201" t="s">
        <v>739</v>
      </c>
      <c r="B14" s="201" t="s">
        <v>925</v>
      </c>
      <c r="D14" s="200" t="s">
        <v>1086</v>
      </c>
      <c r="E14" s="201" t="s">
        <v>910</v>
      </c>
      <c r="F14" s="205">
        <v>44499.730428240742</v>
      </c>
    </row>
    <row r="15" spans="1:6" x14ac:dyDescent="0.25">
      <c r="A15" s="201" t="s">
        <v>739</v>
      </c>
      <c r="B15" s="201" t="s">
        <v>1087</v>
      </c>
      <c r="D15" s="200" t="s">
        <v>1016</v>
      </c>
      <c r="E15" s="201" t="s">
        <v>910</v>
      </c>
      <c r="F15" s="205">
        <v>44499.730439814812</v>
      </c>
    </row>
    <row r="16" spans="1:6" x14ac:dyDescent="0.25">
      <c r="A16" s="201" t="s">
        <v>739</v>
      </c>
      <c r="B16" s="201" t="s">
        <v>1033</v>
      </c>
      <c r="D16" s="200" t="s">
        <v>1088</v>
      </c>
      <c r="E16" s="201" t="s">
        <v>910</v>
      </c>
      <c r="F16" s="205">
        <v>44499.730439814812</v>
      </c>
    </row>
    <row r="17" spans="1:6" x14ac:dyDescent="0.25">
      <c r="A17" s="201" t="s">
        <v>739</v>
      </c>
      <c r="B17" s="201" t="s">
        <v>1060</v>
      </c>
      <c r="C17" s="200" t="s">
        <v>1084</v>
      </c>
      <c r="D17" s="200" t="s">
        <v>1089</v>
      </c>
      <c r="E17" s="201" t="s">
        <v>910</v>
      </c>
      <c r="F17" s="205">
        <v>44499.730497685188</v>
      </c>
    </row>
    <row r="18" spans="1:6" x14ac:dyDescent="0.25">
      <c r="A18" s="201" t="s">
        <v>739</v>
      </c>
      <c r="B18" s="201" t="s">
        <v>927</v>
      </c>
      <c r="C18" s="200" t="s">
        <v>1085</v>
      </c>
      <c r="D18" s="200" t="s">
        <v>1090</v>
      </c>
      <c r="E18" s="201" t="s">
        <v>910</v>
      </c>
      <c r="F18" s="205">
        <v>44499.730509259258</v>
      </c>
    </row>
    <row r="19" spans="1:6" x14ac:dyDescent="0.25">
      <c r="A19" s="201" t="s">
        <v>739</v>
      </c>
      <c r="B19" s="201" t="s">
        <v>1087</v>
      </c>
      <c r="C19" s="200" t="s">
        <v>1016</v>
      </c>
      <c r="D19" s="200" t="s">
        <v>1091</v>
      </c>
      <c r="E19" s="201" t="s">
        <v>910</v>
      </c>
      <c r="F19" s="205">
        <v>44499.730509259258</v>
      </c>
    </row>
    <row r="20" spans="1:6" x14ac:dyDescent="0.25">
      <c r="A20" s="201" t="s">
        <v>739</v>
      </c>
      <c r="B20" s="201" t="s">
        <v>1033</v>
      </c>
      <c r="C20" s="200" t="s">
        <v>1088</v>
      </c>
      <c r="D20" s="200" t="s">
        <v>1092</v>
      </c>
      <c r="E20" s="201" t="s">
        <v>910</v>
      </c>
      <c r="F20" s="205">
        <v>44499.730520833335</v>
      </c>
    </row>
    <row r="21" spans="1:6" x14ac:dyDescent="0.25">
      <c r="A21" s="201" t="s">
        <v>739</v>
      </c>
      <c r="B21" s="201" t="s">
        <v>1028</v>
      </c>
      <c r="D21" s="200" t="s">
        <v>1093</v>
      </c>
      <c r="E21" s="201" t="s">
        <v>910</v>
      </c>
      <c r="F21" s="205">
        <v>44499.730520833335</v>
      </c>
    </row>
    <row r="22" spans="1:6" x14ac:dyDescent="0.25">
      <c r="A22" s="201" t="s">
        <v>739</v>
      </c>
      <c r="B22" s="201" t="s">
        <v>1060</v>
      </c>
      <c r="C22" s="200" t="s">
        <v>1089</v>
      </c>
      <c r="D22" s="200" t="s">
        <v>1094</v>
      </c>
      <c r="E22" s="201" t="s">
        <v>910</v>
      </c>
      <c r="F22" s="205">
        <v>44499.730555555558</v>
      </c>
    </row>
    <row r="23" spans="1:6" x14ac:dyDescent="0.25">
      <c r="A23" s="201" t="s">
        <v>739</v>
      </c>
      <c r="B23" s="201" t="s">
        <v>927</v>
      </c>
      <c r="C23" s="200" t="s">
        <v>1090</v>
      </c>
      <c r="D23" s="200" t="s">
        <v>1095</v>
      </c>
      <c r="E23" s="201" t="s">
        <v>910</v>
      </c>
      <c r="F23" s="205">
        <v>44499.730555555558</v>
      </c>
    </row>
    <row r="24" spans="1:6" x14ac:dyDescent="0.25">
      <c r="A24" s="201" t="s">
        <v>739</v>
      </c>
      <c r="B24" s="201" t="s">
        <v>925</v>
      </c>
      <c r="C24" s="200" t="s">
        <v>1086</v>
      </c>
      <c r="D24" s="200" t="s">
        <v>1096</v>
      </c>
      <c r="E24" s="201" t="s">
        <v>910</v>
      </c>
      <c r="F24" s="205">
        <v>44499.730567129627</v>
      </c>
    </row>
    <row r="25" spans="1:6" x14ac:dyDescent="0.25">
      <c r="A25" s="201" t="s">
        <v>739</v>
      </c>
      <c r="B25" s="201" t="s">
        <v>1087</v>
      </c>
      <c r="C25" s="200" t="s">
        <v>1091</v>
      </c>
      <c r="D25" s="200" t="s">
        <v>1097</v>
      </c>
      <c r="E25" s="201" t="s">
        <v>910</v>
      </c>
      <c r="F25" s="205">
        <v>44499.730567129627</v>
      </c>
    </row>
    <row r="26" spans="1:6" x14ac:dyDescent="0.25">
      <c r="A26" s="201" t="s">
        <v>739</v>
      </c>
      <c r="B26" s="201" t="s">
        <v>1033</v>
      </c>
      <c r="C26" s="200" t="s">
        <v>1092</v>
      </c>
      <c r="D26" s="200" t="s">
        <v>1098</v>
      </c>
      <c r="E26" s="201" t="s">
        <v>910</v>
      </c>
      <c r="F26" s="205">
        <v>44499.730590277781</v>
      </c>
    </row>
    <row r="27" spans="1:6" x14ac:dyDescent="0.25">
      <c r="A27" s="201" t="s">
        <v>739</v>
      </c>
      <c r="B27" s="201" t="s">
        <v>1028</v>
      </c>
      <c r="C27" s="200" t="s">
        <v>1093</v>
      </c>
      <c r="D27" s="200" t="s">
        <v>1099</v>
      </c>
      <c r="E27" s="201" t="s">
        <v>910</v>
      </c>
      <c r="F27" s="205">
        <v>44499.73060185185</v>
      </c>
    </row>
    <row r="28" spans="1:6" x14ac:dyDescent="0.25">
      <c r="A28" s="201" t="s">
        <v>739</v>
      </c>
      <c r="B28" s="201" t="s">
        <v>1060</v>
      </c>
      <c r="C28" s="200" t="s">
        <v>1094</v>
      </c>
      <c r="D28" s="200" t="s">
        <v>1100</v>
      </c>
      <c r="E28" s="201" t="s">
        <v>910</v>
      </c>
      <c r="F28" s="205">
        <v>44499.730624999997</v>
      </c>
    </row>
    <row r="29" spans="1:6" x14ac:dyDescent="0.25">
      <c r="A29" s="201" t="s">
        <v>739</v>
      </c>
      <c r="B29" s="201" t="s">
        <v>927</v>
      </c>
      <c r="C29" s="200" t="s">
        <v>1095</v>
      </c>
      <c r="D29" s="200" t="s">
        <v>1101</v>
      </c>
      <c r="E29" s="201" t="s">
        <v>910</v>
      </c>
      <c r="F29" s="205">
        <v>44499.730636574073</v>
      </c>
    </row>
    <row r="30" spans="1:6" x14ac:dyDescent="0.25">
      <c r="A30" s="201" t="s">
        <v>739</v>
      </c>
      <c r="B30" s="201" t="s">
        <v>925</v>
      </c>
      <c r="C30" s="200" t="s">
        <v>1096</v>
      </c>
      <c r="D30" s="200" t="s">
        <v>1102</v>
      </c>
      <c r="E30" s="201" t="s">
        <v>910</v>
      </c>
      <c r="F30" s="205">
        <v>44499.73064814815</v>
      </c>
    </row>
    <row r="31" spans="1:6" x14ac:dyDescent="0.25">
      <c r="A31" s="201" t="s">
        <v>739</v>
      </c>
      <c r="B31" s="201" t="s">
        <v>1087</v>
      </c>
      <c r="C31" s="200" t="s">
        <v>1097</v>
      </c>
      <c r="D31" s="200" t="s">
        <v>1103</v>
      </c>
      <c r="E31" s="201" t="s">
        <v>910</v>
      </c>
      <c r="F31" s="205">
        <v>44499.73065972222</v>
      </c>
    </row>
    <row r="32" spans="1:6" x14ac:dyDescent="0.25">
      <c r="A32" s="201" t="s">
        <v>739</v>
      </c>
      <c r="B32" s="201" t="s">
        <v>1033</v>
      </c>
      <c r="C32" s="200" t="s">
        <v>1098</v>
      </c>
      <c r="D32" s="200" t="s">
        <v>1104</v>
      </c>
      <c r="E32" s="201" t="s">
        <v>910</v>
      </c>
      <c r="F32" s="205">
        <v>44499.73065972222</v>
      </c>
    </row>
    <row r="33" spans="1:6" x14ac:dyDescent="0.25">
      <c r="A33" s="201" t="s">
        <v>739</v>
      </c>
      <c r="B33" s="201" t="s">
        <v>1028</v>
      </c>
      <c r="C33" s="200" t="s">
        <v>1099</v>
      </c>
      <c r="D33" s="200" t="s">
        <v>1043</v>
      </c>
      <c r="E33" s="201" t="s">
        <v>910</v>
      </c>
      <c r="F33" s="205">
        <v>44499.730694444443</v>
      </c>
    </row>
    <row r="34" spans="1:6" x14ac:dyDescent="0.25">
      <c r="A34" s="201" t="s">
        <v>739</v>
      </c>
      <c r="B34" s="201" t="s">
        <v>1060</v>
      </c>
      <c r="C34" s="200" t="s">
        <v>1100</v>
      </c>
      <c r="D34" s="200" t="s">
        <v>1105</v>
      </c>
      <c r="E34" s="201" t="s">
        <v>910</v>
      </c>
      <c r="F34" s="205">
        <v>44499.730717592596</v>
      </c>
    </row>
    <row r="35" spans="1:6" x14ac:dyDescent="0.25">
      <c r="A35" s="201" t="s">
        <v>739</v>
      </c>
      <c r="B35" s="201" t="s">
        <v>927</v>
      </c>
      <c r="C35" s="200" t="s">
        <v>1101</v>
      </c>
      <c r="D35" s="200" t="s">
        <v>1106</v>
      </c>
      <c r="E35" s="201" t="s">
        <v>910</v>
      </c>
      <c r="F35" s="205">
        <v>44499.730717592596</v>
      </c>
    </row>
    <row r="36" spans="1:6" x14ac:dyDescent="0.25">
      <c r="A36" s="201" t="s">
        <v>739</v>
      </c>
      <c r="B36" s="201" t="s">
        <v>925</v>
      </c>
      <c r="C36" s="200" t="s">
        <v>1102</v>
      </c>
      <c r="D36" s="200" t="s">
        <v>1107</v>
      </c>
      <c r="E36" s="201" t="s">
        <v>910</v>
      </c>
      <c r="F36" s="205">
        <v>44499.730729166666</v>
      </c>
    </row>
    <row r="37" spans="1:6" x14ac:dyDescent="0.25">
      <c r="A37" s="201" t="s">
        <v>739</v>
      </c>
      <c r="B37" s="201" t="s">
        <v>1087</v>
      </c>
      <c r="C37" s="200" t="s">
        <v>1103</v>
      </c>
      <c r="D37" s="200" t="s">
        <v>1108</v>
      </c>
      <c r="E37" s="201" t="s">
        <v>910</v>
      </c>
      <c r="F37" s="205">
        <v>44499.730740740742</v>
      </c>
    </row>
    <row r="38" spans="1:6" x14ac:dyDescent="0.25">
      <c r="A38" s="201" t="s">
        <v>739</v>
      </c>
      <c r="B38" s="201" t="s">
        <v>1033</v>
      </c>
      <c r="C38" s="200" t="s">
        <v>1104</v>
      </c>
      <c r="E38" s="201" t="s">
        <v>910</v>
      </c>
      <c r="F38" s="205">
        <v>44499.730752314812</v>
      </c>
    </row>
    <row r="39" spans="1:6" x14ac:dyDescent="0.25">
      <c r="A39" s="201" t="s">
        <v>739</v>
      </c>
      <c r="B39" s="201" t="s">
        <v>1028</v>
      </c>
      <c r="C39" s="200" t="s">
        <v>1043</v>
      </c>
      <c r="E39" s="201" t="s">
        <v>910</v>
      </c>
      <c r="F39" s="205">
        <v>44499.730763888889</v>
      </c>
    </row>
    <row r="40" spans="1:6" x14ac:dyDescent="0.25">
      <c r="A40" s="201" t="s">
        <v>739</v>
      </c>
      <c r="B40" s="201" t="s">
        <v>1060</v>
      </c>
      <c r="C40" s="200" t="s">
        <v>1105</v>
      </c>
      <c r="E40" s="201" t="s">
        <v>910</v>
      </c>
      <c r="F40" s="205">
        <v>44499.730775462966</v>
      </c>
    </row>
    <row r="41" spans="1:6" x14ac:dyDescent="0.25">
      <c r="A41" s="201" t="s">
        <v>739</v>
      </c>
      <c r="B41" s="201" t="s">
        <v>927</v>
      </c>
      <c r="C41" s="200" t="s">
        <v>1106</v>
      </c>
      <c r="E41" s="201" t="s">
        <v>910</v>
      </c>
      <c r="F41" s="205">
        <v>44499.730787037035</v>
      </c>
    </row>
    <row r="42" spans="1:6" x14ac:dyDescent="0.25">
      <c r="A42" s="201" t="s">
        <v>739</v>
      </c>
      <c r="B42" s="201" t="s">
        <v>925</v>
      </c>
      <c r="C42" s="200" t="s">
        <v>1107</v>
      </c>
      <c r="E42" s="201" t="s">
        <v>910</v>
      </c>
      <c r="F42" s="205">
        <v>44499.730787037035</v>
      </c>
    </row>
    <row r="43" spans="1:6" x14ac:dyDescent="0.25">
      <c r="A43" s="201" t="s">
        <v>739</v>
      </c>
      <c r="B43" s="201" t="s">
        <v>1087</v>
      </c>
      <c r="C43" s="200" t="s">
        <v>1108</v>
      </c>
      <c r="E43" s="201" t="s">
        <v>910</v>
      </c>
      <c r="F43" s="205">
        <v>44499.730798611112</v>
      </c>
    </row>
  </sheetData>
  <sheetProtection algorithmName="SHA-512" hashValue="IzLv4AgJVj18L13+B5++7Tutr5/fzFKiRxpClBYG3WqIIChVL2ntQfp0ApdfnKga4ykYc7FOgK2VGR0Rk6KlLA==" saltValue="DqG+XSI2hXZ9my7WCBQ9Ew==" spinCount="100000" sheet="1" objects="1" scenarios="1"/>
  <autoFilter ref="A2:F8" xr:uid="{00000000-0009-0000-0000-000001000000}"/>
  <mergeCells count="1">
    <mergeCell ref="A1: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K15"/>
  <sheetViews>
    <sheetView showGridLines="0" tabSelected="1" zoomScaleNormal="100" workbookViewId="0">
      <selection activeCell="B12" sqref="B12"/>
    </sheetView>
  </sheetViews>
  <sheetFormatPr defaultColWidth="11.42578125" defaultRowHeight="12.75" x14ac:dyDescent="0.25"/>
  <cols>
    <col min="1" max="1" width="30.7109375" style="168" bestFit="1" customWidth="1"/>
    <col min="2" max="2" width="16.5703125" style="168" bestFit="1" customWidth="1"/>
    <col min="3" max="3" width="13.85546875" style="168" hidden="1" customWidth="1"/>
    <col min="4" max="5" width="15.7109375" style="168" bestFit="1" customWidth="1"/>
    <col min="6" max="6" width="26.7109375" style="168" customWidth="1"/>
    <col min="7" max="7" width="22.42578125" style="168" customWidth="1"/>
    <col min="8" max="256" width="11.42578125" style="168"/>
    <col min="257" max="257" width="27.7109375" style="168" bestFit="1" customWidth="1"/>
    <col min="258" max="258" width="10.28515625" style="168" customWidth="1"/>
    <col min="259" max="259" width="16" style="168" customWidth="1"/>
    <col min="260" max="260" width="17" style="168" customWidth="1"/>
    <col min="261" max="261" width="13" style="168" customWidth="1"/>
    <col min="262" max="262" width="33.7109375" style="168" customWidth="1"/>
    <col min="263" max="263" width="30.28515625" style="168" customWidth="1"/>
    <col min="264" max="512" width="11.42578125" style="168"/>
    <col min="513" max="513" width="27.7109375" style="168" bestFit="1" customWidth="1"/>
    <col min="514" max="514" width="10.28515625" style="168" customWidth="1"/>
    <col min="515" max="515" width="16" style="168" customWidth="1"/>
    <col min="516" max="516" width="17" style="168" customWidth="1"/>
    <col min="517" max="517" width="13" style="168" customWidth="1"/>
    <col min="518" max="518" width="33.7109375" style="168" customWidth="1"/>
    <col min="519" max="519" width="30.28515625" style="168" customWidth="1"/>
    <col min="520" max="768" width="11.42578125" style="168"/>
    <col min="769" max="769" width="27.7109375" style="168" bestFit="1" customWidth="1"/>
    <col min="770" max="770" width="10.28515625" style="168" customWidth="1"/>
    <col min="771" max="771" width="16" style="168" customWidth="1"/>
    <col min="772" max="772" width="17" style="168" customWidth="1"/>
    <col min="773" max="773" width="13" style="168" customWidth="1"/>
    <col min="774" max="774" width="33.7109375" style="168" customWidth="1"/>
    <col min="775" max="775" width="30.28515625" style="168" customWidth="1"/>
    <col min="776" max="1024" width="11.42578125" style="168"/>
    <col min="1025" max="1025" width="27.7109375" style="168" bestFit="1" customWidth="1"/>
    <col min="1026" max="1026" width="10.28515625" style="168" customWidth="1"/>
    <col min="1027" max="1027" width="16" style="168" customWidth="1"/>
    <col min="1028" max="1028" width="17" style="168" customWidth="1"/>
    <col min="1029" max="1029" width="13" style="168" customWidth="1"/>
    <col min="1030" max="1030" width="33.7109375" style="168" customWidth="1"/>
    <col min="1031" max="1031" width="30.28515625" style="168" customWidth="1"/>
    <col min="1032" max="1280" width="11.42578125" style="168"/>
    <col min="1281" max="1281" width="27.7109375" style="168" bestFit="1" customWidth="1"/>
    <col min="1282" max="1282" width="10.28515625" style="168" customWidth="1"/>
    <col min="1283" max="1283" width="16" style="168" customWidth="1"/>
    <col min="1284" max="1284" width="17" style="168" customWidth="1"/>
    <col min="1285" max="1285" width="13" style="168" customWidth="1"/>
    <col min="1286" max="1286" width="33.7109375" style="168" customWidth="1"/>
    <col min="1287" max="1287" width="30.28515625" style="168" customWidth="1"/>
    <col min="1288" max="1536" width="11.42578125" style="168"/>
    <col min="1537" max="1537" width="27.7109375" style="168" bestFit="1" customWidth="1"/>
    <col min="1538" max="1538" width="10.28515625" style="168" customWidth="1"/>
    <col min="1539" max="1539" width="16" style="168" customWidth="1"/>
    <col min="1540" max="1540" width="17" style="168" customWidth="1"/>
    <col min="1541" max="1541" width="13" style="168" customWidth="1"/>
    <col min="1542" max="1542" width="33.7109375" style="168" customWidth="1"/>
    <col min="1543" max="1543" width="30.28515625" style="168" customWidth="1"/>
    <col min="1544" max="1792" width="11.42578125" style="168"/>
    <col min="1793" max="1793" width="27.7109375" style="168" bestFit="1" customWidth="1"/>
    <col min="1794" max="1794" width="10.28515625" style="168" customWidth="1"/>
    <col min="1795" max="1795" width="16" style="168" customWidth="1"/>
    <col min="1796" max="1796" width="17" style="168" customWidth="1"/>
    <col min="1797" max="1797" width="13" style="168" customWidth="1"/>
    <col min="1798" max="1798" width="33.7109375" style="168" customWidth="1"/>
    <col min="1799" max="1799" width="30.28515625" style="168" customWidth="1"/>
    <col min="1800" max="2048" width="11.42578125" style="168"/>
    <col min="2049" max="2049" width="27.7109375" style="168" bestFit="1" customWidth="1"/>
    <col min="2050" max="2050" width="10.28515625" style="168" customWidth="1"/>
    <col min="2051" max="2051" width="16" style="168" customWidth="1"/>
    <col min="2052" max="2052" width="17" style="168" customWidth="1"/>
    <col min="2053" max="2053" width="13" style="168" customWidth="1"/>
    <col min="2054" max="2054" width="33.7109375" style="168" customWidth="1"/>
    <col min="2055" max="2055" width="30.28515625" style="168" customWidth="1"/>
    <col min="2056" max="2304" width="11.42578125" style="168"/>
    <col min="2305" max="2305" width="27.7109375" style="168" bestFit="1" customWidth="1"/>
    <col min="2306" max="2306" width="10.28515625" style="168" customWidth="1"/>
    <col min="2307" max="2307" width="16" style="168" customWidth="1"/>
    <col min="2308" max="2308" width="17" style="168" customWidth="1"/>
    <col min="2309" max="2309" width="13" style="168" customWidth="1"/>
    <col min="2310" max="2310" width="33.7109375" style="168" customWidth="1"/>
    <col min="2311" max="2311" width="30.28515625" style="168" customWidth="1"/>
    <col min="2312" max="2560" width="11.42578125" style="168"/>
    <col min="2561" max="2561" width="27.7109375" style="168" bestFit="1" customWidth="1"/>
    <col min="2562" max="2562" width="10.28515625" style="168" customWidth="1"/>
    <col min="2563" max="2563" width="16" style="168" customWidth="1"/>
    <col min="2564" max="2564" width="17" style="168" customWidth="1"/>
    <col min="2565" max="2565" width="13" style="168" customWidth="1"/>
    <col min="2566" max="2566" width="33.7109375" style="168" customWidth="1"/>
    <col min="2567" max="2567" width="30.28515625" style="168" customWidth="1"/>
    <col min="2568" max="2816" width="11.42578125" style="168"/>
    <col min="2817" max="2817" width="27.7109375" style="168" bestFit="1" customWidth="1"/>
    <col min="2818" max="2818" width="10.28515625" style="168" customWidth="1"/>
    <col min="2819" max="2819" width="16" style="168" customWidth="1"/>
    <col min="2820" max="2820" width="17" style="168" customWidth="1"/>
    <col min="2821" max="2821" width="13" style="168" customWidth="1"/>
    <col min="2822" max="2822" width="33.7109375" style="168" customWidth="1"/>
    <col min="2823" max="2823" width="30.28515625" style="168" customWidth="1"/>
    <col min="2824" max="3072" width="11.42578125" style="168"/>
    <col min="3073" max="3073" width="27.7109375" style="168" bestFit="1" customWidth="1"/>
    <col min="3074" max="3074" width="10.28515625" style="168" customWidth="1"/>
    <col min="3075" max="3075" width="16" style="168" customWidth="1"/>
    <col min="3076" max="3076" width="17" style="168" customWidth="1"/>
    <col min="3077" max="3077" width="13" style="168" customWidth="1"/>
    <col min="3078" max="3078" width="33.7109375" style="168" customWidth="1"/>
    <col min="3079" max="3079" width="30.28515625" style="168" customWidth="1"/>
    <col min="3080" max="3328" width="11.42578125" style="168"/>
    <col min="3329" max="3329" width="27.7109375" style="168" bestFit="1" customWidth="1"/>
    <col min="3330" max="3330" width="10.28515625" style="168" customWidth="1"/>
    <col min="3331" max="3331" width="16" style="168" customWidth="1"/>
    <col min="3332" max="3332" width="17" style="168" customWidth="1"/>
    <col min="3333" max="3333" width="13" style="168" customWidth="1"/>
    <col min="3334" max="3334" width="33.7109375" style="168" customWidth="1"/>
    <col min="3335" max="3335" width="30.28515625" style="168" customWidth="1"/>
    <col min="3336" max="3584" width="11.42578125" style="168"/>
    <col min="3585" max="3585" width="27.7109375" style="168" bestFit="1" customWidth="1"/>
    <col min="3586" max="3586" width="10.28515625" style="168" customWidth="1"/>
    <col min="3587" max="3587" width="16" style="168" customWidth="1"/>
    <col min="3588" max="3588" width="17" style="168" customWidth="1"/>
    <col min="3589" max="3589" width="13" style="168" customWidth="1"/>
    <col min="3590" max="3590" width="33.7109375" style="168" customWidth="1"/>
    <col min="3591" max="3591" width="30.28515625" style="168" customWidth="1"/>
    <col min="3592" max="3840" width="11.42578125" style="168"/>
    <col min="3841" max="3841" width="27.7109375" style="168" bestFit="1" customWidth="1"/>
    <col min="3842" max="3842" width="10.28515625" style="168" customWidth="1"/>
    <col min="3843" max="3843" width="16" style="168" customWidth="1"/>
    <col min="3844" max="3844" width="17" style="168" customWidth="1"/>
    <col min="3845" max="3845" width="13" style="168" customWidth="1"/>
    <col min="3846" max="3846" width="33.7109375" style="168" customWidth="1"/>
    <col min="3847" max="3847" width="30.28515625" style="168" customWidth="1"/>
    <col min="3848" max="4096" width="11.42578125" style="168"/>
    <col min="4097" max="4097" width="27.7109375" style="168" bestFit="1" customWidth="1"/>
    <col min="4098" max="4098" width="10.28515625" style="168" customWidth="1"/>
    <col min="4099" max="4099" width="16" style="168" customWidth="1"/>
    <col min="4100" max="4100" width="17" style="168" customWidth="1"/>
    <col min="4101" max="4101" width="13" style="168" customWidth="1"/>
    <col min="4102" max="4102" width="33.7109375" style="168" customWidth="1"/>
    <col min="4103" max="4103" width="30.28515625" style="168" customWidth="1"/>
    <col min="4104" max="4352" width="11.42578125" style="168"/>
    <col min="4353" max="4353" width="27.7109375" style="168" bestFit="1" customWidth="1"/>
    <col min="4354" max="4354" width="10.28515625" style="168" customWidth="1"/>
    <col min="4355" max="4355" width="16" style="168" customWidth="1"/>
    <col min="4356" max="4356" width="17" style="168" customWidth="1"/>
    <col min="4357" max="4357" width="13" style="168" customWidth="1"/>
    <col min="4358" max="4358" width="33.7109375" style="168" customWidth="1"/>
    <col min="4359" max="4359" width="30.28515625" style="168" customWidth="1"/>
    <col min="4360" max="4608" width="11.42578125" style="168"/>
    <col min="4609" max="4609" width="27.7109375" style="168" bestFit="1" customWidth="1"/>
    <col min="4610" max="4610" width="10.28515625" style="168" customWidth="1"/>
    <col min="4611" max="4611" width="16" style="168" customWidth="1"/>
    <col min="4612" max="4612" width="17" style="168" customWidth="1"/>
    <col min="4613" max="4613" width="13" style="168" customWidth="1"/>
    <col min="4614" max="4614" width="33.7109375" style="168" customWidth="1"/>
    <col min="4615" max="4615" width="30.28515625" style="168" customWidth="1"/>
    <col min="4616" max="4864" width="11.42578125" style="168"/>
    <col min="4865" max="4865" width="27.7109375" style="168" bestFit="1" customWidth="1"/>
    <col min="4866" max="4866" width="10.28515625" style="168" customWidth="1"/>
    <col min="4867" max="4867" width="16" style="168" customWidth="1"/>
    <col min="4868" max="4868" width="17" style="168" customWidth="1"/>
    <col min="4869" max="4869" width="13" style="168" customWidth="1"/>
    <col min="4870" max="4870" width="33.7109375" style="168" customWidth="1"/>
    <col min="4871" max="4871" width="30.28515625" style="168" customWidth="1"/>
    <col min="4872" max="5120" width="11.42578125" style="168"/>
    <col min="5121" max="5121" width="27.7109375" style="168" bestFit="1" customWidth="1"/>
    <col min="5122" max="5122" width="10.28515625" style="168" customWidth="1"/>
    <col min="5123" max="5123" width="16" style="168" customWidth="1"/>
    <col min="5124" max="5124" width="17" style="168" customWidth="1"/>
    <col min="5125" max="5125" width="13" style="168" customWidth="1"/>
    <col min="5126" max="5126" width="33.7109375" style="168" customWidth="1"/>
    <col min="5127" max="5127" width="30.28515625" style="168" customWidth="1"/>
    <col min="5128" max="5376" width="11.42578125" style="168"/>
    <col min="5377" max="5377" width="27.7109375" style="168" bestFit="1" customWidth="1"/>
    <col min="5378" max="5378" width="10.28515625" style="168" customWidth="1"/>
    <col min="5379" max="5379" width="16" style="168" customWidth="1"/>
    <col min="5380" max="5380" width="17" style="168" customWidth="1"/>
    <col min="5381" max="5381" width="13" style="168" customWidth="1"/>
    <col min="5382" max="5382" width="33.7109375" style="168" customWidth="1"/>
    <col min="5383" max="5383" width="30.28515625" style="168" customWidth="1"/>
    <col min="5384" max="5632" width="11.42578125" style="168"/>
    <col min="5633" max="5633" width="27.7109375" style="168" bestFit="1" customWidth="1"/>
    <col min="5634" max="5634" width="10.28515625" style="168" customWidth="1"/>
    <col min="5635" max="5635" width="16" style="168" customWidth="1"/>
    <col min="5636" max="5636" width="17" style="168" customWidth="1"/>
    <col min="5637" max="5637" width="13" style="168" customWidth="1"/>
    <col min="5638" max="5638" width="33.7109375" style="168" customWidth="1"/>
    <col min="5639" max="5639" width="30.28515625" style="168" customWidth="1"/>
    <col min="5640" max="5888" width="11.42578125" style="168"/>
    <col min="5889" max="5889" width="27.7109375" style="168" bestFit="1" customWidth="1"/>
    <col min="5890" max="5890" width="10.28515625" style="168" customWidth="1"/>
    <col min="5891" max="5891" width="16" style="168" customWidth="1"/>
    <col min="5892" max="5892" width="17" style="168" customWidth="1"/>
    <col min="5893" max="5893" width="13" style="168" customWidth="1"/>
    <col min="5894" max="5894" width="33.7109375" style="168" customWidth="1"/>
    <col min="5895" max="5895" width="30.28515625" style="168" customWidth="1"/>
    <col min="5896" max="6144" width="11.42578125" style="168"/>
    <col min="6145" max="6145" width="27.7109375" style="168" bestFit="1" customWidth="1"/>
    <col min="6146" max="6146" width="10.28515625" style="168" customWidth="1"/>
    <col min="6147" max="6147" width="16" style="168" customWidth="1"/>
    <col min="6148" max="6148" width="17" style="168" customWidth="1"/>
    <col min="6149" max="6149" width="13" style="168" customWidth="1"/>
    <col min="6150" max="6150" width="33.7109375" style="168" customWidth="1"/>
    <col min="6151" max="6151" width="30.28515625" style="168" customWidth="1"/>
    <col min="6152" max="6400" width="11.42578125" style="168"/>
    <col min="6401" max="6401" width="27.7109375" style="168" bestFit="1" customWidth="1"/>
    <col min="6402" max="6402" width="10.28515625" style="168" customWidth="1"/>
    <col min="6403" max="6403" width="16" style="168" customWidth="1"/>
    <col min="6404" max="6404" width="17" style="168" customWidth="1"/>
    <col min="6405" max="6405" width="13" style="168" customWidth="1"/>
    <col min="6406" max="6406" width="33.7109375" style="168" customWidth="1"/>
    <col min="6407" max="6407" width="30.28515625" style="168" customWidth="1"/>
    <col min="6408" max="6656" width="11.42578125" style="168"/>
    <col min="6657" max="6657" width="27.7109375" style="168" bestFit="1" customWidth="1"/>
    <col min="6658" max="6658" width="10.28515625" style="168" customWidth="1"/>
    <col min="6659" max="6659" width="16" style="168" customWidth="1"/>
    <col min="6660" max="6660" width="17" style="168" customWidth="1"/>
    <col min="6661" max="6661" width="13" style="168" customWidth="1"/>
    <col min="6662" max="6662" width="33.7109375" style="168" customWidth="1"/>
    <col min="6663" max="6663" width="30.28515625" style="168" customWidth="1"/>
    <col min="6664" max="6912" width="11.42578125" style="168"/>
    <col min="6913" max="6913" width="27.7109375" style="168" bestFit="1" customWidth="1"/>
    <col min="6914" max="6914" width="10.28515625" style="168" customWidth="1"/>
    <col min="6915" max="6915" width="16" style="168" customWidth="1"/>
    <col min="6916" max="6916" width="17" style="168" customWidth="1"/>
    <col min="6917" max="6917" width="13" style="168" customWidth="1"/>
    <col min="6918" max="6918" width="33.7109375" style="168" customWidth="1"/>
    <col min="6919" max="6919" width="30.28515625" style="168" customWidth="1"/>
    <col min="6920" max="7168" width="11.42578125" style="168"/>
    <col min="7169" max="7169" width="27.7109375" style="168" bestFit="1" customWidth="1"/>
    <col min="7170" max="7170" width="10.28515625" style="168" customWidth="1"/>
    <col min="7171" max="7171" width="16" style="168" customWidth="1"/>
    <col min="7172" max="7172" width="17" style="168" customWidth="1"/>
    <col min="7173" max="7173" width="13" style="168" customWidth="1"/>
    <col min="7174" max="7174" width="33.7109375" style="168" customWidth="1"/>
    <col min="7175" max="7175" width="30.28515625" style="168" customWidth="1"/>
    <col min="7176" max="7424" width="11.42578125" style="168"/>
    <col min="7425" max="7425" width="27.7109375" style="168" bestFit="1" customWidth="1"/>
    <col min="7426" max="7426" width="10.28515625" style="168" customWidth="1"/>
    <col min="7427" max="7427" width="16" style="168" customWidth="1"/>
    <col min="7428" max="7428" width="17" style="168" customWidth="1"/>
    <col min="7429" max="7429" width="13" style="168" customWidth="1"/>
    <col min="7430" max="7430" width="33.7109375" style="168" customWidth="1"/>
    <col min="7431" max="7431" width="30.28515625" style="168" customWidth="1"/>
    <col min="7432" max="7680" width="11.42578125" style="168"/>
    <col min="7681" max="7681" width="27.7109375" style="168" bestFit="1" customWidth="1"/>
    <col min="7682" max="7682" width="10.28515625" style="168" customWidth="1"/>
    <col min="7683" max="7683" width="16" style="168" customWidth="1"/>
    <col min="7684" max="7684" width="17" style="168" customWidth="1"/>
    <col min="7685" max="7685" width="13" style="168" customWidth="1"/>
    <col min="7686" max="7686" width="33.7109375" style="168" customWidth="1"/>
    <col min="7687" max="7687" width="30.28515625" style="168" customWidth="1"/>
    <col min="7688" max="7936" width="11.42578125" style="168"/>
    <col min="7937" max="7937" width="27.7109375" style="168" bestFit="1" customWidth="1"/>
    <col min="7938" max="7938" width="10.28515625" style="168" customWidth="1"/>
    <col min="7939" max="7939" width="16" style="168" customWidth="1"/>
    <col min="7940" max="7940" width="17" style="168" customWidth="1"/>
    <col min="7941" max="7941" width="13" style="168" customWidth="1"/>
    <col min="7942" max="7942" width="33.7109375" style="168" customWidth="1"/>
    <col min="7943" max="7943" width="30.28515625" style="168" customWidth="1"/>
    <col min="7944" max="8192" width="11.42578125" style="168"/>
    <col min="8193" max="8193" width="27.7109375" style="168" bestFit="1" customWidth="1"/>
    <col min="8194" max="8194" width="10.28515625" style="168" customWidth="1"/>
    <col min="8195" max="8195" width="16" style="168" customWidth="1"/>
    <col min="8196" max="8196" width="17" style="168" customWidth="1"/>
    <col min="8197" max="8197" width="13" style="168" customWidth="1"/>
    <col min="8198" max="8198" width="33.7109375" style="168" customWidth="1"/>
    <col min="8199" max="8199" width="30.28515625" style="168" customWidth="1"/>
    <col min="8200" max="8448" width="11.42578125" style="168"/>
    <col min="8449" max="8449" width="27.7109375" style="168" bestFit="1" customWidth="1"/>
    <col min="8450" max="8450" width="10.28515625" style="168" customWidth="1"/>
    <col min="8451" max="8451" width="16" style="168" customWidth="1"/>
    <col min="8452" max="8452" width="17" style="168" customWidth="1"/>
    <col min="8453" max="8453" width="13" style="168" customWidth="1"/>
    <col min="8454" max="8454" width="33.7109375" style="168" customWidth="1"/>
    <col min="8455" max="8455" width="30.28515625" style="168" customWidth="1"/>
    <col min="8456" max="8704" width="11.42578125" style="168"/>
    <col min="8705" max="8705" width="27.7109375" style="168" bestFit="1" customWidth="1"/>
    <col min="8706" max="8706" width="10.28515625" style="168" customWidth="1"/>
    <col min="8707" max="8707" width="16" style="168" customWidth="1"/>
    <col min="8708" max="8708" width="17" style="168" customWidth="1"/>
    <col min="8709" max="8709" width="13" style="168" customWidth="1"/>
    <col min="8710" max="8710" width="33.7109375" style="168" customWidth="1"/>
    <col min="8711" max="8711" width="30.28515625" style="168" customWidth="1"/>
    <col min="8712" max="8960" width="11.42578125" style="168"/>
    <col min="8961" max="8961" width="27.7109375" style="168" bestFit="1" customWidth="1"/>
    <col min="8962" max="8962" width="10.28515625" style="168" customWidth="1"/>
    <col min="8963" max="8963" width="16" style="168" customWidth="1"/>
    <col min="8964" max="8964" width="17" style="168" customWidth="1"/>
    <col min="8965" max="8965" width="13" style="168" customWidth="1"/>
    <col min="8966" max="8966" width="33.7109375" style="168" customWidth="1"/>
    <col min="8967" max="8967" width="30.28515625" style="168" customWidth="1"/>
    <col min="8968" max="9216" width="11.42578125" style="168"/>
    <col min="9217" max="9217" width="27.7109375" style="168" bestFit="1" customWidth="1"/>
    <col min="9218" max="9218" width="10.28515625" style="168" customWidth="1"/>
    <col min="9219" max="9219" width="16" style="168" customWidth="1"/>
    <col min="9220" max="9220" width="17" style="168" customWidth="1"/>
    <col min="9221" max="9221" width="13" style="168" customWidth="1"/>
    <col min="9222" max="9222" width="33.7109375" style="168" customWidth="1"/>
    <col min="9223" max="9223" width="30.28515625" style="168" customWidth="1"/>
    <col min="9224" max="9472" width="11.42578125" style="168"/>
    <col min="9473" max="9473" width="27.7109375" style="168" bestFit="1" customWidth="1"/>
    <col min="9474" max="9474" width="10.28515625" style="168" customWidth="1"/>
    <col min="9475" max="9475" width="16" style="168" customWidth="1"/>
    <col min="9476" max="9476" width="17" style="168" customWidth="1"/>
    <col min="9477" max="9477" width="13" style="168" customWidth="1"/>
    <col min="9478" max="9478" width="33.7109375" style="168" customWidth="1"/>
    <col min="9479" max="9479" width="30.28515625" style="168" customWidth="1"/>
    <col min="9480" max="9728" width="11.42578125" style="168"/>
    <col min="9729" max="9729" width="27.7109375" style="168" bestFit="1" customWidth="1"/>
    <col min="9730" max="9730" width="10.28515625" style="168" customWidth="1"/>
    <col min="9731" max="9731" width="16" style="168" customWidth="1"/>
    <col min="9732" max="9732" width="17" style="168" customWidth="1"/>
    <col min="9733" max="9733" width="13" style="168" customWidth="1"/>
    <col min="9734" max="9734" width="33.7109375" style="168" customWidth="1"/>
    <col min="9735" max="9735" width="30.28515625" style="168" customWidth="1"/>
    <col min="9736" max="9984" width="11.42578125" style="168"/>
    <col min="9985" max="9985" width="27.7109375" style="168" bestFit="1" customWidth="1"/>
    <col min="9986" max="9986" width="10.28515625" style="168" customWidth="1"/>
    <col min="9987" max="9987" width="16" style="168" customWidth="1"/>
    <col min="9988" max="9988" width="17" style="168" customWidth="1"/>
    <col min="9989" max="9989" width="13" style="168" customWidth="1"/>
    <col min="9990" max="9990" width="33.7109375" style="168" customWidth="1"/>
    <col min="9991" max="9991" width="30.28515625" style="168" customWidth="1"/>
    <col min="9992" max="10240" width="11.42578125" style="168"/>
    <col min="10241" max="10241" width="27.7109375" style="168" bestFit="1" customWidth="1"/>
    <col min="10242" max="10242" width="10.28515625" style="168" customWidth="1"/>
    <col min="10243" max="10243" width="16" style="168" customWidth="1"/>
    <col min="10244" max="10244" width="17" style="168" customWidth="1"/>
    <col min="10245" max="10245" width="13" style="168" customWidth="1"/>
    <col min="10246" max="10246" width="33.7109375" style="168" customWidth="1"/>
    <col min="10247" max="10247" width="30.28515625" style="168" customWidth="1"/>
    <col min="10248" max="10496" width="11.42578125" style="168"/>
    <col min="10497" max="10497" width="27.7109375" style="168" bestFit="1" customWidth="1"/>
    <col min="10498" max="10498" width="10.28515625" style="168" customWidth="1"/>
    <col min="10499" max="10499" width="16" style="168" customWidth="1"/>
    <col min="10500" max="10500" width="17" style="168" customWidth="1"/>
    <col min="10501" max="10501" width="13" style="168" customWidth="1"/>
    <col min="10502" max="10502" width="33.7109375" style="168" customWidth="1"/>
    <col min="10503" max="10503" width="30.28515625" style="168" customWidth="1"/>
    <col min="10504" max="10752" width="11.42578125" style="168"/>
    <col min="10753" max="10753" width="27.7109375" style="168" bestFit="1" customWidth="1"/>
    <col min="10754" max="10754" width="10.28515625" style="168" customWidth="1"/>
    <col min="10755" max="10755" width="16" style="168" customWidth="1"/>
    <col min="10756" max="10756" width="17" style="168" customWidth="1"/>
    <col min="10757" max="10757" width="13" style="168" customWidth="1"/>
    <col min="10758" max="10758" width="33.7109375" style="168" customWidth="1"/>
    <col min="10759" max="10759" width="30.28515625" style="168" customWidth="1"/>
    <col min="10760" max="11008" width="11.42578125" style="168"/>
    <col min="11009" max="11009" width="27.7109375" style="168" bestFit="1" customWidth="1"/>
    <col min="11010" max="11010" width="10.28515625" style="168" customWidth="1"/>
    <col min="11011" max="11011" width="16" style="168" customWidth="1"/>
    <col min="11012" max="11012" width="17" style="168" customWidth="1"/>
    <col min="11013" max="11013" width="13" style="168" customWidth="1"/>
    <col min="11014" max="11014" width="33.7109375" style="168" customWidth="1"/>
    <col min="11015" max="11015" width="30.28515625" style="168" customWidth="1"/>
    <col min="11016" max="11264" width="11.42578125" style="168"/>
    <col min="11265" max="11265" width="27.7109375" style="168" bestFit="1" customWidth="1"/>
    <col min="11266" max="11266" width="10.28515625" style="168" customWidth="1"/>
    <col min="11267" max="11267" width="16" style="168" customWidth="1"/>
    <col min="11268" max="11268" width="17" style="168" customWidth="1"/>
    <col min="11269" max="11269" width="13" style="168" customWidth="1"/>
    <col min="11270" max="11270" width="33.7109375" style="168" customWidth="1"/>
    <col min="11271" max="11271" width="30.28515625" style="168" customWidth="1"/>
    <col min="11272" max="11520" width="11.42578125" style="168"/>
    <col min="11521" max="11521" width="27.7109375" style="168" bestFit="1" customWidth="1"/>
    <col min="11522" max="11522" width="10.28515625" style="168" customWidth="1"/>
    <col min="11523" max="11523" width="16" style="168" customWidth="1"/>
    <col min="11524" max="11524" width="17" style="168" customWidth="1"/>
    <col min="11525" max="11525" width="13" style="168" customWidth="1"/>
    <col min="11526" max="11526" width="33.7109375" style="168" customWidth="1"/>
    <col min="11527" max="11527" width="30.28515625" style="168" customWidth="1"/>
    <col min="11528" max="11776" width="11.42578125" style="168"/>
    <col min="11777" max="11777" width="27.7109375" style="168" bestFit="1" customWidth="1"/>
    <col min="11778" max="11778" width="10.28515625" style="168" customWidth="1"/>
    <col min="11779" max="11779" width="16" style="168" customWidth="1"/>
    <col min="11780" max="11780" width="17" style="168" customWidth="1"/>
    <col min="11781" max="11781" width="13" style="168" customWidth="1"/>
    <col min="11782" max="11782" width="33.7109375" style="168" customWidth="1"/>
    <col min="11783" max="11783" width="30.28515625" style="168" customWidth="1"/>
    <col min="11784" max="12032" width="11.42578125" style="168"/>
    <col min="12033" max="12033" width="27.7109375" style="168" bestFit="1" customWidth="1"/>
    <col min="12034" max="12034" width="10.28515625" style="168" customWidth="1"/>
    <col min="12035" max="12035" width="16" style="168" customWidth="1"/>
    <col min="12036" max="12036" width="17" style="168" customWidth="1"/>
    <col min="12037" max="12037" width="13" style="168" customWidth="1"/>
    <col min="12038" max="12038" width="33.7109375" style="168" customWidth="1"/>
    <col min="12039" max="12039" width="30.28515625" style="168" customWidth="1"/>
    <col min="12040" max="12288" width="11.42578125" style="168"/>
    <col min="12289" max="12289" width="27.7109375" style="168" bestFit="1" customWidth="1"/>
    <col min="12290" max="12290" width="10.28515625" style="168" customWidth="1"/>
    <col min="12291" max="12291" width="16" style="168" customWidth="1"/>
    <col min="12292" max="12292" width="17" style="168" customWidth="1"/>
    <col min="12293" max="12293" width="13" style="168" customWidth="1"/>
    <col min="12294" max="12294" width="33.7109375" style="168" customWidth="1"/>
    <col min="12295" max="12295" width="30.28515625" style="168" customWidth="1"/>
    <col min="12296" max="12544" width="11.42578125" style="168"/>
    <col min="12545" max="12545" width="27.7109375" style="168" bestFit="1" customWidth="1"/>
    <col min="12546" max="12546" width="10.28515625" style="168" customWidth="1"/>
    <col min="12547" max="12547" width="16" style="168" customWidth="1"/>
    <col min="12548" max="12548" width="17" style="168" customWidth="1"/>
    <col min="12549" max="12549" width="13" style="168" customWidth="1"/>
    <col min="12550" max="12550" width="33.7109375" style="168" customWidth="1"/>
    <col min="12551" max="12551" width="30.28515625" style="168" customWidth="1"/>
    <col min="12552" max="12800" width="11.42578125" style="168"/>
    <col min="12801" max="12801" width="27.7109375" style="168" bestFit="1" customWidth="1"/>
    <col min="12802" max="12802" width="10.28515625" style="168" customWidth="1"/>
    <col min="12803" max="12803" width="16" style="168" customWidth="1"/>
    <col min="12804" max="12804" width="17" style="168" customWidth="1"/>
    <col min="12805" max="12805" width="13" style="168" customWidth="1"/>
    <col min="12806" max="12806" width="33.7109375" style="168" customWidth="1"/>
    <col min="12807" max="12807" width="30.28515625" style="168" customWidth="1"/>
    <col min="12808" max="13056" width="11.42578125" style="168"/>
    <col min="13057" max="13057" width="27.7109375" style="168" bestFit="1" customWidth="1"/>
    <col min="13058" max="13058" width="10.28515625" style="168" customWidth="1"/>
    <col min="13059" max="13059" width="16" style="168" customWidth="1"/>
    <col min="13060" max="13060" width="17" style="168" customWidth="1"/>
    <col min="13061" max="13061" width="13" style="168" customWidth="1"/>
    <col min="13062" max="13062" width="33.7109375" style="168" customWidth="1"/>
    <col min="13063" max="13063" width="30.28515625" style="168" customWidth="1"/>
    <col min="13064" max="13312" width="11.42578125" style="168"/>
    <col min="13313" max="13313" width="27.7109375" style="168" bestFit="1" customWidth="1"/>
    <col min="13314" max="13314" width="10.28515625" style="168" customWidth="1"/>
    <col min="13315" max="13315" width="16" style="168" customWidth="1"/>
    <col min="13316" max="13316" width="17" style="168" customWidth="1"/>
    <col min="13317" max="13317" width="13" style="168" customWidth="1"/>
    <col min="13318" max="13318" width="33.7109375" style="168" customWidth="1"/>
    <col min="13319" max="13319" width="30.28515625" style="168" customWidth="1"/>
    <col min="13320" max="13568" width="11.42578125" style="168"/>
    <col min="13569" max="13569" width="27.7109375" style="168" bestFit="1" customWidth="1"/>
    <col min="13570" max="13570" width="10.28515625" style="168" customWidth="1"/>
    <col min="13571" max="13571" width="16" style="168" customWidth="1"/>
    <col min="13572" max="13572" width="17" style="168" customWidth="1"/>
    <col min="13573" max="13573" width="13" style="168" customWidth="1"/>
    <col min="13574" max="13574" width="33.7109375" style="168" customWidth="1"/>
    <col min="13575" max="13575" width="30.28515625" style="168" customWidth="1"/>
    <col min="13576" max="13824" width="11.42578125" style="168"/>
    <col min="13825" max="13825" width="27.7109375" style="168" bestFit="1" customWidth="1"/>
    <col min="13826" max="13826" width="10.28515625" style="168" customWidth="1"/>
    <col min="13827" max="13827" width="16" style="168" customWidth="1"/>
    <col min="13828" max="13828" width="17" style="168" customWidth="1"/>
    <col min="13829" max="13829" width="13" style="168" customWidth="1"/>
    <col min="13830" max="13830" width="33.7109375" style="168" customWidth="1"/>
    <col min="13831" max="13831" width="30.28515625" style="168" customWidth="1"/>
    <col min="13832" max="14080" width="11.42578125" style="168"/>
    <col min="14081" max="14081" width="27.7109375" style="168" bestFit="1" customWidth="1"/>
    <col min="14082" max="14082" width="10.28515625" style="168" customWidth="1"/>
    <col min="14083" max="14083" width="16" style="168" customWidth="1"/>
    <col min="14084" max="14084" width="17" style="168" customWidth="1"/>
    <col min="14085" max="14085" width="13" style="168" customWidth="1"/>
    <col min="14086" max="14086" width="33.7109375" style="168" customWidth="1"/>
    <col min="14087" max="14087" width="30.28515625" style="168" customWidth="1"/>
    <col min="14088" max="14336" width="11.42578125" style="168"/>
    <col min="14337" max="14337" width="27.7109375" style="168" bestFit="1" customWidth="1"/>
    <col min="14338" max="14338" width="10.28515625" style="168" customWidth="1"/>
    <col min="14339" max="14339" width="16" style="168" customWidth="1"/>
    <col min="14340" max="14340" width="17" style="168" customWidth="1"/>
    <col min="14341" max="14341" width="13" style="168" customWidth="1"/>
    <col min="14342" max="14342" width="33.7109375" style="168" customWidth="1"/>
    <col min="14343" max="14343" width="30.28515625" style="168" customWidth="1"/>
    <col min="14344" max="14592" width="11.42578125" style="168"/>
    <col min="14593" max="14593" width="27.7109375" style="168" bestFit="1" customWidth="1"/>
    <col min="14594" max="14594" width="10.28515625" style="168" customWidth="1"/>
    <col min="14595" max="14595" width="16" style="168" customWidth="1"/>
    <col min="14596" max="14596" width="17" style="168" customWidth="1"/>
    <col min="14597" max="14597" width="13" style="168" customWidth="1"/>
    <col min="14598" max="14598" width="33.7109375" style="168" customWidth="1"/>
    <col min="14599" max="14599" width="30.28515625" style="168" customWidth="1"/>
    <col min="14600" max="14848" width="11.42578125" style="168"/>
    <col min="14849" max="14849" width="27.7109375" style="168" bestFit="1" customWidth="1"/>
    <col min="14850" max="14850" width="10.28515625" style="168" customWidth="1"/>
    <col min="14851" max="14851" width="16" style="168" customWidth="1"/>
    <col min="14852" max="14852" width="17" style="168" customWidth="1"/>
    <col min="14853" max="14853" width="13" style="168" customWidth="1"/>
    <col min="14854" max="14854" width="33.7109375" style="168" customWidth="1"/>
    <col min="14855" max="14855" width="30.28515625" style="168" customWidth="1"/>
    <col min="14856" max="15104" width="11.42578125" style="168"/>
    <col min="15105" max="15105" width="27.7109375" style="168" bestFit="1" customWidth="1"/>
    <col min="15106" max="15106" width="10.28515625" style="168" customWidth="1"/>
    <col min="15107" max="15107" width="16" style="168" customWidth="1"/>
    <col min="15108" max="15108" width="17" style="168" customWidth="1"/>
    <col min="15109" max="15109" width="13" style="168" customWidth="1"/>
    <col min="15110" max="15110" width="33.7109375" style="168" customWidth="1"/>
    <col min="15111" max="15111" width="30.28515625" style="168" customWidth="1"/>
    <col min="15112" max="15360" width="11.42578125" style="168"/>
    <col min="15361" max="15361" width="27.7109375" style="168" bestFit="1" customWidth="1"/>
    <col min="15362" max="15362" width="10.28515625" style="168" customWidth="1"/>
    <col min="15363" max="15363" width="16" style="168" customWidth="1"/>
    <col min="15364" max="15364" width="17" style="168" customWidth="1"/>
    <col min="15365" max="15365" width="13" style="168" customWidth="1"/>
    <col min="15366" max="15366" width="33.7109375" style="168" customWidth="1"/>
    <col min="15367" max="15367" width="30.28515625" style="168" customWidth="1"/>
    <col min="15368" max="15616" width="11.42578125" style="168"/>
    <col min="15617" max="15617" width="27.7109375" style="168" bestFit="1" customWidth="1"/>
    <col min="15618" max="15618" width="10.28515625" style="168" customWidth="1"/>
    <col min="15619" max="15619" width="16" style="168" customWidth="1"/>
    <col min="15620" max="15620" width="17" style="168" customWidth="1"/>
    <col min="15621" max="15621" width="13" style="168" customWidth="1"/>
    <col min="15622" max="15622" width="33.7109375" style="168" customWidth="1"/>
    <col min="15623" max="15623" width="30.28515625" style="168" customWidth="1"/>
    <col min="15624" max="15872" width="11.42578125" style="168"/>
    <col min="15873" max="15873" width="27.7109375" style="168" bestFit="1" customWidth="1"/>
    <col min="15874" max="15874" width="10.28515625" style="168" customWidth="1"/>
    <col min="15875" max="15875" width="16" style="168" customWidth="1"/>
    <col min="15876" max="15876" width="17" style="168" customWidth="1"/>
    <col min="15877" max="15877" width="13" style="168" customWidth="1"/>
    <col min="15878" max="15878" width="33.7109375" style="168" customWidth="1"/>
    <col min="15879" max="15879" width="30.28515625" style="168" customWidth="1"/>
    <col min="15880" max="16128" width="11.42578125" style="168"/>
    <col min="16129" max="16129" width="27.7109375" style="168" bestFit="1" customWidth="1"/>
    <col min="16130" max="16130" width="10.28515625" style="168" customWidth="1"/>
    <col min="16131" max="16131" width="16" style="168" customWidth="1"/>
    <col min="16132" max="16132" width="17" style="168" customWidth="1"/>
    <col min="16133" max="16133" width="13" style="168" customWidth="1"/>
    <col min="16134" max="16134" width="33.7109375" style="168" customWidth="1"/>
    <col min="16135" max="16135" width="30.28515625" style="168" customWidth="1"/>
    <col min="16136" max="16384" width="11.42578125" style="168"/>
  </cols>
  <sheetData>
    <row r="1" spans="1:11" ht="29.1" customHeight="1" thickBot="1" x14ac:dyDescent="0.3">
      <c r="A1" s="78" t="s">
        <v>467</v>
      </c>
      <c r="B1" s="64">
        <v>44375</v>
      </c>
      <c r="D1" s="79" t="s">
        <v>780</v>
      </c>
      <c r="E1" s="428" t="s">
        <v>460</v>
      </c>
      <c r="F1" s="429"/>
      <c r="G1" s="430"/>
    </row>
    <row r="2" spans="1:11" s="169" customFormat="1" ht="56.25" x14ac:dyDescent="0.25">
      <c r="A2" s="82" t="s">
        <v>59</v>
      </c>
      <c r="B2" s="82" t="s">
        <v>459</v>
      </c>
      <c r="C2" s="82" t="s">
        <v>461</v>
      </c>
      <c r="D2" s="82" t="s">
        <v>4</v>
      </c>
      <c r="E2" s="82" t="s">
        <v>904</v>
      </c>
      <c r="F2" s="82" t="s">
        <v>5</v>
      </c>
      <c r="G2" s="82" t="s">
        <v>391</v>
      </c>
    </row>
    <row r="3" spans="1:11" s="169" customFormat="1" ht="18.75" x14ac:dyDescent="0.25">
      <c r="A3" s="26" t="s">
        <v>903</v>
      </c>
      <c r="B3" s="181">
        <f>B1</f>
        <v>44375</v>
      </c>
      <c r="C3" s="365">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30</v>
      </c>
      <c r="D3" s="182" t="str">
        <f ca="1">IF(Table12[Días hasta vencer]="N/A","Constante",IF(Table12[Fecha de actualización]&lt;=NOW()-Table12[Días hasta vencer],"Vencido",IF(Table12[Fecha de actualización]&lt;=NOW()-(Table12[Días hasta vencer]-8),"Actualizar","Vigente")))</f>
        <v>Vencido</v>
      </c>
      <c r="E3" s="183" t="s">
        <v>456</v>
      </c>
      <c r="F3" s="184"/>
      <c r="G3" s="185" t="s">
        <v>1078</v>
      </c>
    </row>
    <row r="4" spans="1:11" ht="15.75" x14ac:dyDescent="0.25">
      <c r="A4" s="26" t="s">
        <v>443</v>
      </c>
      <c r="B4" s="89">
        <f>'Acidos bases y otros liquidos'!B1</f>
        <v>44272</v>
      </c>
      <c r="C4"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90</v>
      </c>
      <c r="D4" s="70" t="str">
        <f ca="1">IF(Table12[Días hasta vencer]="N/A","Constante",IF(Table12[Fecha de actualización]&lt;=NOW()-Table12[Días hasta vencer],"Vencido",IF(Table12[Fecha de actualización]&lt;=NOW()-(Table12[Días hasta vencer]-8),"Actualizar","Vigente")))</f>
        <v>Vencido</v>
      </c>
      <c r="E4" s="62" t="s">
        <v>453</v>
      </c>
      <c r="F4" s="15"/>
      <c r="G4" s="63" t="s">
        <v>1079</v>
      </c>
    </row>
    <row r="5" spans="1:11" ht="15.75" x14ac:dyDescent="0.25">
      <c r="A5" s="26" t="s">
        <v>739</v>
      </c>
      <c r="B5" s="89">
        <f>Botiquin!B1</f>
        <v>44294</v>
      </c>
      <c r="C5"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90</v>
      </c>
      <c r="D5" s="70" t="str">
        <f ca="1">IF(Table12[Días hasta vencer]="N/A","Constante",IF(Table12[Fecha de actualización]&lt;=NOW()-Table12[Días hasta vencer],"Vencido",IF(Table12[Fecha de actualización]&lt;=NOW()-(Table12[Días hasta vencer]-8),"Actualizar","Vigente")))</f>
        <v>Vencido</v>
      </c>
      <c r="E5" s="62" t="s">
        <v>453</v>
      </c>
      <c r="F5" s="15"/>
      <c r="G5" s="63" t="s">
        <v>1081</v>
      </c>
    </row>
    <row r="6" spans="1:11" ht="15.75" x14ac:dyDescent="0.25">
      <c r="A6" s="26" t="s">
        <v>63</v>
      </c>
      <c r="B6" s="89">
        <f>'CG'!B1</f>
        <v>44277</v>
      </c>
      <c r="C6" s="70" t="str">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N/A</v>
      </c>
      <c r="D6" s="70" t="str">
        <f ca="1">IF(Table12[Días hasta vencer]="N/A","Constante",IF(Table12[Fecha de actualización]&lt;=NOW()-Table12[Días hasta vencer],"Vencido",IF(Table12[Fecha de actualización]&lt;=NOW()-(Table12[Días hasta vencer]-8),"Actualizar","Vigente")))</f>
        <v>Constante</v>
      </c>
      <c r="E6" s="62" t="s">
        <v>457</v>
      </c>
      <c r="F6" s="15" t="s">
        <v>750</v>
      </c>
      <c r="G6" s="63" t="s">
        <v>1080</v>
      </c>
    </row>
    <row r="7" spans="1:11" ht="15.75" x14ac:dyDescent="0.25">
      <c r="A7" s="26" t="s">
        <v>410</v>
      </c>
      <c r="B7" s="89">
        <f>'Gases comprimidos'!B1</f>
        <v>44322</v>
      </c>
      <c r="C7"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15</v>
      </c>
      <c r="D7" s="70" t="str">
        <f ca="1">IF(Table12[Días hasta vencer]="N/A","Constante",IF(Table12[Fecha de actualización]&lt;=NOW()-Table12[Días hasta vencer],"Vencido",IF(Table12[Fecha de actualización]&lt;=NOW()-(Table12[Días hasta vencer]-8),"Actualizar","Vigente")))</f>
        <v>Vencido</v>
      </c>
      <c r="E7" s="62" t="s">
        <v>455</v>
      </c>
      <c r="F7" s="15"/>
      <c r="G7" s="63" t="s">
        <v>1079</v>
      </c>
      <c r="K7" s="170"/>
    </row>
    <row r="8" spans="1:11" ht="31.5" x14ac:dyDescent="0.25">
      <c r="A8" s="26" t="s">
        <v>597</v>
      </c>
      <c r="B8" s="89">
        <f>'Guantes e insumos generales'!B1</f>
        <v>44322</v>
      </c>
      <c r="C8"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30</v>
      </c>
      <c r="D8" s="70" t="str">
        <f ca="1">IF(Table12[Días hasta vencer]="N/A","Constante",IF(Table12[Fecha de actualización]&lt;=NOW()-Table12[Días hasta vencer],"Vencido",IF(Table12[Fecha de actualización]&lt;=NOW()-(Table12[Días hasta vencer]-8),"Actualizar","Vigente")))</f>
        <v>Vencido</v>
      </c>
      <c r="E8" s="62" t="s">
        <v>456</v>
      </c>
      <c r="F8" s="15" t="s">
        <v>926</v>
      </c>
      <c r="G8" s="62" t="s">
        <v>1081</v>
      </c>
    </row>
    <row r="9" spans="1:11" ht="15.75" x14ac:dyDescent="0.25">
      <c r="A9" s="26" t="s">
        <v>594</v>
      </c>
      <c r="B9" s="89">
        <f>'Lamparas  AA '!B1</f>
        <v>44376</v>
      </c>
      <c r="C9" s="70" t="str">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N/A</v>
      </c>
      <c r="D9" s="70" t="str">
        <f ca="1">IF(Table12[Días hasta vencer]="N/A","Constante",IF(Table12[Fecha de actualización]&lt;=NOW()-Table12[Días hasta vencer],"Vencido",IF(Table12[Fecha de actualización]&lt;=NOW()-(Table12[Días hasta vencer]-8),"Actualizar","Vigente")))</f>
        <v>Constante</v>
      </c>
      <c r="E9" s="63" t="s">
        <v>457</v>
      </c>
      <c r="F9" s="15"/>
      <c r="G9" s="63" t="s">
        <v>1079</v>
      </c>
    </row>
    <row r="10" spans="1:11" ht="15.75" x14ac:dyDescent="0.25">
      <c r="A10" s="26" t="s">
        <v>440</v>
      </c>
      <c r="B10" s="89">
        <f>'Material de vidrio'!B1</f>
        <v>44369</v>
      </c>
      <c r="C10" s="70" t="str">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N/A</v>
      </c>
      <c r="D10" s="70" t="str">
        <f ca="1">IF(Table12[Días hasta vencer]="N/A","Constante",IF(Table12[Fecha de actualización]&lt;=NOW()-Table12[Días hasta vencer],"Vencido",IF(Table12[Fecha de actualización]&lt;=NOW()-(Table12[Días hasta vencer]-8),"Actualizar","Vigente")))</f>
        <v>Constante</v>
      </c>
      <c r="E10" s="62" t="s">
        <v>457</v>
      </c>
      <c r="F10" s="15"/>
      <c r="G10" s="63" t="s">
        <v>907</v>
      </c>
    </row>
    <row r="11" spans="1:11" ht="31.5" x14ac:dyDescent="0.25">
      <c r="A11" s="26" t="s">
        <v>400</v>
      </c>
      <c r="B11" s="89">
        <f>'Reactivos HACH'!B1</f>
        <v>44326</v>
      </c>
      <c r="C11"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60</v>
      </c>
      <c r="D11" s="70" t="str">
        <f ca="1">IF(Table12[Días hasta vencer]="N/A","Constante",IF(Table12[Fecha de actualización]&lt;=NOW()-Table12[Días hasta vencer],"Vencido",IF(Table12[Fecha de actualización]&lt;=NOW()-(Table12[Días hasta vencer]-8),"Actualizar","Vigente")))</f>
        <v>Vencido</v>
      </c>
      <c r="E11" s="63" t="s">
        <v>454</v>
      </c>
      <c r="F11" s="15" t="s">
        <v>749</v>
      </c>
      <c r="G11" s="63" t="s">
        <v>1030</v>
      </c>
    </row>
    <row r="12" spans="1:11" ht="47.25" x14ac:dyDescent="0.25">
      <c r="A12" s="26" t="s">
        <v>393</v>
      </c>
      <c r="B12" s="89">
        <f>'Solidos heladera'!C1</f>
        <v>43840</v>
      </c>
      <c r="C12"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150</v>
      </c>
      <c r="D12" s="70" t="str">
        <f ca="1">IF(Table12[Días hasta vencer]="N/A","Constante",IF(Table12[Fecha de actualización]&lt;=NOW()-Table12[Días hasta vencer],"Vencido",IF(Table12[Fecha de actualización]&lt;=NOW()-(Table12[Días hasta vencer]-8),"Actualizar","Vigente")))</f>
        <v>Vencido</v>
      </c>
      <c r="E12" s="62" t="s">
        <v>452</v>
      </c>
      <c r="F12" s="15" t="s">
        <v>1053</v>
      </c>
      <c r="G12" s="63" t="s">
        <v>1030</v>
      </c>
    </row>
    <row r="13" spans="1:11" ht="15.75" x14ac:dyDescent="0.25">
      <c r="A13" s="26" t="s">
        <v>60</v>
      </c>
      <c r="B13" s="89">
        <f>'Solidos mas usados'!C1</f>
        <v>44497</v>
      </c>
      <c r="C13"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90</v>
      </c>
      <c r="D13" s="70" t="str">
        <f ca="1">IF(Table12[Días hasta vencer]="N/A","Constante",IF(Table12[Fecha de actualización]&lt;=NOW()-Table12[Días hasta vencer],"Vencido",IF(Table12[Fecha de actualización]&lt;=NOW()-(Table12[Días hasta vencer]-8),"Actualizar","Vigente")))</f>
        <v>Vigente</v>
      </c>
      <c r="E13" s="62" t="s">
        <v>453</v>
      </c>
      <c r="F13" s="15"/>
      <c r="G13" s="63" t="s">
        <v>1079</v>
      </c>
    </row>
    <row r="14" spans="1:11" ht="15.75" x14ac:dyDescent="0.25">
      <c r="A14" s="26" t="s">
        <v>392</v>
      </c>
      <c r="B14" s="89">
        <f>'Solidos menos usados'!C1</f>
        <v>44271</v>
      </c>
      <c r="C14"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150</v>
      </c>
      <c r="D14" s="70" t="str">
        <f ca="1">IF(Table12[Días hasta vencer]="N/A","Constante",IF(Table12[Fecha de actualización]&lt;=NOW()-Table12[Días hasta vencer],"Vencido",IF(Table12[Fecha de actualización]&lt;=NOW()-(Table12[Días hasta vencer]-8),"Actualizar","Vigente")))</f>
        <v>Vencido</v>
      </c>
      <c r="E14" s="62" t="s">
        <v>452</v>
      </c>
      <c r="F14" s="15"/>
      <c r="G14" s="63" t="s">
        <v>1079</v>
      </c>
    </row>
    <row r="15" spans="1:11" ht="15.75" x14ac:dyDescent="0.25">
      <c r="A15" s="26" t="s">
        <v>398</v>
      </c>
      <c r="B15" s="89">
        <f>Solventes!B1</f>
        <v>44479</v>
      </c>
      <c r="C15" s="70">
        <f>IF(Table12[[#This Row],[Frecuencia de control]]="Permanente","N/A",IF(Table12[[#This Row],[Frecuencia de control]]="Mensual",30,IF(Table12[[#This Row],[Frecuencia de control]]="Bimestral",60,IF(Table12[[#This Row],[Frecuencia de control]]="Trimestral",90,IF(Table12[[#This Row],[Frecuencia de control]]="Cuatrimestral",120,IF(Table12[[#This Row],[Frecuencia de control]]="Semestral",150,IF(Table12[[#This Row],[Frecuencia de control]]="Anual",360,IF(Table12[[#This Row],[Frecuencia de control]]="Quincenal",15,IF(Table12[[#This Row],[Frecuencia de control]]="Semanal",7,"")))))))))</f>
        <v>90</v>
      </c>
      <c r="D15" s="70" t="str">
        <f ca="1">IF(Table12[Días hasta vencer]="N/A","Constante",IF(Table12[Fecha de actualización]&lt;=NOW()-Table12[Días hasta vencer],"Vencido",IF(Table12[Fecha de actualización]&lt;=NOW()-(Table12[Días hasta vencer]-8),"Actualizar","Vigente")))</f>
        <v>Vigente</v>
      </c>
      <c r="E15" s="63" t="s">
        <v>453</v>
      </c>
      <c r="F15" s="15"/>
      <c r="G15" s="63" t="s">
        <v>1080</v>
      </c>
    </row>
  </sheetData>
  <sheetProtection formatColumns="0" formatRows="0" sort="0" autoFilter="0"/>
  <mergeCells count="1">
    <mergeCell ref="E1:G1"/>
  </mergeCells>
  <phoneticPr fontId="2" type="noConversion"/>
  <conditionalFormatting sqref="B3:C15">
    <cfRule type="cellIs" dxfId="27" priority="18" stopIfTrue="1" operator="equal">
      <formula>"Vigente"</formula>
    </cfRule>
    <cfRule type="cellIs" dxfId="26" priority="19" stopIfTrue="1" operator="equal">
      <formula>"Vencido"</formula>
    </cfRule>
  </conditionalFormatting>
  <conditionalFormatting sqref="G3:G15">
    <cfRule type="cellIs" dxfId="25" priority="7" operator="equal">
      <formula>"Analista2"</formula>
    </cfRule>
    <cfRule type="cellIs" dxfId="24" priority="8" operator="equal">
      <formula>"Analista3"</formula>
    </cfRule>
    <cfRule type="cellIs" dxfId="23" priority="9" operator="equal">
      <formula>"Coordinador"</formula>
    </cfRule>
    <cfRule type="cellIs" dxfId="22" priority="10" operator="equal">
      <formula>"Analista1"</formula>
    </cfRule>
    <cfRule type="cellIs" dxfId="21" priority="11" operator="equal">
      <formula>"Analista4"</formula>
    </cfRule>
  </conditionalFormatting>
  <conditionalFormatting sqref="D3:D15">
    <cfRule type="cellIs" dxfId="20" priority="1" operator="equal">
      <formula>"Constante"</formula>
    </cfRule>
    <cfRule type="expression" dxfId="19" priority="51">
      <formula>(NOW()-($C3-7))&lt;$B3</formula>
    </cfRule>
    <cfRule type="expression" dxfId="18" priority="52">
      <formula>$B3&lt;=(NOW()-$C3)</formula>
    </cfRule>
    <cfRule type="expression" dxfId="17" priority="53">
      <formula>$B3&lt;=(NOW()-($C3-8))</formula>
    </cfRule>
  </conditionalFormatting>
  <dataValidations count="1">
    <dataValidation type="list" allowBlank="1" showInputMessage="1" showErrorMessage="1" sqref="E3:E15" xr:uid="{00000000-0002-0000-0200-000000000000}">
      <formula1>"Trimestral, Bimestral, Mensual, Semestral, Quincenal, Permanente, Cuatrimestral"</formula1>
    </dataValidation>
  </dataValidations>
  <hyperlinks>
    <hyperlink ref="A9" location="'Lamparas  AA '!A1" display="Lamparas AA" xr:uid="{00000000-0004-0000-0200-000000000000}"/>
    <hyperlink ref="A15" location="Solventes!A1" display="Solventes" xr:uid="{00000000-0004-0000-0200-000001000000}"/>
    <hyperlink ref="A11" location="'Reactivos  HACH'!A1" display="Reactivos HACH" xr:uid="{00000000-0004-0000-0200-000002000000}"/>
    <hyperlink ref="A4" location="'Acidos bases y otros liquidos'!A1" display="Acidos, bases y otros liquidos" xr:uid="{00000000-0004-0000-0200-000003000000}"/>
    <hyperlink ref="A13" location="'Solidos mas usados'!A1" display="Solidos mas usados" xr:uid="{00000000-0004-0000-0200-000004000000}"/>
    <hyperlink ref="A14" location="'Solidos menos usados'!A1" display="Solidos menos usados" xr:uid="{00000000-0004-0000-0200-000005000000}"/>
    <hyperlink ref="A12" location="'Solidos heladera'!A1" display="Solidos heladera" xr:uid="{00000000-0004-0000-0200-000006000000}"/>
    <hyperlink ref="A7" location="'Gases comprimidos'!A1" display="Gases comprimidos" xr:uid="{00000000-0004-0000-0200-000007000000}"/>
    <hyperlink ref="A8" location="'Guantes e insumos generales'!A1" display="Guantes e insumos generales" xr:uid="{00000000-0004-0000-0200-000008000000}"/>
    <hyperlink ref="A10" location="'Material de vidrio'!A1" display="Material de vidrio" xr:uid="{00000000-0004-0000-0200-000009000000}"/>
    <hyperlink ref="A6" location="'CG'!A1" display="CG" xr:uid="{00000000-0004-0000-0200-00000A000000}"/>
    <hyperlink ref="A5" location="botiquin!A1" display="BOTIQUIN" xr:uid="{00000000-0004-0000-0200-00000B000000}"/>
    <hyperlink ref="D1" location="'Insumos a comprar'!A1" display="A comprar" xr:uid="{00000000-0004-0000-0200-00000C000000}"/>
    <hyperlink ref="A3" location="'Estado general'!A1" display="Estado general" xr:uid="{00000000-0004-0000-0200-00000D000000}"/>
  </hyperlinks>
  <pageMargins left="0.74803149606299213" right="0.74803149606299213" top="0.98425196850393704" bottom="0.98425196850393704" header="0" footer="0"/>
  <pageSetup paperSize="9" scale="96" fitToHeight="0" orientation="landscape" horizontalDpi="300" verticalDpi="300" r:id="rId1"/>
  <headerFooter alignWithMargins="0"/>
  <ignoredErrors>
    <ignoredError sqref="B3:B5 B6:B15"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R467"/>
  <sheetViews>
    <sheetView showGridLines="0" zoomScaleNormal="100" zoomScaleSheetLayoutView="100" workbookViewId="0">
      <pane xSplit="1" ySplit="4" topLeftCell="B83" activePane="bottomRight" state="frozen"/>
      <selection pane="topRight" activeCell="B1" sqref="B1"/>
      <selection pane="bottomLeft" activeCell="A5" sqref="A5"/>
      <selection pane="bottomRight" activeCell="N94" sqref="A92:N94"/>
    </sheetView>
  </sheetViews>
  <sheetFormatPr defaultColWidth="9.140625" defaultRowHeight="15.75" x14ac:dyDescent="0.25"/>
  <cols>
    <col min="1" max="1" width="42.140625" style="5" bestFit="1" customWidth="1"/>
    <col min="2" max="2" width="28" style="2" bestFit="1" customWidth="1"/>
    <col min="3" max="3" width="3.28515625" style="2" customWidth="1"/>
    <col min="4" max="4" width="12.42578125" style="2" customWidth="1"/>
    <col min="5" max="5" width="25.5703125" style="2" customWidth="1"/>
    <col min="6" max="6" width="13.42578125" style="2" customWidth="1"/>
    <col min="7" max="7" width="6.7109375" style="3" customWidth="1"/>
    <col min="8" max="8" width="11.7109375" style="4" customWidth="1"/>
    <col min="9" max="9" width="1.28515625" customWidth="1"/>
    <col min="10" max="10" width="19.85546875" style="2" customWidth="1"/>
    <col min="11" max="11" width="17.28515625" style="1" customWidth="1"/>
    <col min="12" max="12" width="13.140625" bestFit="1" customWidth="1"/>
    <col min="13" max="13" width="15" style="2" bestFit="1" customWidth="1"/>
    <col min="14" max="15" width="15" style="2" customWidth="1"/>
    <col min="16" max="16" width="44.85546875" bestFit="1" customWidth="1"/>
    <col min="18" max="18" width="18.5703125" bestFit="1" customWidth="1"/>
    <col min="19" max="19" width="13.42578125" style="1" bestFit="1" customWidth="1"/>
    <col min="20" max="16384" width="9.140625" style="1"/>
  </cols>
  <sheetData>
    <row r="1" spans="1:18" s="325" customFormat="1" x14ac:dyDescent="0.25">
      <c r="A1" s="321"/>
      <c r="B1" s="322"/>
      <c r="C1" s="322"/>
      <c r="D1" s="322"/>
      <c r="E1" s="322"/>
      <c r="F1" s="322"/>
      <c r="G1" s="321"/>
      <c r="H1" s="323"/>
      <c r="I1" s="324"/>
      <c r="J1" s="322"/>
      <c r="L1" s="324"/>
      <c r="M1" s="322"/>
      <c r="N1" s="322"/>
      <c r="O1" s="322"/>
      <c r="P1" s="324"/>
      <c r="Q1" s="324"/>
      <c r="R1" s="324"/>
    </row>
    <row r="2" spans="1:18" s="325" customFormat="1" x14ac:dyDescent="0.25">
      <c r="A2" s="321"/>
      <c r="B2" s="322"/>
      <c r="C2" s="322"/>
      <c r="D2" s="322"/>
      <c r="E2" s="322"/>
      <c r="F2" s="322"/>
      <c r="G2" s="321"/>
      <c r="H2" s="323"/>
      <c r="I2" s="324"/>
      <c r="J2" s="322"/>
      <c r="L2" s="324"/>
      <c r="M2" s="322"/>
      <c r="N2" s="322"/>
      <c r="O2" s="322"/>
      <c r="P2" s="324"/>
      <c r="Q2" s="324"/>
      <c r="R2" s="324"/>
    </row>
    <row r="3" spans="1:18" s="325" customFormat="1" ht="13.5" customHeight="1" x14ac:dyDescent="0.25">
      <c r="A3" s="321"/>
      <c r="B3" s="322"/>
      <c r="C3" s="322"/>
      <c r="D3" s="322"/>
      <c r="E3" s="322"/>
      <c r="F3" s="322"/>
      <c r="G3" s="321"/>
      <c r="H3" s="323"/>
      <c r="I3" s="324"/>
      <c r="J3" s="322"/>
      <c r="L3" s="324"/>
      <c r="M3" s="322"/>
      <c r="N3" s="322"/>
      <c r="O3" s="322"/>
      <c r="P3" s="324"/>
      <c r="Q3" s="324"/>
      <c r="R3" s="324"/>
    </row>
    <row r="4" spans="1:18" ht="37.5" x14ac:dyDescent="0.25">
      <c r="A4" s="7" t="s">
        <v>260</v>
      </c>
      <c r="B4" s="7" t="s">
        <v>59</v>
      </c>
      <c r="C4" s="60" t="s">
        <v>779</v>
      </c>
      <c r="D4" s="7" t="s">
        <v>409</v>
      </c>
      <c r="E4" s="7" t="s">
        <v>64</v>
      </c>
      <c r="F4" s="8" t="s">
        <v>445</v>
      </c>
      <c r="G4" s="6" t="s">
        <v>65</v>
      </c>
      <c r="H4" s="7" t="s">
        <v>54</v>
      </c>
      <c r="I4" s="9" t="s">
        <v>62</v>
      </c>
      <c r="J4" s="7" t="s">
        <v>592</v>
      </c>
      <c r="K4" s="7" t="s">
        <v>446</v>
      </c>
      <c r="L4" s="7" t="s">
        <v>4</v>
      </c>
      <c r="M4" s="7" t="s">
        <v>656</v>
      </c>
      <c r="N4" s="7" t="s">
        <v>1015</v>
      </c>
      <c r="O4" s="7" t="s">
        <v>1049</v>
      </c>
      <c r="P4" s="7" t="s">
        <v>5</v>
      </c>
      <c r="Q4" s="1"/>
      <c r="R4" s="1"/>
    </row>
    <row r="5" spans="1:18" x14ac:dyDescent="0.25">
      <c r="A5" s="10" t="s">
        <v>102</v>
      </c>
      <c r="B5" s="11" t="s">
        <v>398</v>
      </c>
      <c r="C5" s="61" t="str">
        <f>HYPERLINK("#'"&amp;Insumos_a_comprar[[#This Row],[Planilla]]&amp;"'!D1","Ir")</f>
        <v>Ir</v>
      </c>
      <c r="D5" s="11" t="s">
        <v>463</v>
      </c>
      <c r="E5" s="66" t="s">
        <v>803</v>
      </c>
      <c r="F5" s="67">
        <v>0.5</v>
      </c>
      <c r="G5" s="68" t="s">
        <v>399</v>
      </c>
      <c r="H5" s="72">
        <f ca="1">SUMIF(INDIRECT(SUBSTITUTE(B5," ","_")&amp;"[Insumo]"),Insumos_a_comprar[[#This Row],[Insumo]],INDIRECT(SUBSTITUTE(B5," ","_")&amp;"[Stock]"))</f>
        <v>1.75</v>
      </c>
      <c r="I5" s="69" t="str">
        <f ca="1">IF((Insumos_a_comprar[[#This Row],[Stock actual]]-Insumos_a_comprar[[#This Row],[Stock mínimo]])&lt;0,"Si","No")</f>
        <v>No</v>
      </c>
      <c r="J5" s="67" t="str">
        <f ca="1">INDEX(Table12[Acción],MATCH(Insumos_a_comprar[[#This Row],[Planilla]],Table12[Planilla],0))</f>
        <v>Vigente</v>
      </c>
      <c r="K5" s="71">
        <v>1</v>
      </c>
      <c r="L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 s="65"/>
      <c r="N5" s="65"/>
      <c r="O5" s="65"/>
      <c r="P5" s="178"/>
      <c r="Q5" s="1"/>
      <c r="R5" s="1"/>
    </row>
    <row r="6" spans="1:18" ht="31.5" x14ac:dyDescent="0.25">
      <c r="A6" s="10" t="s">
        <v>104</v>
      </c>
      <c r="B6" s="11" t="s">
        <v>398</v>
      </c>
      <c r="C6" s="61" t="str">
        <f>HYPERLINK("#'"&amp;Insumos_a_comprar[[#This Row],[Planilla]]&amp;"'!D1","Ir")</f>
        <v>Ir</v>
      </c>
      <c r="D6" s="11" t="s">
        <v>463</v>
      </c>
      <c r="E6" s="66" t="s">
        <v>854</v>
      </c>
      <c r="F6" s="67">
        <v>0.1</v>
      </c>
      <c r="G6" s="68" t="s">
        <v>399</v>
      </c>
      <c r="H6" s="72">
        <f ca="1">SUMIF(INDIRECT(SUBSTITUTE(B6," ","_")&amp;"[Insumo]"),Insumos_a_comprar[[#This Row],[Insumo]],INDIRECT(SUBSTITUTE(B6," ","_")&amp;"[Stock]"))</f>
        <v>0.25</v>
      </c>
      <c r="I6" s="69" t="str">
        <f ca="1">IF((Insumos_a_comprar[[#This Row],[Stock actual]]-Insumos_a_comprar[[#This Row],[Stock mínimo]])&lt;0,"Si","No")</f>
        <v>No</v>
      </c>
      <c r="J6" s="67" t="str">
        <f ca="1">INDEX(Table12[Acción],MATCH(Insumos_a_comprar[[#This Row],[Planilla]],Table12[Planilla],0))</f>
        <v>Vigente</v>
      </c>
      <c r="K6" s="71">
        <v>1</v>
      </c>
      <c r="L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 s="65"/>
      <c r="N6" s="65"/>
      <c r="O6" s="65"/>
      <c r="P6" s="178"/>
      <c r="Q6" s="1"/>
      <c r="R6" s="1"/>
    </row>
    <row r="7" spans="1:18" x14ac:dyDescent="0.25">
      <c r="A7" s="10" t="s">
        <v>106</v>
      </c>
      <c r="B7" s="11" t="s">
        <v>398</v>
      </c>
      <c r="C7" s="61" t="str">
        <f>HYPERLINK("#'"&amp;Insumos_a_comprar[[#This Row],[Planilla]]&amp;"'!D1","Ir")</f>
        <v>Ir</v>
      </c>
      <c r="D7" s="11" t="s">
        <v>463</v>
      </c>
      <c r="E7" s="66" t="s">
        <v>854</v>
      </c>
      <c r="F7" s="67">
        <v>0.05</v>
      </c>
      <c r="G7" s="68" t="s">
        <v>399</v>
      </c>
      <c r="H7" s="72">
        <f ca="1">SUMIF(INDIRECT(SUBSTITUTE(B7," ","_")&amp;"[Insumo]"),Insumos_a_comprar[[#This Row],[Insumo]],INDIRECT(SUBSTITUTE(B7," ","_")&amp;"[Stock]"))</f>
        <v>0.1</v>
      </c>
      <c r="I7" s="69" t="str">
        <f ca="1">IF((Insumos_a_comprar[[#This Row],[Stock actual]]-Insumos_a_comprar[[#This Row],[Stock mínimo]])&lt;0,"Si","No")</f>
        <v>No</v>
      </c>
      <c r="J7" s="67" t="str">
        <f ca="1">INDEX(Table12[Acción],MATCH(Insumos_a_comprar[[#This Row],[Planilla]],Table12[Planilla],0))</f>
        <v>Vigente</v>
      </c>
      <c r="K7" s="71">
        <v>1</v>
      </c>
      <c r="L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7" s="65"/>
      <c r="N7" s="65"/>
      <c r="O7" s="65"/>
      <c r="P7" s="178"/>
      <c r="Q7" s="1"/>
      <c r="R7" s="1"/>
    </row>
    <row r="8" spans="1:18" x14ac:dyDescent="0.25">
      <c r="A8" s="10" t="s">
        <v>697</v>
      </c>
      <c r="B8" s="11" t="s">
        <v>398</v>
      </c>
      <c r="C8" s="61" t="str">
        <f>HYPERLINK("#'"&amp;Insumos_a_comprar[[#This Row],[Planilla]]&amp;"'!D1","Ir")</f>
        <v>Ir</v>
      </c>
      <c r="D8" s="11" t="s">
        <v>463</v>
      </c>
      <c r="E8" s="66" t="s">
        <v>854</v>
      </c>
      <c r="F8" s="67">
        <v>0.1</v>
      </c>
      <c r="G8" s="68" t="s">
        <v>399</v>
      </c>
      <c r="H8" s="72">
        <f ca="1">SUMIF(INDIRECT(SUBSTITUTE(B8," ","_")&amp;"[Insumo]"),Insumos_a_comprar[[#This Row],[Insumo]],INDIRECT(SUBSTITUTE(B8," ","_")&amp;"[Stock]"))</f>
        <v>0.8</v>
      </c>
      <c r="I8" s="69" t="str">
        <f ca="1">IF((Insumos_a_comprar[[#This Row],[Stock actual]]-Insumos_a_comprar[[#This Row],[Stock mínimo]])&lt;0,"Si","No")</f>
        <v>No</v>
      </c>
      <c r="J8" s="67" t="str">
        <f ca="1">INDEX(Table12[Acción],MATCH(Insumos_a_comprar[[#This Row],[Planilla]],Table12[Planilla],0))</f>
        <v>Vigente</v>
      </c>
      <c r="K8" s="71">
        <v>1</v>
      </c>
      <c r="L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8" s="65"/>
      <c r="N8" s="65"/>
      <c r="O8" s="65"/>
      <c r="P8" s="178"/>
      <c r="Q8" s="1"/>
      <c r="R8" s="1"/>
    </row>
    <row r="9" spans="1:18" ht="31.5" x14ac:dyDescent="0.25">
      <c r="A9" s="10" t="s">
        <v>108</v>
      </c>
      <c r="B9" s="11" t="s">
        <v>398</v>
      </c>
      <c r="C9" s="61" t="str">
        <f>HYPERLINK("#'"&amp;Insumos_a_comprar[[#This Row],[Planilla]]&amp;"'!D1","Ir")</f>
        <v>Ir</v>
      </c>
      <c r="D9" s="11" t="s">
        <v>464</v>
      </c>
      <c r="E9" s="66" t="s">
        <v>855</v>
      </c>
      <c r="F9" s="67">
        <v>0.2</v>
      </c>
      <c r="G9" s="68" t="s">
        <v>399</v>
      </c>
      <c r="H9" s="72">
        <f ca="1">SUMIF(INDIRECT(SUBSTITUTE(B9," ","_")&amp;"[Insumo]"),Insumos_a_comprar[[#This Row],[Insumo]],INDIRECT(SUBSTITUTE(B9," ","_")&amp;"[Stock]"))</f>
        <v>0.5</v>
      </c>
      <c r="I9" s="69" t="str">
        <f ca="1">IF((Insumos_a_comprar[[#This Row],[Stock actual]]-Insumos_a_comprar[[#This Row],[Stock mínimo]])&lt;0,"Si","No")</f>
        <v>No</v>
      </c>
      <c r="J9" s="67" t="str">
        <f ca="1">INDEX(Table12[Acción],MATCH(Insumos_a_comprar[[#This Row],[Planilla]],Table12[Planilla],0))</f>
        <v>Vigente</v>
      </c>
      <c r="K9" s="71">
        <v>1</v>
      </c>
      <c r="L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 s="65"/>
      <c r="N9" s="65"/>
      <c r="O9" s="65"/>
      <c r="P9" s="178"/>
      <c r="Q9" s="1"/>
      <c r="R9" s="1"/>
    </row>
    <row r="10" spans="1:18" x14ac:dyDescent="0.25">
      <c r="A10" s="10" t="s">
        <v>6</v>
      </c>
      <c r="B10" s="11" t="s">
        <v>60</v>
      </c>
      <c r="C10" s="61" t="str">
        <f>HYPERLINK("#'"&amp;Insumos_a_comprar[[#This Row],[Planilla]]&amp;"'!D1","Ir")</f>
        <v>Ir</v>
      </c>
      <c r="D10" s="11" t="s">
        <v>463</v>
      </c>
      <c r="E10" s="66" t="s">
        <v>804</v>
      </c>
      <c r="F10" s="67">
        <v>10</v>
      </c>
      <c r="G10" s="68" t="s">
        <v>7</v>
      </c>
      <c r="H10" s="66">
        <f ca="1">SUMIF(INDIRECT(SUBSTITUTE(B10," ","_")&amp;"[Insumo]"),Insumos_a_comprar[[#This Row],[Insumo]],INDIRECT(SUBSTITUTE(B10," ","_")&amp;"[Stock]"))</f>
        <v>17</v>
      </c>
      <c r="I10" s="69" t="str">
        <f ca="1">IF((Insumos_a_comprar[[#This Row],[Stock actual]]-Insumos_a_comprar[[#This Row],[Stock mínimo]])&lt;0,"Si","No")</f>
        <v>No</v>
      </c>
      <c r="J10" s="70" t="str">
        <f ca="1">INDEX(Table12[Acción],MATCH(Insumos_a_comprar[[#This Row],[Planilla]],Table12[Planilla],0))</f>
        <v>Vigente</v>
      </c>
      <c r="K10" s="71">
        <v>50</v>
      </c>
      <c r="L1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 s="65"/>
      <c r="N10" s="65"/>
      <c r="O10" s="65"/>
      <c r="P10" s="178"/>
      <c r="Q10" s="1"/>
      <c r="R10" s="1"/>
    </row>
    <row r="11" spans="1:18" x14ac:dyDescent="0.25">
      <c r="A11" s="22" t="s">
        <v>939</v>
      </c>
      <c r="B11" s="23" t="s">
        <v>63</v>
      </c>
      <c r="C11" s="193" t="str">
        <f>HYPERLINK("#'"&amp;Insumos_a_comprar[[#This Row],[Planilla]]&amp;"'!D1","Ir")</f>
        <v>Ir</v>
      </c>
      <c r="D11" s="23" t="s">
        <v>397</v>
      </c>
      <c r="E11" s="73" t="s">
        <v>1009</v>
      </c>
      <c r="F11" s="74">
        <v>1000</v>
      </c>
      <c r="G11" s="75" t="s">
        <v>149</v>
      </c>
      <c r="H11" s="76">
        <f ca="1">SUMIF(INDIRECT(SUBSTITUTE(B11," ","_")&amp;"[Insumo]"),Insumos_a_comprar[[#This Row],[Insumo]],INDIRECT(SUBSTITUTE(B11," ","_")&amp;"[Stock]"))</f>
        <v>2250</v>
      </c>
      <c r="I11" s="194" t="str">
        <f ca="1">IF((Insumos_a_comprar[[#This Row],[Stock actual]]-Insumos_a_comprar[[#This Row],[Stock mínimo]])&lt;0,"Si","No")</f>
        <v>No</v>
      </c>
      <c r="J11" s="77" t="str">
        <f ca="1">INDEX(Table12[Acción],MATCH(Insumos_a_comprar[[#This Row],[Planilla]],Table12[Planilla],0))</f>
        <v>Constante</v>
      </c>
      <c r="K11" s="77">
        <v>1000</v>
      </c>
      <c r="L1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 s="206"/>
      <c r="N11" s="206"/>
      <c r="O11" s="206"/>
      <c r="P11" s="179"/>
      <c r="Q11" s="1"/>
      <c r="R11" s="1"/>
    </row>
    <row r="12" spans="1:18" x14ac:dyDescent="0.25">
      <c r="A12" s="10" t="s">
        <v>681</v>
      </c>
      <c r="B12" s="11" t="s">
        <v>398</v>
      </c>
      <c r="C12" s="61" t="str">
        <f>HYPERLINK("#'"&amp;Insumos_a_comprar[[#This Row],[Planilla]]&amp;"'!D1","Ir")</f>
        <v>Ir</v>
      </c>
      <c r="D12" s="11" t="s">
        <v>463</v>
      </c>
      <c r="E12" s="66" t="s">
        <v>854</v>
      </c>
      <c r="F12" s="67">
        <v>0.05</v>
      </c>
      <c r="G12" s="68" t="s">
        <v>399</v>
      </c>
      <c r="H12" s="72">
        <f ca="1">SUMIF(INDIRECT(SUBSTITUTE(B12," ","_")&amp;"[Insumo]"),Insumos_a_comprar[[#This Row],[Insumo]],INDIRECT(SUBSTITUTE(B12," ","_")&amp;"[Stock]"))</f>
        <v>0.5</v>
      </c>
      <c r="I12" s="69" t="str">
        <f ca="1">IF((Insumos_a_comprar[[#This Row],[Stock actual]]-Insumos_a_comprar[[#This Row],[Stock mínimo]])&lt;0,"Si","No")</f>
        <v>No</v>
      </c>
      <c r="J12" s="67" t="str">
        <f ca="1">INDEX(Table12[Acción],MATCH(Insumos_a_comprar[[#This Row],[Planilla]],Table12[Planilla],0))</f>
        <v>Vigente</v>
      </c>
      <c r="K12" s="71">
        <v>1</v>
      </c>
      <c r="L1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 s="65"/>
      <c r="N12" s="65"/>
      <c r="O12" s="65"/>
      <c r="P12" s="178"/>
      <c r="Q12" s="1"/>
      <c r="R12" s="1"/>
    </row>
    <row r="13" spans="1:18" x14ac:dyDescent="0.25">
      <c r="A13" s="10" t="s">
        <v>109</v>
      </c>
      <c r="B13" s="11" t="s">
        <v>398</v>
      </c>
      <c r="C13" s="61" t="str">
        <f>HYPERLINK("#'"&amp;Insumos_a_comprar[[#This Row],[Planilla]]&amp;"'!D1","Ir")</f>
        <v>Ir</v>
      </c>
      <c r="D13" s="11" t="s">
        <v>465</v>
      </c>
      <c r="E13" s="66" t="s">
        <v>854</v>
      </c>
      <c r="F13" s="67">
        <v>0.2</v>
      </c>
      <c r="G13" s="68" t="s">
        <v>399</v>
      </c>
      <c r="H13" s="72">
        <f ca="1">SUMIF(INDIRECT(SUBSTITUTE(B13," ","_")&amp;"[Insumo]"),Insumos_a_comprar[[#This Row],[Insumo]],INDIRECT(SUBSTITUTE(B13," ","_")&amp;"[Stock]"))</f>
        <v>1</v>
      </c>
      <c r="I13" s="69" t="str">
        <f ca="1">IF((Insumos_a_comprar[[#This Row],[Stock actual]]-Insumos_a_comprar[[#This Row],[Stock mínimo]])&lt;0,"Si","No")</f>
        <v>No</v>
      </c>
      <c r="J13" s="67" t="str">
        <f ca="1">INDEX(Table12[Acción],MATCH(Insumos_a_comprar[[#This Row],[Planilla]],Table12[Planilla],0))</f>
        <v>Vigente</v>
      </c>
      <c r="K13" s="71">
        <v>1</v>
      </c>
      <c r="L1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 s="65"/>
      <c r="N13" s="65"/>
      <c r="O13" s="65"/>
      <c r="P13" s="178"/>
      <c r="Q13" s="1"/>
      <c r="R13" s="1"/>
    </row>
    <row r="14" spans="1:18" x14ac:dyDescent="0.25">
      <c r="A14" s="10" t="s">
        <v>110</v>
      </c>
      <c r="B14" s="11" t="s">
        <v>398</v>
      </c>
      <c r="C14" s="61" t="str">
        <f>HYPERLINK("#'"&amp;Insumos_a_comprar[[#This Row],[Planilla]]&amp;"'!D1","Ir")</f>
        <v>Ir</v>
      </c>
      <c r="D14" s="11" t="s">
        <v>464</v>
      </c>
      <c r="E14" s="66" t="s">
        <v>854</v>
      </c>
      <c r="F14" s="67">
        <v>0.5</v>
      </c>
      <c r="G14" s="68" t="s">
        <v>399</v>
      </c>
      <c r="H14" s="72">
        <f ca="1">SUMIF(INDIRECT(SUBSTITUTE(B14," ","_")&amp;"[Insumo]"),Insumos_a_comprar[[#This Row],[Insumo]],INDIRECT(SUBSTITUTE(B14," ","_")&amp;"[Stock]"))</f>
        <v>1</v>
      </c>
      <c r="I14" s="69" t="str">
        <f ca="1">IF((Insumos_a_comprar[[#This Row],[Stock actual]]-Insumos_a_comprar[[#This Row],[Stock mínimo]])&lt;0,"Si","No")</f>
        <v>No</v>
      </c>
      <c r="J14" s="67" t="str">
        <f ca="1">INDEX(Table12[Acción],MATCH(Insumos_a_comprar[[#This Row],[Planilla]],Table12[Planilla],0))</f>
        <v>Vigente</v>
      </c>
      <c r="K14" s="71">
        <v>1</v>
      </c>
      <c r="L1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 s="65"/>
      <c r="N14" s="65"/>
      <c r="O14" s="65"/>
      <c r="P14" s="178"/>
      <c r="Q14" s="1"/>
      <c r="R14" s="1"/>
    </row>
    <row r="15" spans="1:18" x14ac:dyDescent="0.25">
      <c r="A15" s="10" t="s">
        <v>256</v>
      </c>
      <c r="B15" s="11" t="s">
        <v>410</v>
      </c>
      <c r="C15" s="61" t="str">
        <f>HYPERLINK("#'"&amp;Insumos_a_comprar[[#This Row],[Planilla]]&amp;"'!D1","Ir")</f>
        <v>Ir</v>
      </c>
      <c r="D15" s="11" t="s">
        <v>397</v>
      </c>
      <c r="E15" s="66" t="s">
        <v>416</v>
      </c>
      <c r="F15" s="67">
        <v>100</v>
      </c>
      <c r="G15" s="68" t="s">
        <v>252</v>
      </c>
      <c r="H15" s="72">
        <f ca="1">SUMIF(INDIRECT(SUBSTITUTE(B15," ","_")&amp;"[Insumo]"),Insumos_a_comprar[[#This Row],[Insumo]],INDIRECT(SUBSTITUTE(B15," ","_")&amp;"[Stock]"))</f>
        <v>210</v>
      </c>
      <c r="I15" s="69" t="str">
        <f ca="1">IF((Insumos_a_comprar[[#This Row],[Stock actual]]-Insumos_a_comprar[[#This Row],[Stock mínimo]])&lt;0,"Si","No")</f>
        <v>No</v>
      </c>
      <c r="J15" s="67" t="str">
        <f ca="1">INDEX(Table12[Acción],MATCH(Insumos_a_comprar[[#This Row],[Planilla]],Table12[Planilla],0))</f>
        <v>Vencido</v>
      </c>
      <c r="K15" s="71"/>
      <c r="L1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 s="65"/>
      <c r="N15" s="65"/>
      <c r="O15" s="65"/>
      <c r="P15" s="178"/>
      <c r="Q15" s="1"/>
      <c r="R15" s="1"/>
    </row>
    <row r="16" spans="1:18" x14ac:dyDescent="0.25">
      <c r="A16" s="10" t="s">
        <v>111</v>
      </c>
      <c r="B16" s="11" t="s">
        <v>398</v>
      </c>
      <c r="C16" s="61" t="str">
        <f>HYPERLINK("#'"&amp;Insumos_a_comprar[[#This Row],[Planilla]]&amp;"'!D1","Ir")</f>
        <v>Ir</v>
      </c>
      <c r="D16" s="11" t="s">
        <v>465</v>
      </c>
      <c r="E16" s="66" t="s">
        <v>846</v>
      </c>
      <c r="F16" s="67">
        <v>3</v>
      </c>
      <c r="G16" s="68" t="s">
        <v>399</v>
      </c>
      <c r="H16" s="72">
        <f ca="1">SUMIF(INDIRECT(SUBSTITUTE(B16," ","_")&amp;"[Insumo]"),Insumos_a_comprar[[#This Row],[Insumo]],INDIRECT(SUBSTITUTE(B16," ","_")&amp;"[Stock]"))</f>
        <v>7</v>
      </c>
      <c r="I16" s="69" t="str">
        <f ca="1">IF((Insumos_a_comprar[[#This Row],[Stock actual]]-Insumos_a_comprar[[#This Row],[Stock mínimo]])&lt;0,"Si","No")</f>
        <v>No</v>
      </c>
      <c r="J16" s="67" t="str">
        <f ca="1">INDEX(Table12[Acción],MATCH(Insumos_a_comprar[[#This Row],[Planilla]],Table12[Planilla],0))</f>
        <v>Vigente</v>
      </c>
      <c r="K16" s="71">
        <v>6</v>
      </c>
      <c r="L1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 s="65"/>
      <c r="N16" s="65"/>
      <c r="O16" s="65"/>
      <c r="P16" s="178"/>
      <c r="Q16" s="1"/>
      <c r="R16" s="1"/>
    </row>
    <row r="17" spans="1:18" x14ac:dyDescent="0.25">
      <c r="A17" s="10" t="s">
        <v>112</v>
      </c>
      <c r="B17" s="11" t="s">
        <v>398</v>
      </c>
      <c r="C17" s="61" t="str">
        <f>HYPERLINK("#'"&amp;Insumos_a_comprar[[#This Row],[Planilla]]&amp;"'!D1","Ir")</f>
        <v>Ir</v>
      </c>
      <c r="D17" s="11" t="s">
        <v>463</v>
      </c>
      <c r="E17" s="66" t="s">
        <v>854</v>
      </c>
      <c r="F17" s="67">
        <v>0.5</v>
      </c>
      <c r="G17" s="68" t="s">
        <v>399</v>
      </c>
      <c r="H17" s="72">
        <f ca="1">SUMIF(INDIRECT(SUBSTITUTE(B17," ","_")&amp;"[Insumo]"),Insumos_a_comprar[[#This Row],[Insumo]],INDIRECT(SUBSTITUTE(B17," ","_")&amp;"[Stock]"))</f>
        <v>0.9</v>
      </c>
      <c r="I17" s="69" t="str">
        <f ca="1">IF((Insumos_a_comprar[[#This Row],[Stock actual]]-Insumos_a_comprar[[#This Row],[Stock mínimo]])&lt;0,"Si","No")</f>
        <v>No</v>
      </c>
      <c r="J17" s="67" t="str">
        <f ca="1">INDEX(Table12[Acción],MATCH(Insumos_a_comprar[[#This Row],[Planilla]],Table12[Planilla],0))</f>
        <v>Vigente</v>
      </c>
      <c r="K17" s="71">
        <v>1</v>
      </c>
      <c r="L1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 s="65"/>
      <c r="N17" s="65"/>
      <c r="O17" s="65"/>
      <c r="P17" s="178"/>
      <c r="Q17" s="1"/>
      <c r="R17" s="1"/>
    </row>
    <row r="18" spans="1:18" x14ac:dyDescent="0.25">
      <c r="A18" s="10" t="s">
        <v>191</v>
      </c>
      <c r="B18" s="11" t="s">
        <v>443</v>
      </c>
      <c r="C18" s="61" t="str">
        <f>HYPERLINK("#'"&amp;Insumos_a_comprar[[#This Row],[Planilla]]&amp;"'!D1","Ir")</f>
        <v>Ir</v>
      </c>
      <c r="D18" s="11" t="s">
        <v>465</v>
      </c>
      <c r="E18" s="66" t="s">
        <v>805</v>
      </c>
      <c r="F18" s="67">
        <v>0.5</v>
      </c>
      <c r="G18" s="68" t="s">
        <v>399</v>
      </c>
      <c r="H18" s="72">
        <f ca="1">SUMIF(INDIRECT(SUBSTITUTE(B18," ","_")&amp;"[Insumo]"),Insumos_a_comprar[[#This Row],[Insumo]],INDIRECT(SUBSTITUTE(B18," ","_")&amp;"[Stock]"))</f>
        <v>2.8</v>
      </c>
      <c r="I18" s="69" t="str">
        <f ca="1">IF((Insumos_a_comprar[[#This Row],[Stock actual]]-Insumos_a_comprar[[#This Row],[Stock mínimo]])&lt;0,"Si","No")</f>
        <v>No</v>
      </c>
      <c r="J18" s="67" t="str">
        <f ca="1">INDEX(Table12[Acción],MATCH(Insumos_a_comprar[[#This Row],[Planilla]],Table12[Planilla],0))</f>
        <v>Vencido</v>
      </c>
      <c r="K18" s="71"/>
      <c r="L1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 s="65"/>
      <c r="N18" s="65"/>
      <c r="O18" s="65"/>
      <c r="P18" s="178"/>
      <c r="Q18" s="1"/>
      <c r="R18" s="1"/>
    </row>
    <row r="19" spans="1:18" x14ac:dyDescent="0.25">
      <c r="A19" s="10" t="s">
        <v>8</v>
      </c>
      <c r="B19" s="11" t="s">
        <v>60</v>
      </c>
      <c r="C19" s="61" t="str">
        <f>HYPERLINK("#'"&amp;Insumos_a_comprar[[#This Row],[Planilla]]&amp;"'!D1","Ir")</f>
        <v>Ir</v>
      </c>
      <c r="D19" s="11" t="s">
        <v>463</v>
      </c>
      <c r="E19" s="66"/>
      <c r="F19" s="67">
        <v>50</v>
      </c>
      <c r="G19" s="68" t="s">
        <v>7</v>
      </c>
      <c r="H19" s="66">
        <f ca="1">SUMIF(INDIRECT(SUBSTITUTE(B19," ","_")&amp;"[Insumo]"),Insumos_a_comprar[[#This Row],[Insumo]],INDIRECT(SUBSTITUTE(B19," ","_")&amp;"[Stock]"))</f>
        <v>100</v>
      </c>
      <c r="I19" s="69" t="str">
        <f ca="1">IF((Insumos_a_comprar[[#This Row],[Stock actual]]-Insumos_a_comprar[[#This Row],[Stock mínimo]])&lt;0,"Si","No")</f>
        <v>No</v>
      </c>
      <c r="J19" s="67" t="str">
        <f ca="1">INDEX(Table12[Acción],MATCH(Insumos_a_comprar[[#This Row],[Planilla]],Table12[Planilla],0))</f>
        <v>Vigente</v>
      </c>
      <c r="K19" s="71">
        <v>50</v>
      </c>
      <c r="L1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 s="65"/>
      <c r="N19" s="65"/>
      <c r="O19" s="65"/>
      <c r="P19" s="178"/>
      <c r="Q19" s="1"/>
      <c r="R19" s="1"/>
    </row>
    <row r="20" spans="1:18" x14ac:dyDescent="0.25">
      <c r="A20" s="13" t="s">
        <v>198</v>
      </c>
      <c r="B20" s="11" t="s">
        <v>392</v>
      </c>
      <c r="C20" s="61" t="str">
        <f>HYPERLINK("#'"&amp;Insumos_a_comprar[[#This Row],[Planilla]]&amp;"'!D1","Ir")</f>
        <v>Ir</v>
      </c>
      <c r="D20" s="11" t="s">
        <v>463</v>
      </c>
      <c r="E20" s="66"/>
      <c r="F20" s="67">
        <v>10</v>
      </c>
      <c r="G20" s="68" t="s">
        <v>7</v>
      </c>
      <c r="H20" s="72">
        <f ca="1">SUMIF(INDIRECT(SUBSTITUTE(B20," ","_")&amp;"[Insumo]"),Insumos_a_comprar[[#This Row],[Insumo]],INDIRECT(SUBSTITUTE(B20," ","_")&amp;"[Stock]"))</f>
        <v>700</v>
      </c>
      <c r="I20" s="69" t="str">
        <f ca="1">IF((Insumos_a_comprar[[#This Row],[Stock actual]]-Insumos_a_comprar[[#This Row],[Stock mínimo]])&lt;0,"Si","No")</f>
        <v>No</v>
      </c>
      <c r="J20" s="67" t="str">
        <f ca="1">INDEX(Table12[Acción],MATCH(Insumos_a_comprar[[#This Row],[Planilla]],Table12[Planilla],0))</f>
        <v>Vencido</v>
      </c>
      <c r="K20" s="71">
        <v>50</v>
      </c>
      <c r="L2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 s="65"/>
      <c r="N20" s="65"/>
      <c r="O20" s="65"/>
      <c r="P20" s="178"/>
      <c r="Q20" s="1"/>
      <c r="R20" s="1"/>
    </row>
    <row r="21" spans="1:18" ht="47.25" x14ac:dyDescent="0.25">
      <c r="A21" s="10" t="s">
        <v>190</v>
      </c>
      <c r="B21" s="11" t="s">
        <v>443</v>
      </c>
      <c r="C21" s="61" t="str">
        <f>HYPERLINK("#'"&amp;Insumos_a_comprar[[#This Row],[Planilla]]&amp;"'!D1","Ir")</f>
        <v>Ir</v>
      </c>
      <c r="D21" s="11" t="s">
        <v>465</v>
      </c>
      <c r="E21" s="66" t="s">
        <v>808</v>
      </c>
      <c r="F21" s="67">
        <v>5</v>
      </c>
      <c r="G21" s="68" t="s">
        <v>399</v>
      </c>
      <c r="H21" s="72">
        <f ca="1">SUMIF(INDIRECT(SUBSTITUTE(B21," ","_")&amp;"[Insumo]"),Insumos_a_comprar[[#This Row],[Insumo]],INDIRECT(SUBSTITUTE(B21," ","_")&amp;"[Stock]"))</f>
        <v>22.5</v>
      </c>
      <c r="I21" s="69" t="str">
        <f ca="1">IF((Insumos_a_comprar[[#This Row],[Stock actual]]-Insumos_a_comprar[[#This Row],[Stock mínimo]])&lt;0,"Si","No")</f>
        <v>No</v>
      </c>
      <c r="J21" s="67" t="str">
        <f ca="1">INDEX(Table12[Acción],MATCH(Insumos_a_comprar[[#This Row],[Planilla]],Table12[Planilla],0))</f>
        <v>Vencido</v>
      </c>
      <c r="K21" s="71">
        <v>12</v>
      </c>
      <c r="L2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1" s="65"/>
      <c r="N21" s="65"/>
      <c r="O21" s="65"/>
      <c r="P21" s="178"/>
      <c r="Q21" s="1"/>
      <c r="R21" s="1"/>
    </row>
    <row r="22" spans="1:18" x14ac:dyDescent="0.25">
      <c r="A22" s="13" t="s">
        <v>199</v>
      </c>
      <c r="B22" s="11" t="s">
        <v>392</v>
      </c>
      <c r="C22" s="61" t="str">
        <f>HYPERLINK("#'"&amp;Insumos_a_comprar[[#This Row],[Planilla]]&amp;"'!D1","Ir")</f>
        <v>Ir</v>
      </c>
      <c r="D22" s="11" t="s">
        <v>463</v>
      </c>
      <c r="E22" s="66"/>
      <c r="F22" s="67">
        <v>1</v>
      </c>
      <c r="G22" s="68" t="s">
        <v>7</v>
      </c>
      <c r="H22" s="72">
        <f ca="1">SUMIF(INDIRECT(SUBSTITUTE(B22," ","_")&amp;"[Insumo]"),Insumos_a_comprar[[#This Row],[Insumo]],INDIRECT(SUBSTITUTE(B22," ","_")&amp;"[Stock]"))</f>
        <v>1.5</v>
      </c>
      <c r="I22" s="69" t="str">
        <f ca="1">IF((Insumos_a_comprar[[#This Row],[Stock actual]]-Insumos_a_comprar[[#This Row],[Stock mínimo]])&lt;0,"Si","No")</f>
        <v>No</v>
      </c>
      <c r="J22" s="67" t="str">
        <f ca="1">INDEX(Table12[Acción],MATCH(Insumos_a_comprar[[#This Row],[Planilla]],Table12[Planilla],0))</f>
        <v>Vencido</v>
      </c>
      <c r="K22" s="71">
        <v>50</v>
      </c>
      <c r="L2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2" s="65"/>
      <c r="N22" s="65"/>
      <c r="O22" s="65"/>
      <c r="P22" s="178"/>
      <c r="Q22" s="1"/>
      <c r="R22" s="1"/>
    </row>
    <row r="23" spans="1:18" x14ac:dyDescent="0.25">
      <c r="A23" s="13" t="s">
        <v>201</v>
      </c>
      <c r="B23" s="11" t="s">
        <v>392</v>
      </c>
      <c r="C23" s="61" t="str">
        <f>HYPERLINK("#'"&amp;Insumos_a_comprar[[#This Row],[Planilla]]&amp;"'!D1","Ir")</f>
        <v>Ir</v>
      </c>
      <c r="D23" s="11" t="s">
        <v>463</v>
      </c>
      <c r="E23" s="66"/>
      <c r="F23" s="67">
        <v>100</v>
      </c>
      <c r="G23" s="68" t="s">
        <v>7</v>
      </c>
      <c r="H23" s="72">
        <f ca="1">SUMIF(INDIRECT(SUBSTITUTE(B23," ","_")&amp;"[Insumo]"),Insumos_a_comprar[[#This Row],[Insumo]],INDIRECT(SUBSTITUTE(B23," ","_")&amp;"[Stock]"))</f>
        <v>900</v>
      </c>
      <c r="I23" s="69" t="str">
        <f ca="1">IF((Insumos_a_comprar[[#This Row],[Stock actual]]-Insumos_a_comprar[[#This Row],[Stock mínimo]])&lt;0,"Si","No")</f>
        <v>No</v>
      </c>
      <c r="J23" s="67" t="str">
        <f ca="1">INDEX(Table12[Acción],MATCH(Insumos_a_comprar[[#This Row],[Planilla]],Table12[Planilla],0))</f>
        <v>Vencido</v>
      </c>
      <c r="K23" s="71">
        <v>100</v>
      </c>
      <c r="L2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 s="65"/>
      <c r="N23" s="65"/>
      <c r="O23" s="65"/>
      <c r="P23" s="178"/>
      <c r="Q23" s="1"/>
      <c r="R23" s="1"/>
    </row>
    <row r="24" spans="1:18" x14ac:dyDescent="0.25">
      <c r="A24" s="10" t="s">
        <v>194</v>
      </c>
      <c r="B24" s="11" t="s">
        <v>443</v>
      </c>
      <c r="C24" s="61" t="str">
        <f>HYPERLINK("#'"&amp;Insumos_a_comprar[[#This Row],[Planilla]]&amp;"'!D1","Ir")</f>
        <v>Ir</v>
      </c>
      <c r="D24" s="11" t="s">
        <v>463</v>
      </c>
      <c r="E24" s="66"/>
      <c r="F24" s="67">
        <v>0.5</v>
      </c>
      <c r="G24" s="68" t="s">
        <v>399</v>
      </c>
      <c r="H24" s="72">
        <f ca="1">SUMIF(INDIRECT(SUBSTITUTE(B24," ","_")&amp;"[Insumo]"),Insumos_a_comprar[[#This Row],[Insumo]],INDIRECT(SUBSTITUTE(B24," ","_")&amp;"[Stock]"))</f>
        <v>2</v>
      </c>
      <c r="I24" s="69" t="str">
        <f ca="1">IF((Insumos_a_comprar[[#This Row],[Stock actual]]-Insumos_a_comprar[[#This Row],[Stock mínimo]])&lt;0,"Si","No")</f>
        <v>No</v>
      </c>
      <c r="J24" s="67" t="str">
        <f ca="1">INDEX(Table12[Acción],MATCH(Insumos_a_comprar[[#This Row],[Planilla]],Table12[Planilla],0))</f>
        <v>Vencido</v>
      </c>
      <c r="K24" s="71">
        <v>1</v>
      </c>
      <c r="L2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 s="65"/>
      <c r="N24" s="65"/>
      <c r="O24" s="65"/>
      <c r="P24" s="178"/>
      <c r="Q24" s="1"/>
      <c r="R24" s="1"/>
    </row>
    <row r="25" spans="1:18" x14ac:dyDescent="0.25">
      <c r="A25" s="10" t="s">
        <v>192</v>
      </c>
      <c r="B25" s="11" t="s">
        <v>443</v>
      </c>
      <c r="C25" s="61" t="str">
        <f>HYPERLINK("#'"&amp;Insumos_a_comprar[[#This Row],[Planilla]]&amp;"'!D1","Ir")</f>
        <v>Ir</v>
      </c>
      <c r="D25" s="11" t="s">
        <v>463</v>
      </c>
      <c r="E25" s="66" t="s">
        <v>806</v>
      </c>
      <c r="F25" s="67">
        <v>1</v>
      </c>
      <c r="G25" s="68" t="s">
        <v>399</v>
      </c>
      <c r="H25" s="72">
        <f ca="1">SUMIF(INDIRECT(SUBSTITUTE(B25," ","_")&amp;"[Insumo]"),Insumos_a_comprar[[#This Row],[Insumo]],INDIRECT(SUBSTITUTE(B25," ","_")&amp;"[Stock]"))</f>
        <v>1.6</v>
      </c>
      <c r="I25" s="69" t="str">
        <f ca="1">IF((Insumos_a_comprar[[#This Row],[Stock actual]]-Insumos_a_comprar[[#This Row],[Stock mínimo]])&lt;0,"Si","No")</f>
        <v>No</v>
      </c>
      <c r="J25" s="67" t="str">
        <f ca="1">INDEX(Table12[Acción],MATCH(Insumos_a_comprar[[#This Row],[Planilla]],Table12[Planilla],0))</f>
        <v>Vencido</v>
      </c>
      <c r="K25" s="71">
        <v>1</v>
      </c>
      <c r="L2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5" s="65"/>
      <c r="N25" s="65"/>
      <c r="O25" s="65"/>
      <c r="P25" s="178"/>
      <c r="Q25" s="1"/>
      <c r="R25" s="1"/>
    </row>
    <row r="26" spans="1:18" x14ac:dyDescent="0.25">
      <c r="A26" s="10" t="s">
        <v>197</v>
      </c>
      <c r="B26" s="11" t="s">
        <v>443</v>
      </c>
      <c r="C26" s="61" t="str">
        <f>HYPERLINK("#'"&amp;Insumos_a_comprar[[#This Row],[Planilla]]&amp;"'!D1","Ir")</f>
        <v>Ir</v>
      </c>
      <c r="D26" s="11" t="s">
        <v>463</v>
      </c>
      <c r="E26" s="66" t="s">
        <v>807</v>
      </c>
      <c r="F26" s="67">
        <v>0.5</v>
      </c>
      <c r="G26" s="68" t="s">
        <v>399</v>
      </c>
      <c r="H26" s="72">
        <f ca="1">SUMIF(INDIRECT(SUBSTITUTE(B26," ","_")&amp;"[Insumo]"),Insumos_a_comprar[[#This Row],[Insumo]],INDIRECT(SUBSTITUTE(B26," ","_")&amp;"[Stock]"))</f>
        <v>1</v>
      </c>
      <c r="I26" s="69" t="str">
        <f ca="1">IF((Insumos_a_comprar[[#This Row],[Stock actual]]-Insumos_a_comprar[[#This Row],[Stock mínimo]])&lt;0,"Si","No")</f>
        <v>No</v>
      </c>
      <c r="J26" s="67" t="str">
        <f ca="1">INDEX(Table12[Acción],MATCH(Insumos_a_comprar[[#This Row],[Planilla]],Table12[Planilla],0))</f>
        <v>Vencido</v>
      </c>
      <c r="K26" s="71">
        <v>1</v>
      </c>
      <c r="L2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 s="65"/>
      <c r="N26" s="65"/>
      <c r="O26" s="65">
        <v>44369</v>
      </c>
      <c r="P26" s="178"/>
      <c r="Q26" s="1"/>
      <c r="R26" s="1"/>
    </row>
    <row r="27" spans="1:18" x14ac:dyDescent="0.25">
      <c r="A27" s="13" t="s">
        <v>687</v>
      </c>
      <c r="B27" s="11" t="s">
        <v>392</v>
      </c>
      <c r="C27" s="61" t="str">
        <f>HYPERLINK("#'"&amp;Insumos_a_comprar[[#This Row],[Planilla]]&amp;"'!D1","Ir")</f>
        <v>Ir</v>
      </c>
      <c r="D27" s="11" t="s">
        <v>463</v>
      </c>
      <c r="E27" s="66"/>
      <c r="F27" s="67">
        <v>10</v>
      </c>
      <c r="G27" s="68" t="s">
        <v>7</v>
      </c>
      <c r="H27" s="72">
        <f ca="1">SUMIF(INDIRECT(SUBSTITUTE(B27," ","_")&amp;"[Insumo]"),Insumos_a_comprar[[#This Row],[Insumo]],INDIRECT(SUBSTITUTE(B27," ","_")&amp;"[Stock]"))</f>
        <v>45</v>
      </c>
      <c r="I27" s="69" t="str">
        <f ca="1">IF((Insumos_a_comprar[[#This Row],[Stock actual]]-Insumos_a_comprar[[#This Row],[Stock mínimo]])&lt;0,"Si","No")</f>
        <v>No</v>
      </c>
      <c r="J27" s="67" t="str">
        <f ca="1">INDEX(Table12[Acción],MATCH(Insumos_a_comprar[[#This Row],[Planilla]],Table12[Planilla],0))</f>
        <v>Vencido</v>
      </c>
      <c r="K27" s="71">
        <v>100</v>
      </c>
      <c r="L2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 s="65"/>
      <c r="N27" s="65"/>
      <c r="O27" s="65"/>
      <c r="P27" s="178"/>
      <c r="Q27" s="1"/>
      <c r="R27" s="1"/>
    </row>
    <row r="28" spans="1:18" ht="31.5" x14ac:dyDescent="0.25">
      <c r="A28" s="10" t="s">
        <v>188</v>
      </c>
      <c r="B28" s="11" t="s">
        <v>443</v>
      </c>
      <c r="C28" s="61" t="str">
        <f>HYPERLINK("#'"&amp;Insumos_a_comprar[[#This Row],[Planilla]]&amp;"'!D1","Ir")</f>
        <v>Ir</v>
      </c>
      <c r="D28" s="11" t="s">
        <v>463</v>
      </c>
      <c r="E28" s="66" t="s">
        <v>844</v>
      </c>
      <c r="F28" s="67">
        <v>5</v>
      </c>
      <c r="G28" s="68" t="s">
        <v>399</v>
      </c>
      <c r="H28" s="72">
        <f ca="1">SUMIF(INDIRECT(SUBSTITUTE(B28," ","_")&amp;"[Insumo]"),Insumos_a_comprar[[#This Row],[Insumo]],INDIRECT(SUBSTITUTE(B28," ","_")&amp;"[Stock]"))</f>
        <v>6.6</v>
      </c>
      <c r="I28" s="69" t="str">
        <f ca="1">IF((Insumos_a_comprar[[#This Row],[Stock actual]]-Insumos_a_comprar[[#This Row],[Stock mínimo]])&lt;0,"Si","No")</f>
        <v>No</v>
      </c>
      <c r="J28" s="67" t="str">
        <f ca="1">INDEX(Table12[Acción],MATCH(Insumos_a_comprar[[#This Row],[Planilla]],Table12[Planilla],0))</f>
        <v>Vencido</v>
      </c>
      <c r="K28" s="71"/>
      <c r="L2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 s="65"/>
      <c r="N28" s="65"/>
      <c r="O28" s="65"/>
      <c r="P28" s="178" t="s">
        <v>809</v>
      </c>
      <c r="Q28" s="1"/>
      <c r="R28" s="1"/>
    </row>
    <row r="29" spans="1:18" x14ac:dyDescent="0.25">
      <c r="A29" s="10" t="s">
        <v>193</v>
      </c>
      <c r="B29" s="11" t="s">
        <v>443</v>
      </c>
      <c r="C29" s="61" t="str">
        <f>HYPERLINK("#'"&amp;Insumos_a_comprar[[#This Row],[Planilla]]&amp;"'!D1","Ir")</f>
        <v>Ir</v>
      </c>
      <c r="D29" s="11" t="s">
        <v>463</v>
      </c>
      <c r="E29" s="66"/>
      <c r="F29" s="67">
        <v>0.5</v>
      </c>
      <c r="G29" s="68" t="s">
        <v>399</v>
      </c>
      <c r="H29" s="72">
        <f ca="1">SUMIF(INDIRECT(SUBSTITUTE(B29," ","_")&amp;"[Insumo]"),Insumos_a_comprar[[#This Row],[Insumo]],INDIRECT(SUBSTITUTE(B29," ","_")&amp;"[Stock]"))</f>
        <v>1</v>
      </c>
      <c r="I29" s="69" t="str">
        <f ca="1">IF((Insumos_a_comprar[[#This Row],[Stock actual]]-Insumos_a_comprar[[#This Row],[Stock mínimo]])&lt;0,"Si","No")</f>
        <v>No</v>
      </c>
      <c r="J29" s="67" t="str">
        <f ca="1">INDEX(Table12[Acción],MATCH(Insumos_a_comprar[[#This Row],[Planilla]],Table12[Planilla],0))</f>
        <v>Vencido</v>
      </c>
      <c r="K29" s="71"/>
      <c r="L2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9" s="65"/>
      <c r="N29" s="65"/>
      <c r="O29" s="65"/>
      <c r="P29" s="178"/>
      <c r="Q29" s="1"/>
      <c r="R29" s="1"/>
    </row>
    <row r="30" spans="1:18" x14ac:dyDescent="0.25">
      <c r="A30" s="10" t="s">
        <v>10</v>
      </c>
      <c r="B30" s="11" t="s">
        <v>60</v>
      </c>
      <c r="C30" s="61" t="str">
        <f>HYPERLINK("#'"&amp;Insumos_a_comprar[[#This Row],[Planilla]]&amp;"'!D1","Ir")</f>
        <v>Ir</v>
      </c>
      <c r="D30" s="11" t="s">
        <v>463</v>
      </c>
      <c r="E30" s="66" t="s">
        <v>803</v>
      </c>
      <c r="F30" s="67">
        <v>50</v>
      </c>
      <c r="G30" s="68" t="s">
        <v>7</v>
      </c>
      <c r="H30" s="66">
        <f ca="1">SUMIF(INDIRECT(SUBSTITUTE(B30," ","_")&amp;"[Insumo]"),Insumos_a_comprar[[#This Row],[Insumo]],INDIRECT(SUBSTITUTE(B30," ","_")&amp;"[Stock]"))</f>
        <v>200</v>
      </c>
      <c r="I30" s="69" t="str">
        <f ca="1">IF((Insumos_a_comprar[[#This Row],[Stock actual]]-Insumos_a_comprar[[#This Row],[Stock mínimo]])&lt;0,"Si","No")</f>
        <v>No</v>
      </c>
      <c r="J30" s="67" t="str">
        <f ca="1">INDEX(Table12[Acción],MATCH(Insumos_a_comprar[[#This Row],[Planilla]],Table12[Planilla],0))</f>
        <v>Vigente</v>
      </c>
      <c r="K30" s="71">
        <v>50</v>
      </c>
      <c r="L3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 s="65"/>
      <c r="N30" s="65"/>
      <c r="O30" s="65"/>
      <c r="P30" s="178"/>
      <c r="Q30" s="1"/>
      <c r="R30" s="1"/>
    </row>
    <row r="31" spans="1:18" ht="47.25" x14ac:dyDescent="0.25">
      <c r="A31" s="10" t="s">
        <v>189</v>
      </c>
      <c r="B31" s="11" t="s">
        <v>443</v>
      </c>
      <c r="C31" s="61" t="str">
        <f>HYPERLINK("#'"&amp;Insumos_a_comprar[[#This Row],[Planilla]]&amp;"'!D1","Ir")</f>
        <v>Ir</v>
      </c>
      <c r="D31" s="11" t="s">
        <v>465</v>
      </c>
      <c r="E31" s="66" t="s">
        <v>845</v>
      </c>
      <c r="F31" s="67">
        <v>5</v>
      </c>
      <c r="G31" s="68" t="s">
        <v>399</v>
      </c>
      <c r="H31" s="72">
        <f ca="1">SUMIF(INDIRECT(SUBSTITUTE(B31," ","_")&amp;"[Insumo]"),Insumos_a_comprar[[#This Row],[Insumo]],INDIRECT(SUBSTITUTE(B31," ","_")&amp;"[Stock]"))</f>
        <v>6.5</v>
      </c>
      <c r="I31" s="69" t="str">
        <f ca="1">IF((Insumos_a_comprar[[#This Row],[Stock actual]]-Insumos_a_comprar[[#This Row],[Stock mínimo]])&lt;0,"Si","No")</f>
        <v>No</v>
      </c>
      <c r="J31" s="67" t="str">
        <f ca="1">INDEX(Table12[Acción],MATCH(Insumos_a_comprar[[#This Row],[Planilla]],Table12[Planilla],0))</f>
        <v>Vencido</v>
      </c>
      <c r="K31" s="71"/>
      <c r="L3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 s="65"/>
      <c r="N31" s="65"/>
      <c r="O31" s="65"/>
      <c r="P31" s="178"/>
      <c r="Q31" s="1"/>
      <c r="R31" s="1"/>
    </row>
    <row r="32" spans="1:18" x14ac:dyDescent="0.25">
      <c r="A32" s="22" t="s">
        <v>940</v>
      </c>
      <c r="B32" s="23" t="s">
        <v>63</v>
      </c>
      <c r="C32" s="193" t="str">
        <f>HYPERLINK("#'"&amp;Insumos_a_comprar[[#This Row],[Planilla]]&amp;"'!D1","Ir")</f>
        <v>Ir</v>
      </c>
      <c r="D32" s="23" t="s">
        <v>397</v>
      </c>
      <c r="E32" s="73"/>
      <c r="F32" s="74">
        <v>1</v>
      </c>
      <c r="G32" s="75" t="s">
        <v>65</v>
      </c>
      <c r="H32" s="76">
        <f ca="1">SUMIF(INDIRECT(SUBSTITUTE(B32," ","_")&amp;"[Insumo]"),Insumos_a_comprar[[#This Row],[Insumo]],INDIRECT(SUBSTITUTE(B32," ","_")&amp;"[Stock]"))</f>
        <v>3</v>
      </c>
      <c r="I32" s="194" t="str">
        <f ca="1">IF((Insumos_a_comprar[[#This Row],[Stock actual]]-Insumos_a_comprar[[#This Row],[Stock mínimo]])&lt;0,"Si","No")</f>
        <v>No</v>
      </c>
      <c r="J32" s="77" t="str">
        <f ca="1">INDEX(Table12[Acción],MATCH(Insumos_a_comprar[[#This Row],[Planilla]],Table12[Planilla],0))</f>
        <v>Constante</v>
      </c>
      <c r="K32" s="77">
        <v>1</v>
      </c>
      <c r="L3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 s="206"/>
      <c r="N32" s="206"/>
      <c r="O32" s="206"/>
      <c r="P32" s="179"/>
      <c r="Q32" s="1"/>
      <c r="R32" s="1"/>
    </row>
    <row r="33" spans="1:18" x14ac:dyDescent="0.25">
      <c r="A33" s="22" t="s">
        <v>572</v>
      </c>
      <c r="B33" s="23" t="s">
        <v>440</v>
      </c>
      <c r="C33" s="61" t="str">
        <f>HYPERLINK("#'"&amp;Insumos_a_comprar[[#This Row],[Planilla]]&amp;"'!D1","Ir")</f>
        <v>Ir</v>
      </c>
      <c r="D33" s="11" t="s">
        <v>397</v>
      </c>
      <c r="E33" s="73" t="s">
        <v>397</v>
      </c>
      <c r="F33" s="74">
        <v>5</v>
      </c>
      <c r="G33" s="75" t="s">
        <v>65</v>
      </c>
      <c r="H33" s="76">
        <f ca="1">SUMIF(INDIRECT(SUBSTITUTE(B33," ","_")&amp;"[Insumo]"),Insumos_a_comprar[[#This Row],[Insumo]],INDIRECT(SUBSTITUTE(B33," ","_")&amp;"[Stock]"))</f>
        <v>3</v>
      </c>
      <c r="I33" s="69" t="str">
        <f ca="1">IF((Insumos_a_comprar[[#This Row],[Stock actual]]-Insumos_a_comprar[[#This Row],[Stock mínimo]])&lt;0,"Si","No")</f>
        <v>Si</v>
      </c>
      <c r="J33" s="67" t="str">
        <f ca="1">INDEX(Table12[Acción],MATCH(Insumos_a_comprar[[#This Row],[Planilla]],Table12[Planilla],0))</f>
        <v>Constante</v>
      </c>
      <c r="K33" s="77">
        <v>5</v>
      </c>
      <c r="L3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33" s="206">
        <v>44245</v>
      </c>
      <c r="N33" s="206"/>
      <c r="O33" s="206"/>
      <c r="P33" s="179"/>
      <c r="Q33" s="1"/>
      <c r="R33" s="1"/>
    </row>
    <row r="34" spans="1:18" x14ac:dyDescent="0.25">
      <c r="A34" s="10" t="s">
        <v>686</v>
      </c>
      <c r="B34" s="11" t="s">
        <v>443</v>
      </c>
      <c r="C34" s="61" t="str">
        <f>HYPERLINK("#'"&amp;Insumos_a_comprar[[#This Row],[Planilla]]&amp;"'!D1","Ir")</f>
        <v>Ir</v>
      </c>
      <c r="D34" s="11" t="s">
        <v>463</v>
      </c>
      <c r="E34" s="66" t="s">
        <v>810</v>
      </c>
      <c r="F34" s="67">
        <v>0.5</v>
      </c>
      <c r="G34" s="68" t="s">
        <v>399</v>
      </c>
      <c r="H34" s="72">
        <f ca="1">SUMIF(INDIRECT(SUBSTITUTE(B34," ","_")&amp;"[Insumo]"),Insumos_a_comprar[[#This Row],[Insumo]],INDIRECT(SUBSTITUTE(B34," ","_")&amp;"[Stock]"))</f>
        <v>0.9</v>
      </c>
      <c r="I34" s="69" t="str">
        <f ca="1">IF((Insumos_a_comprar[[#This Row],[Stock actual]]-Insumos_a_comprar[[#This Row],[Stock mínimo]])&lt;0,"Si","No")</f>
        <v>No</v>
      </c>
      <c r="J34" s="67" t="str">
        <f ca="1">INDEX(Table12[Acción],MATCH(Insumos_a_comprar[[#This Row],[Planilla]],Table12[Planilla],0))</f>
        <v>Vencido</v>
      </c>
      <c r="K34" s="71"/>
      <c r="L3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 s="65"/>
      <c r="N34" s="65"/>
      <c r="O34" s="65"/>
      <c r="P34" s="178"/>
      <c r="Q34" s="1"/>
      <c r="R34" s="1"/>
    </row>
    <row r="35" spans="1:18" x14ac:dyDescent="0.25">
      <c r="A35" s="22" t="s">
        <v>703</v>
      </c>
      <c r="B35" s="23" t="s">
        <v>739</v>
      </c>
      <c r="C35" s="61" t="str">
        <f>HYPERLINK("#'"&amp;Insumos_a_comprar[[#This Row],[Planilla]]&amp;"'!D1","Ir")</f>
        <v>Ir</v>
      </c>
      <c r="D35" s="11" t="s">
        <v>397</v>
      </c>
      <c r="E35" s="73" t="s">
        <v>397</v>
      </c>
      <c r="F35" s="74">
        <v>0.5</v>
      </c>
      <c r="G35" s="75" t="s">
        <v>65</v>
      </c>
      <c r="H35" s="76">
        <f ca="1">SUMIF(INDIRECT(SUBSTITUTE(B35," ","_")&amp;"[Insumo]"),Insumos_a_comprar[[#This Row],[Insumo]],INDIRECT(SUBSTITUTE(B35," ","_")&amp;"[Stock]"))</f>
        <v>1</v>
      </c>
      <c r="I35" s="69" t="str">
        <f ca="1">IF((Insumos_a_comprar[[#This Row],[Stock actual]]-Insumos_a_comprar[[#This Row],[Stock mínimo]])&lt;0,"Si","No")</f>
        <v>No</v>
      </c>
      <c r="J35" s="77" t="str">
        <f ca="1">INDEX(Table12[Acción],MATCH(Insumos_a_comprar[[#This Row],[Planilla]],Table12[Planilla],0))</f>
        <v>Vencido</v>
      </c>
      <c r="K35" s="77">
        <v>1</v>
      </c>
      <c r="L3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 s="206"/>
      <c r="N35" s="206"/>
      <c r="O35" s="206"/>
      <c r="P35" s="179"/>
      <c r="Q35" s="1"/>
      <c r="R35" s="1"/>
    </row>
    <row r="36" spans="1:18" x14ac:dyDescent="0.25">
      <c r="A36" s="10" t="s">
        <v>254</v>
      </c>
      <c r="B36" s="11" t="s">
        <v>410</v>
      </c>
      <c r="C36" s="61" t="str">
        <f>HYPERLINK("#'"&amp;Insumos_a_comprar[[#This Row],[Planilla]]&amp;"'!D1","Ir")</f>
        <v>Ir</v>
      </c>
      <c r="D36" s="11" t="s">
        <v>397</v>
      </c>
      <c r="E36" s="66" t="s">
        <v>418</v>
      </c>
      <c r="F36" s="67">
        <v>400</v>
      </c>
      <c r="G36" s="68" t="s">
        <v>252</v>
      </c>
      <c r="H36" s="72">
        <f ca="1">SUMIF(INDIRECT(SUBSTITUTE(B36," ","_")&amp;"[Insumo]"),Insumos_a_comprar[[#This Row],[Insumo]],INDIRECT(SUBSTITUTE(B36," ","_")&amp;"[Stock]"))</f>
        <v>1500</v>
      </c>
      <c r="I36" s="69" t="str">
        <f ca="1">IF((Insumos_a_comprar[[#This Row],[Stock actual]]-Insumos_a_comprar[[#This Row],[Stock mínimo]])&lt;0,"Si","No")</f>
        <v>No</v>
      </c>
      <c r="J36" s="67" t="str">
        <f ca="1">INDEX(Table12[Acción],MATCH(Insumos_a_comprar[[#This Row],[Planilla]],Table12[Planilla],0))</f>
        <v>Vencido</v>
      </c>
      <c r="K36" s="71"/>
      <c r="L3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 s="65"/>
      <c r="N36" s="65"/>
      <c r="O36" s="65"/>
      <c r="P36" s="178"/>
      <c r="Q36" s="1"/>
      <c r="R36" s="1"/>
    </row>
    <row r="37" spans="1:18" x14ac:dyDescent="0.25">
      <c r="A37" s="22" t="s">
        <v>596</v>
      </c>
      <c r="B37" s="23" t="s">
        <v>597</v>
      </c>
      <c r="C37" s="61" t="str">
        <f>HYPERLINK("#'"&amp;Insumos_a_comprar[[#This Row],[Planilla]]&amp;"'!D1","Ir")</f>
        <v>Ir</v>
      </c>
      <c r="D37" s="11" t="s">
        <v>397</v>
      </c>
      <c r="E37" s="73" t="s">
        <v>397</v>
      </c>
      <c r="F37" s="74">
        <v>5</v>
      </c>
      <c r="G37" s="75" t="s">
        <v>399</v>
      </c>
      <c r="H37" s="76">
        <f ca="1">SUMIF(INDIRECT(SUBSTITUTE(B37," ","_")&amp;"[Insumo]"),Insumos_a_comprar[[#This Row],[Insumo]],INDIRECT(SUBSTITUTE(B37," ","_")&amp;"[Stock]"))</f>
        <v>6</v>
      </c>
      <c r="I37" s="69" t="str">
        <f ca="1">IF((Insumos_a_comprar[[#This Row],[Stock actual]]-Insumos_a_comprar[[#This Row],[Stock mínimo]])&lt;0,"Si","No")</f>
        <v>No</v>
      </c>
      <c r="J37" s="77" t="str">
        <f ca="1">INDEX(Table12[Acción],MATCH(Insumos_a_comprar[[#This Row],[Planilla]],Table12[Planilla],0))</f>
        <v>Vencido</v>
      </c>
      <c r="K37" s="77">
        <v>10</v>
      </c>
      <c r="L3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 s="206"/>
      <c r="N37" s="206"/>
      <c r="O37" s="206"/>
      <c r="P37" s="179"/>
      <c r="Q37" s="1"/>
      <c r="R37" s="1"/>
    </row>
    <row r="38" spans="1:18" x14ac:dyDescent="0.25">
      <c r="A38" s="10" t="s">
        <v>114</v>
      </c>
      <c r="B38" s="11" t="s">
        <v>398</v>
      </c>
      <c r="C38" s="61" t="str">
        <f>HYPERLINK("#'"&amp;Insumos_a_comprar[[#This Row],[Planilla]]&amp;"'!D1","Ir")</f>
        <v>Ir</v>
      </c>
      <c r="D38" s="11" t="s">
        <v>464</v>
      </c>
      <c r="E38" s="66" t="s">
        <v>854</v>
      </c>
      <c r="F38" s="67">
        <v>0.1</v>
      </c>
      <c r="G38" s="68" t="s">
        <v>399</v>
      </c>
      <c r="H38" s="72">
        <f ca="1">SUMIF(INDIRECT(SUBSTITUTE(B38," ","_")&amp;"[Insumo]"),Insumos_a_comprar[[#This Row],[Insumo]],INDIRECT(SUBSTITUTE(B38," ","_")&amp;"[Stock]"))</f>
        <v>9</v>
      </c>
      <c r="I38" s="69" t="str">
        <f ca="1">IF((Insumos_a_comprar[[#This Row],[Stock actual]]-Insumos_a_comprar[[#This Row],[Stock mínimo]])&lt;0,"Si","No")</f>
        <v>No</v>
      </c>
      <c r="J38" s="67" t="str">
        <f ca="1">INDEX(Table12[Acción],MATCH(Insumos_a_comprar[[#This Row],[Planilla]],Table12[Planilla],0))</f>
        <v>Vigente</v>
      </c>
      <c r="K38" s="71">
        <v>0.5</v>
      </c>
      <c r="L3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 s="65"/>
      <c r="N38" s="65"/>
      <c r="O38" s="65"/>
      <c r="P38" s="178"/>
      <c r="Q38" s="1"/>
      <c r="R38" s="1"/>
    </row>
    <row r="39" spans="1:18" x14ac:dyDescent="0.25">
      <c r="A39" s="10" t="s">
        <v>586</v>
      </c>
      <c r="B39" s="11" t="s">
        <v>398</v>
      </c>
      <c r="C39" s="61" t="str">
        <f>HYPERLINK("#'"&amp;Insumos_a_comprar[[#This Row],[Planilla]]&amp;"'!D1","Ir")</f>
        <v>Ir</v>
      </c>
      <c r="D39" s="11" t="s">
        <v>463</v>
      </c>
      <c r="E39" s="66" t="s">
        <v>854</v>
      </c>
      <c r="F39" s="67">
        <v>0.5</v>
      </c>
      <c r="G39" s="68" t="s">
        <v>399</v>
      </c>
      <c r="H39" s="72">
        <f ca="1">SUMIF(INDIRECT(SUBSTITUTE(B39," ","_")&amp;"[Insumo]"),Insumos_a_comprar[[#This Row],[Insumo]],INDIRECT(SUBSTITUTE(B39," ","_")&amp;"[Stock]"))</f>
        <v>1.04</v>
      </c>
      <c r="I39" s="69" t="str">
        <f ca="1">IF((Insumos_a_comprar[[#This Row],[Stock actual]]-Insumos_a_comprar[[#This Row],[Stock mínimo]])&lt;0,"Si","No")</f>
        <v>No</v>
      </c>
      <c r="J39" s="67" t="str">
        <f ca="1">INDEX(Table12[Acción],MATCH(Insumos_a_comprar[[#This Row],[Planilla]],Table12[Planilla],0))</f>
        <v>Vigente</v>
      </c>
      <c r="K39" s="71">
        <v>2</v>
      </c>
      <c r="L3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 s="65"/>
      <c r="N39" s="65"/>
      <c r="O39" s="65"/>
      <c r="P39" s="178"/>
      <c r="Q39" s="1"/>
      <c r="R39" s="1"/>
    </row>
    <row r="40" spans="1:18" x14ac:dyDescent="0.25">
      <c r="A40" s="12" t="s">
        <v>12</v>
      </c>
      <c r="B40" s="11" t="s">
        <v>60</v>
      </c>
      <c r="C40" s="61" t="str">
        <f>HYPERLINK("#'"&amp;Insumos_a_comprar[[#This Row],[Planilla]]&amp;"'!D1","Ir")</f>
        <v>Ir</v>
      </c>
      <c r="D40" s="11" t="s">
        <v>463</v>
      </c>
      <c r="E40" s="66" t="s">
        <v>814</v>
      </c>
      <c r="F40" s="67">
        <v>50</v>
      </c>
      <c r="G40" s="68" t="s">
        <v>7</v>
      </c>
      <c r="H40" s="66">
        <f ca="1">SUMIF(INDIRECT(SUBSTITUTE(B40," ","_")&amp;"[Insumo]"),Insumos_a_comprar[[#This Row],[Insumo]],INDIRECT(SUBSTITUTE(B40," ","_")&amp;"[Stock]"))</f>
        <v>200</v>
      </c>
      <c r="I40" s="69" t="str">
        <f ca="1">IF((Insumos_a_comprar[[#This Row],[Stock actual]]-Insumos_a_comprar[[#This Row],[Stock mínimo]])&lt;0,"Si","No")</f>
        <v>No</v>
      </c>
      <c r="J40" s="67" t="str">
        <f ca="1">INDEX(Table12[Acción],MATCH(Insumos_a_comprar[[#This Row],[Planilla]],Table12[Planilla],0))</f>
        <v>Vigente</v>
      </c>
      <c r="K40" s="71"/>
      <c r="L4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 s="65"/>
      <c r="N40" s="65"/>
      <c r="O40" s="65"/>
      <c r="P40" s="178"/>
      <c r="Q40" s="1"/>
      <c r="R40" s="1"/>
    </row>
    <row r="41" spans="1:18" x14ac:dyDescent="0.25">
      <c r="A41" s="22" t="s">
        <v>99</v>
      </c>
      <c r="B41" s="23" t="s">
        <v>594</v>
      </c>
      <c r="C41" s="61" t="str">
        <f>HYPERLINK("#'"&amp;Insumos_a_comprar[[#This Row],[Planilla]]&amp;"'!D1","Ir")</f>
        <v>Ir</v>
      </c>
      <c r="D41" s="11" t="s">
        <v>397</v>
      </c>
      <c r="E41" s="73" t="s">
        <v>397</v>
      </c>
      <c r="F41" s="74">
        <v>1</v>
      </c>
      <c r="G41" s="75" t="s">
        <v>65</v>
      </c>
      <c r="H41" s="76">
        <f ca="1">SUMIF(INDIRECT(SUBSTITUTE(B41," ","_")&amp;"[Insumo]"),Insumos_a_comprar[[#This Row],[Insumo]],INDIRECT(SUBSTITUTE(B41," ","_")&amp;"[Stock]"))</f>
        <v>1</v>
      </c>
      <c r="I41" s="69" t="str">
        <f ca="1">IF((Insumos_a_comprar[[#This Row],[Stock actual]]-Insumos_a_comprar[[#This Row],[Stock mínimo]])&lt;0,"Si","No")</f>
        <v>No</v>
      </c>
      <c r="J41" s="67" t="str">
        <f ca="1">INDEX(Table12[Acción],MATCH(Insumos_a_comprar[[#This Row],[Planilla]],Table12[Planilla],0))</f>
        <v>Constante</v>
      </c>
      <c r="K41" s="77">
        <v>1</v>
      </c>
      <c r="L4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 s="206"/>
      <c r="N41" s="206"/>
      <c r="O41" s="206"/>
      <c r="P41" s="179"/>
      <c r="Q41" s="1"/>
      <c r="R41" s="1"/>
    </row>
    <row r="42" spans="1:18" x14ac:dyDescent="0.25">
      <c r="A42" s="13" t="s">
        <v>202</v>
      </c>
      <c r="B42" s="11" t="s">
        <v>392</v>
      </c>
      <c r="C42" s="61" t="str">
        <f>HYPERLINK("#'"&amp;Insumos_a_comprar[[#This Row],[Planilla]]&amp;"'!D1","Ir")</f>
        <v>Ir</v>
      </c>
      <c r="D42" s="11" t="s">
        <v>464</v>
      </c>
      <c r="E42" s="66"/>
      <c r="F42" s="67">
        <v>10</v>
      </c>
      <c r="G42" s="68" t="s">
        <v>7</v>
      </c>
      <c r="H42" s="72">
        <f ca="1">SUMIF(INDIRECT(SUBSTITUTE(B42," ","_")&amp;"[Insumo]"),Insumos_a_comprar[[#This Row],[Insumo]],INDIRECT(SUBSTITUTE(B42," ","_")&amp;"[Stock]"))</f>
        <v>0</v>
      </c>
      <c r="I42" s="69" t="str">
        <f ca="1">IF((Insumos_a_comprar[[#This Row],[Stock actual]]-Insumos_a_comprar[[#This Row],[Stock mínimo]])&lt;0,"Si","No")</f>
        <v>Si</v>
      </c>
      <c r="J42" s="67" t="str">
        <f ca="1">INDEX(Table12[Acción],MATCH(Insumos_a_comprar[[#This Row],[Planilla]],Table12[Planilla],0))</f>
        <v>Vencido</v>
      </c>
      <c r="K42" s="71">
        <v>100</v>
      </c>
      <c r="L4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42" s="65">
        <v>44245</v>
      </c>
      <c r="N42" s="65">
        <v>44042</v>
      </c>
      <c r="O42" s="65"/>
      <c r="P42" s="178"/>
      <c r="Q42" s="1"/>
      <c r="R42" s="1"/>
    </row>
    <row r="43" spans="1:18" x14ac:dyDescent="0.25">
      <c r="A43" s="13" t="s">
        <v>203</v>
      </c>
      <c r="B43" s="11" t="s">
        <v>392</v>
      </c>
      <c r="C43" s="61" t="str">
        <f>HYPERLINK("#'"&amp;Insumos_a_comprar[[#This Row],[Planilla]]&amp;"'!D1","Ir")</f>
        <v>Ir</v>
      </c>
      <c r="D43" s="11" t="s">
        <v>463</v>
      </c>
      <c r="E43" s="66"/>
      <c r="F43" s="67">
        <v>10</v>
      </c>
      <c r="G43" s="68" t="s">
        <v>7</v>
      </c>
      <c r="H43" s="72">
        <f ca="1">SUMIF(INDIRECT(SUBSTITUTE(B43," ","_")&amp;"[Insumo]"),Insumos_a_comprar[[#This Row],[Insumo]],INDIRECT(SUBSTITUTE(B43," ","_")&amp;"[Stock]"))</f>
        <v>0</v>
      </c>
      <c r="I43" s="69" t="str">
        <f ca="1">IF((Insumos_a_comprar[[#This Row],[Stock actual]]-Insumos_a_comprar[[#This Row],[Stock mínimo]])&lt;0,"Si","No")</f>
        <v>Si</v>
      </c>
      <c r="J43" s="67" t="str">
        <f ca="1">INDEX(Table12[Acción],MATCH(Insumos_a_comprar[[#This Row],[Planilla]],Table12[Planilla],0))</f>
        <v>Vencido</v>
      </c>
      <c r="K43" s="71">
        <v>100</v>
      </c>
      <c r="L4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43" s="65">
        <v>44245</v>
      </c>
      <c r="N43" s="65">
        <v>44042</v>
      </c>
      <c r="O43" s="65"/>
      <c r="P43" s="178"/>
      <c r="Q43" s="1"/>
      <c r="R43" s="1"/>
    </row>
    <row r="44" spans="1:18" x14ac:dyDescent="0.25">
      <c r="A44" s="10" t="s">
        <v>744</v>
      </c>
      <c r="B44" s="11" t="s">
        <v>400</v>
      </c>
      <c r="C44" s="61" t="str">
        <f>HYPERLINK("#'"&amp;Insumos_a_comprar[[#This Row],[Planilla]]&amp;"'!D1","Ir")</f>
        <v>Ir</v>
      </c>
      <c r="D44" s="11" t="s">
        <v>397</v>
      </c>
      <c r="E44" s="66" t="s">
        <v>811</v>
      </c>
      <c r="F44" s="67">
        <v>50</v>
      </c>
      <c r="G44" s="68" t="s">
        <v>149</v>
      </c>
      <c r="H44" s="72">
        <f ca="1">SUMIF(INDIRECT(SUBSTITUTE(B44," ","_")&amp;"[Insumo]"),Insumos_a_comprar[[#This Row],[Insumo]],INDIRECT(SUBSTITUTE(B44," ","_")&amp;"[Stock]"))</f>
        <v>150</v>
      </c>
      <c r="I44" s="69" t="str">
        <f ca="1">IF((Insumos_a_comprar[[#This Row],[Stock actual]]-Insumos_a_comprar[[#This Row],[Stock mínimo]])&lt;0,"Si","No")</f>
        <v>No</v>
      </c>
      <c r="J44" s="67" t="str">
        <f ca="1">INDEX(Table12[Acción],MATCH(Insumos_a_comprar[[#This Row],[Planilla]],Table12[Planilla],0))</f>
        <v>Vencido</v>
      </c>
      <c r="K44" s="71"/>
      <c r="L4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 s="65"/>
      <c r="N44" s="65"/>
      <c r="O44" s="65"/>
      <c r="P44" s="178"/>
      <c r="Q44" s="1"/>
      <c r="R44" s="1"/>
    </row>
    <row r="45" spans="1:18" x14ac:dyDescent="0.25">
      <c r="A45" s="10" t="s">
        <v>150</v>
      </c>
      <c r="B45" s="11" t="s">
        <v>400</v>
      </c>
      <c r="C45" s="61" t="str">
        <f>HYPERLINK("#'"&amp;Insumos_a_comprar[[#This Row],[Planilla]]&amp;"'!D1","Ir")</f>
        <v>Ir</v>
      </c>
      <c r="D45" s="11" t="s">
        <v>397</v>
      </c>
      <c r="E45" s="66" t="s">
        <v>811</v>
      </c>
      <c r="F45" s="67">
        <v>50</v>
      </c>
      <c r="G45" s="68" t="s">
        <v>149</v>
      </c>
      <c r="H45" s="72">
        <f ca="1">SUMIF(INDIRECT(SUBSTITUTE(B45," ","_")&amp;"[Insumo]"),Insumos_a_comprar[[#This Row],[Insumo]],INDIRECT(SUBSTITUTE(B45," ","_")&amp;"[Stock]"))</f>
        <v>55</v>
      </c>
      <c r="I45" s="69" t="str">
        <f ca="1">IF((Insumos_a_comprar[[#This Row],[Stock actual]]-Insumos_a_comprar[[#This Row],[Stock mínimo]])&lt;0,"Si","No")</f>
        <v>No</v>
      </c>
      <c r="J45" s="67" t="str">
        <f ca="1">INDEX(Table12[Acción],MATCH(Insumos_a_comprar[[#This Row],[Planilla]],Table12[Planilla],0))</f>
        <v>Vencido</v>
      </c>
      <c r="K45" s="71"/>
      <c r="L4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 s="65"/>
      <c r="N45" s="65"/>
      <c r="O45" s="65"/>
      <c r="P45" s="178"/>
      <c r="Q45" s="1"/>
      <c r="R45" s="1"/>
    </row>
    <row r="46" spans="1:18" x14ac:dyDescent="0.25">
      <c r="A46" s="10" t="s">
        <v>745</v>
      </c>
      <c r="B46" s="11" t="s">
        <v>400</v>
      </c>
      <c r="C46" s="61" t="str">
        <f>HYPERLINK("#'"&amp;Insumos_a_comprar[[#This Row],[Planilla]]&amp;"'!D1","Ir")</f>
        <v>Ir</v>
      </c>
      <c r="D46" s="11" t="s">
        <v>397</v>
      </c>
      <c r="E46" s="66" t="s">
        <v>811</v>
      </c>
      <c r="F46" s="67">
        <v>250</v>
      </c>
      <c r="G46" s="68" t="s">
        <v>149</v>
      </c>
      <c r="H46" s="72">
        <f ca="1">SUMIF(INDIRECT(SUBSTITUTE(B46," ","_")&amp;"[Insumo]"),Insumos_a_comprar[[#This Row],[Insumo]],INDIRECT(SUBSTITUTE(B46," ","_")&amp;"[Stock]"))</f>
        <v>500</v>
      </c>
      <c r="I46" s="69" t="str">
        <f ca="1">IF((Insumos_a_comprar[[#This Row],[Stock actual]]-Insumos_a_comprar[[#This Row],[Stock mínimo]])&lt;0,"Si","No")</f>
        <v>No</v>
      </c>
      <c r="J46" s="67" t="str">
        <f ca="1">INDEX(Table12[Acción],MATCH(Insumos_a_comprar[[#This Row],[Planilla]],Table12[Planilla],0))</f>
        <v>Vencido</v>
      </c>
      <c r="K46" s="71"/>
      <c r="L4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6" s="65"/>
      <c r="N46" s="65"/>
      <c r="O46" s="65">
        <v>44365</v>
      </c>
      <c r="P46" s="178"/>
      <c r="Q46" s="1"/>
      <c r="R46" s="1"/>
    </row>
    <row r="47" spans="1:18" x14ac:dyDescent="0.25">
      <c r="A47" s="10" t="s">
        <v>195</v>
      </c>
      <c r="B47" s="11" t="s">
        <v>443</v>
      </c>
      <c r="C47" s="61" t="str">
        <f>HYPERLINK("#'"&amp;Insumos_a_comprar[[#This Row],[Planilla]]&amp;"'!D1","Ir")</f>
        <v>Ir</v>
      </c>
      <c r="D47" s="11" t="s">
        <v>465</v>
      </c>
      <c r="E47" s="66" t="s">
        <v>73</v>
      </c>
      <c r="F47" s="67">
        <v>0.5</v>
      </c>
      <c r="G47" s="68" t="s">
        <v>399</v>
      </c>
      <c r="H47" s="72">
        <f ca="1">SUMIF(INDIRECT(SUBSTITUTE(B47," ","_")&amp;"[Insumo]"),Insumos_a_comprar[[#This Row],[Insumo]],INDIRECT(SUBSTITUTE(B47," ","_")&amp;"[Stock]"))</f>
        <v>0.7</v>
      </c>
      <c r="I47" s="69" t="str">
        <f ca="1">IF((Insumos_a_comprar[[#This Row],[Stock actual]]-Insumos_a_comprar[[#This Row],[Stock mínimo]])&lt;0,"Si","No")</f>
        <v>No</v>
      </c>
      <c r="J47" s="67" t="str">
        <f ca="1">INDEX(Table12[Acción],MATCH(Insumos_a_comprar[[#This Row],[Planilla]],Table12[Planilla],0))</f>
        <v>Vencido</v>
      </c>
      <c r="K47" s="71"/>
      <c r="L4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7" s="65"/>
      <c r="N47" s="65"/>
      <c r="O47" s="65"/>
      <c r="P47" s="178"/>
      <c r="Q47" s="1"/>
      <c r="R47" s="1"/>
    </row>
    <row r="48" spans="1:18" x14ac:dyDescent="0.25">
      <c r="A48" s="13" t="s">
        <v>204</v>
      </c>
      <c r="B48" s="11" t="s">
        <v>392</v>
      </c>
      <c r="C48" s="61" t="str">
        <f>HYPERLINK("#'"&amp;Insumos_a_comprar[[#This Row],[Planilla]]&amp;"'!D1","Ir")</f>
        <v>Ir</v>
      </c>
      <c r="D48" s="11" t="s">
        <v>463</v>
      </c>
      <c r="E48" s="66"/>
      <c r="F48" s="67">
        <v>10</v>
      </c>
      <c r="G48" s="68" t="s">
        <v>7</v>
      </c>
      <c r="H48" s="72">
        <f ca="1">SUMIF(INDIRECT(SUBSTITUTE(B48," ","_")&amp;"[Insumo]"),Insumos_a_comprar[[#This Row],[Insumo]],INDIRECT(SUBSTITUTE(B48," ","_")&amp;"[Stock]"))</f>
        <v>450</v>
      </c>
      <c r="I48" s="69" t="str">
        <f ca="1">IF((Insumos_a_comprar[[#This Row],[Stock actual]]-Insumos_a_comprar[[#This Row],[Stock mínimo]])&lt;0,"Si","No")</f>
        <v>No</v>
      </c>
      <c r="J48" s="67" t="str">
        <f ca="1">INDEX(Table12[Acción],MATCH(Insumos_a_comprar[[#This Row],[Planilla]],Table12[Planilla],0))</f>
        <v>Vencido</v>
      </c>
      <c r="K48" s="71">
        <v>100</v>
      </c>
      <c r="L4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8" s="65"/>
      <c r="N48" s="65"/>
      <c r="O48" s="65"/>
      <c r="P48" s="178"/>
      <c r="Q48" s="1"/>
      <c r="R48" s="1"/>
    </row>
    <row r="49" spans="1:18" x14ac:dyDescent="0.25">
      <c r="A49" s="10" t="s">
        <v>13</v>
      </c>
      <c r="B49" s="11" t="s">
        <v>60</v>
      </c>
      <c r="C49" s="61" t="str">
        <f>HYPERLINK("#'"&amp;Insumos_a_comprar[[#This Row],[Planilla]]&amp;"'!D1","Ir")</f>
        <v>Ir</v>
      </c>
      <c r="D49" s="11" t="s">
        <v>464</v>
      </c>
      <c r="E49" s="66" t="s">
        <v>73</v>
      </c>
      <c r="F49" s="67">
        <v>500</v>
      </c>
      <c r="G49" s="68" t="s">
        <v>7</v>
      </c>
      <c r="H49" s="66">
        <f ca="1">SUMIF(INDIRECT(SUBSTITUTE(B49," ","_")&amp;"[Insumo]"),Insumos_a_comprar[[#This Row],[Insumo]],INDIRECT(SUBSTITUTE(B49," ","_")&amp;"[Stock]"))</f>
        <v>2400</v>
      </c>
      <c r="I49" s="69" t="str">
        <f ca="1">IF((Insumos_a_comprar[[#This Row],[Stock actual]]-Insumos_a_comprar[[#This Row],[Stock mínimo]])&lt;0,"Si","No")</f>
        <v>No</v>
      </c>
      <c r="J49" s="67" t="str">
        <f ca="1">INDEX(Table12[Acción],MATCH(Insumos_a_comprar[[#This Row],[Planilla]],Table12[Planilla],0))</f>
        <v>Vigente</v>
      </c>
      <c r="K49" s="71">
        <v>500</v>
      </c>
      <c r="L4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9" s="65"/>
      <c r="N49" s="65"/>
      <c r="O49" s="65"/>
      <c r="P49" s="178"/>
      <c r="Q49" s="1"/>
      <c r="R49" s="1"/>
    </row>
    <row r="50" spans="1:18" x14ac:dyDescent="0.25">
      <c r="A50" s="10" t="s">
        <v>14</v>
      </c>
      <c r="B50" s="11" t="s">
        <v>60</v>
      </c>
      <c r="C50" s="61" t="str">
        <f>HYPERLINK("#'"&amp;Insumos_a_comprar[[#This Row],[Planilla]]&amp;"'!D1","Ir")</f>
        <v>Ir</v>
      </c>
      <c r="D50" s="11" t="s">
        <v>463</v>
      </c>
      <c r="E50" s="66" t="s">
        <v>812</v>
      </c>
      <c r="F50" s="67">
        <v>500</v>
      </c>
      <c r="G50" s="68" t="s">
        <v>7</v>
      </c>
      <c r="H50" s="66">
        <f ca="1">SUMIF(INDIRECT(SUBSTITUTE(B50," ","_")&amp;"[Insumo]"),Insumos_a_comprar[[#This Row],[Insumo]],INDIRECT(SUBSTITUTE(B50," ","_")&amp;"[Stock]"))</f>
        <v>1250</v>
      </c>
      <c r="I50" s="69" t="str">
        <f ca="1">IF((Insumos_a_comprar[[#This Row],[Stock actual]]-Insumos_a_comprar[[#This Row],[Stock mínimo]])&lt;0,"Si","No")</f>
        <v>No</v>
      </c>
      <c r="J50" s="67" t="str">
        <f ca="1">INDEX(Table12[Acción],MATCH(Insumos_a_comprar[[#This Row],[Planilla]],Table12[Planilla],0))</f>
        <v>Vigente</v>
      </c>
      <c r="K50" s="71">
        <v>500</v>
      </c>
      <c r="L5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0" s="65"/>
      <c r="N50" s="65"/>
      <c r="O50" s="65"/>
      <c r="P50" s="178"/>
      <c r="Q50" s="1"/>
      <c r="R50" s="1"/>
    </row>
    <row r="51" spans="1:18" ht="31.5" x14ac:dyDescent="0.25">
      <c r="A51" s="10" t="s">
        <v>50</v>
      </c>
      <c r="B51" s="11" t="s">
        <v>60</v>
      </c>
      <c r="C51" s="61" t="str">
        <f>HYPERLINK("#'"&amp;Insumos_a_comprar[[#This Row],[Planilla]]&amp;"'!D1","Ir")</f>
        <v>Ir</v>
      </c>
      <c r="D51" s="11" t="s">
        <v>463</v>
      </c>
      <c r="E51" s="66"/>
      <c r="F51" s="67">
        <v>500</v>
      </c>
      <c r="G51" s="68" t="s">
        <v>7</v>
      </c>
      <c r="H51" s="66">
        <f ca="1">SUMIF(INDIRECT(SUBSTITUTE(B51," ","_")&amp;"[Insumo]"),Insumos_a_comprar[[#This Row],[Insumo]],INDIRECT(SUBSTITUTE(B51," ","_")&amp;"[Stock]"))</f>
        <v>1000</v>
      </c>
      <c r="I51" s="69" t="str">
        <f ca="1">IF((Insumos_a_comprar[[#This Row],[Stock actual]]-Insumos_a_comprar[[#This Row],[Stock mínimo]])&lt;0,"Si","No")</f>
        <v>No</v>
      </c>
      <c r="J51" s="67" t="str">
        <f ca="1">INDEX(Table12[Acción],MATCH(Insumos_a_comprar[[#This Row],[Planilla]],Table12[Planilla],0))</f>
        <v>Vigente</v>
      </c>
      <c r="K51" s="71">
        <v>500</v>
      </c>
      <c r="L5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1" s="65"/>
      <c r="N51" s="65"/>
      <c r="O51" s="65"/>
      <c r="P51" s="178"/>
      <c r="Q51" s="1"/>
      <c r="R51" s="1"/>
    </row>
    <row r="52" spans="1:18" x14ac:dyDescent="0.25">
      <c r="A52" s="333" t="s">
        <v>1057</v>
      </c>
      <c r="B52" s="334" t="s">
        <v>60</v>
      </c>
      <c r="C52" s="297" t="str">
        <f>HYPERLINK("#'"&amp;Insumos_a_comprar[[#This Row],[Planilla]]&amp;"'!D1","Ir")</f>
        <v>Ir</v>
      </c>
      <c r="D52" s="11" t="s">
        <v>397</v>
      </c>
      <c r="E52" s="335" t="s">
        <v>1058</v>
      </c>
      <c r="F52" s="336">
        <v>50</v>
      </c>
      <c r="G52" s="337" t="s">
        <v>7</v>
      </c>
      <c r="H52" s="338">
        <f ca="1">SUMIF(INDIRECT(SUBSTITUTE(B52," ","_")&amp;"[Insumo]"),Insumos_a_comprar[[#This Row],[Insumo]],INDIRECT(SUBSTITUTE(B52," ","_")&amp;"[Stock]"))</f>
        <v>250</v>
      </c>
      <c r="I52" s="339" t="str">
        <f ca="1">IF((Insumos_a_comprar[[#This Row],[Stock actual]]-Insumos_a_comprar[[#This Row],[Stock mínimo]])&lt;0,"Si","No")</f>
        <v>No</v>
      </c>
      <c r="J52" s="340" t="str">
        <f ca="1">INDEX(Table12[Acción],MATCH(Insumos_a_comprar[[#This Row],[Planilla]],Table12[Planilla],0))</f>
        <v>Vigente</v>
      </c>
      <c r="K52" s="340">
        <v>250</v>
      </c>
      <c r="L52" s="341"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2" s="342"/>
      <c r="N52" s="342"/>
      <c r="O52" s="343">
        <v>44222</v>
      </c>
      <c r="P52" s="344"/>
      <c r="Q52" s="1"/>
      <c r="R52" s="1"/>
    </row>
    <row r="53" spans="1:18" x14ac:dyDescent="0.25">
      <c r="A53" s="10" t="s">
        <v>48</v>
      </c>
      <c r="B53" s="11" t="s">
        <v>60</v>
      </c>
      <c r="C53" s="61" t="str">
        <f>HYPERLINK("#'"&amp;Insumos_a_comprar[[#This Row],[Planilla]]&amp;"'!D1","Ir")</f>
        <v>Ir</v>
      </c>
      <c r="D53" s="11" t="s">
        <v>463</v>
      </c>
      <c r="E53" s="66"/>
      <c r="F53" s="67">
        <v>100</v>
      </c>
      <c r="G53" s="68" t="s">
        <v>7</v>
      </c>
      <c r="H53" s="66">
        <f ca="1">SUMIF(INDIRECT(SUBSTITUTE(B53," ","_")&amp;"[Insumo]"),Insumos_a_comprar[[#This Row],[Insumo]],INDIRECT(SUBSTITUTE(B53," ","_")&amp;"[Stock]"))</f>
        <v>450</v>
      </c>
      <c r="I53" s="69" t="str">
        <f ca="1">IF((Insumos_a_comprar[[#This Row],[Stock actual]]-Insumos_a_comprar[[#This Row],[Stock mínimo]])&lt;0,"Si","No")</f>
        <v>No</v>
      </c>
      <c r="J53" s="67" t="str">
        <f ca="1">INDEX(Table12[Acción],MATCH(Insumos_a_comprar[[#This Row],[Planilla]],Table12[Planilla],0))</f>
        <v>Vigente</v>
      </c>
      <c r="K53" s="71">
        <v>250</v>
      </c>
      <c r="L5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3" s="65"/>
      <c r="N53" s="65"/>
      <c r="O53" s="65"/>
      <c r="P53" s="178"/>
      <c r="Q53" s="1"/>
      <c r="R53" s="1"/>
    </row>
    <row r="54" spans="1:18" x14ac:dyDescent="0.25">
      <c r="A54" s="13" t="s">
        <v>205</v>
      </c>
      <c r="B54" s="11" t="s">
        <v>392</v>
      </c>
      <c r="C54" s="61" t="str">
        <f>HYPERLINK("#'"&amp;Insumos_a_comprar[[#This Row],[Planilla]]&amp;"'!D1","Ir")</f>
        <v>Ir</v>
      </c>
      <c r="D54" s="11" t="s">
        <v>463</v>
      </c>
      <c r="E54" s="66"/>
      <c r="F54" s="67">
        <v>10</v>
      </c>
      <c r="G54" s="68" t="s">
        <v>7</v>
      </c>
      <c r="H54" s="72">
        <f ca="1">SUMIF(INDIRECT(SUBSTITUTE(B54," ","_")&amp;"[Insumo]"),Insumos_a_comprar[[#This Row],[Insumo]],INDIRECT(SUBSTITUTE(B54," ","_")&amp;"[Stock]"))</f>
        <v>150</v>
      </c>
      <c r="I54" s="69" t="str">
        <f ca="1">IF((Insumos_a_comprar[[#This Row],[Stock actual]]-Insumos_a_comprar[[#This Row],[Stock mínimo]])&lt;0,"Si","No")</f>
        <v>No</v>
      </c>
      <c r="J54" s="67" t="str">
        <f ca="1">INDEX(Table12[Acción],MATCH(Insumos_a_comprar[[#This Row],[Planilla]],Table12[Planilla],0))</f>
        <v>Vencido</v>
      </c>
      <c r="K54" s="71" t="s">
        <v>206</v>
      </c>
      <c r="L5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4" s="65"/>
      <c r="N54" s="65"/>
      <c r="O54" s="65"/>
      <c r="P54" s="178"/>
      <c r="Q54" s="1"/>
      <c r="R54" s="1"/>
    </row>
    <row r="55" spans="1:18" x14ac:dyDescent="0.25">
      <c r="A55" s="10" t="s">
        <v>462</v>
      </c>
      <c r="B55" s="11" t="s">
        <v>60</v>
      </c>
      <c r="C55" s="61" t="str">
        <f>HYPERLINK("#'"&amp;Insumos_a_comprar[[#This Row],[Planilla]]&amp;"'!D1","Ir")</f>
        <v>Ir</v>
      </c>
      <c r="D55" s="11" t="s">
        <v>463</v>
      </c>
      <c r="E55" s="66" t="s">
        <v>813</v>
      </c>
      <c r="F55" s="67">
        <v>500</v>
      </c>
      <c r="G55" s="68" t="s">
        <v>7</v>
      </c>
      <c r="H55" s="66">
        <f ca="1">SUMIF(INDIRECT(SUBSTITUTE(B55," ","_")&amp;"[Insumo]"),Insumos_a_comprar[[#This Row],[Insumo]],INDIRECT(SUBSTITUTE(B55," ","_")&amp;"[Stock]"))</f>
        <v>450</v>
      </c>
      <c r="I55" s="69" t="str">
        <f ca="1">IF((Insumos_a_comprar[[#This Row],[Stock actual]]-Insumos_a_comprar[[#This Row],[Stock mínimo]])&lt;0,"Si","No")</f>
        <v>Si</v>
      </c>
      <c r="J55" s="67" t="str">
        <f ca="1">INDEX(Table12[Acción],MATCH(Insumos_a_comprar[[#This Row],[Planilla]],Table12[Planilla],0))</f>
        <v>Vigente</v>
      </c>
      <c r="K55" s="71">
        <v>500</v>
      </c>
      <c r="L5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55" s="65">
        <v>44356</v>
      </c>
      <c r="N55" s="65"/>
      <c r="O55" s="65"/>
      <c r="P55" s="178"/>
      <c r="Q55" s="1"/>
      <c r="R55" s="1"/>
    </row>
    <row r="56" spans="1:18" x14ac:dyDescent="0.25">
      <c r="A56" s="13" t="s">
        <v>246</v>
      </c>
      <c r="B56" s="11" t="s">
        <v>393</v>
      </c>
      <c r="C56" s="61" t="str">
        <f>HYPERLINK("#'"&amp;Insumos_a_comprar[[#This Row],[Planilla]]&amp;"'!D1","Ir")</f>
        <v>Ir</v>
      </c>
      <c r="D56" s="11" t="s">
        <v>463</v>
      </c>
      <c r="E56" s="66"/>
      <c r="F56" s="67">
        <v>1</v>
      </c>
      <c r="G56" s="68" t="s">
        <v>7</v>
      </c>
      <c r="H56" s="72">
        <f ca="1">SUMIF(INDIRECT(SUBSTITUTE(B56," ","_")&amp;"[Insumo]"),Insumos_a_comprar[[#This Row],[Insumo]],INDIRECT(SUBSTITUTE(B56," ","_")&amp;"[Stock]"))</f>
        <v>5</v>
      </c>
      <c r="I56" s="69" t="str">
        <f ca="1">IF((Insumos_a_comprar[[#This Row],[Stock actual]]-Insumos_a_comprar[[#This Row],[Stock mínimo]])&lt;0,"Si","No")</f>
        <v>No</v>
      </c>
      <c r="J56" s="67" t="str">
        <f ca="1">INDEX(Table12[Acción],MATCH(Insumos_a_comprar[[#This Row],[Planilla]],Table12[Planilla],0))</f>
        <v>Vencido</v>
      </c>
      <c r="K56" s="71" t="s">
        <v>206</v>
      </c>
      <c r="L5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6" s="65"/>
      <c r="N56" s="65"/>
      <c r="O56" s="65"/>
      <c r="P56" s="178"/>
      <c r="Q56" s="1"/>
      <c r="R56" s="1"/>
    </row>
    <row r="57" spans="1:18" ht="31.5" x14ac:dyDescent="0.25">
      <c r="A57" s="13" t="s">
        <v>248</v>
      </c>
      <c r="B57" s="11" t="s">
        <v>393</v>
      </c>
      <c r="C57" s="61" t="str">
        <f>HYPERLINK("#'"&amp;Insumos_a_comprar[[#This Row],[Planilla]]&amp;"'!D1","Ir")</f>
        <v>Ir</v>
      </c>
      <c r="D57" s="11" t="s">
        <v>463</v>
      </c>
      <c r="E57" s="66"/>
      <c r="F57" s="67">
        <v>10</v>
      </c>
      <c r="G57" s="68" t="s">
        <v>7</v>
      </c>
      <c r="H57" s="72">
        <f ca="1">SUMIF(INDIRECT(SUBSTITUTE(B57," ","_")&amp;"[Insumo]"),Insumos_a_comprar[[#This Row],[Insumo]],INDIRECT(SUBSTITUTE(B57," ","_")&amp;"[Stock]"))</f>
        <v>17</v>
      </c>
      <c r="I57" s="69" t="str">
        <f ca="1">IF((Insumos_a_comprar[[#This Row],[Stock actual]]-Insumos_a_comprar[[#This Row],[Stock mínimo]])&lt;0,"Si","No")</f>
        <v>No</v>
      </c>
      <c r="J57" s="67" t="str">
        <f ca="1">INDEX(Table12[Acción],MATCH(Insumos_a_comprar[[#This Row],[Planilla]],Table12[Planilla],0))</f>
        <v>Vencido</v>
      </c>
      <c r="K57" s="71" t="s">
        <v>206</v>
      </c>
      <c r="L5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7" s="65"/>
      <c r="N57" s="65"/>
      <c r="O57" s="65"/>
      <c r="P57" s="178"/>
      <c r="Q57" s="1"/>
      <c r="R57" s="1"/>
    </row>
    <row r="58" spans="1:18" x14ac:dyDescent="0.25">
      <c r="A58" s="22" t="s">
        <v>473</v>
      </c>
      <c r="B58" s="23" t="s">
        <v>440</v>
      </c>
      <c r="C58" s="61" t="str">
        <f>HYPERLINK("#'"&amp;Insumos_a_comprar[[#This Row],[Planilla]]&amp;"'!D1","Ir")</f>
        <v>Ir</v>
      </c>
      <c r="D58" s="11" t="s">
        <v>397</v>
      </c>
      <c r="E58" s="73" t="s">
        <v>397</v>
      </c>
      <c r="F58" s="74">
        <v>1</v>
      </c>
      <c r="G58" s="75" t="s">
        <v>65</v>
      </c>
      <c r="H58" s="76">
        <f ca="1">SUMIF(INDIRECT(SUBSTITUTE(B58," ","_")&amp;"[Insumo]"),Insumos_a_comprar[[#This Row],[Insumo]],INDIRECT(SUBSTITUTE(B58," ","_")&amp;"[Stock]"))</f>
        <v>1</v>
      </c>
      <c r="I58" s="69" t="str">
        <f ca="1">IF((Insumos_a_comprar[[#This Row],[Stock actual]]-Insumos_a_comprar[[#This Row],[Stock mínimo]])&lt;0,"Si","No")</f>
        <v>No</v>
      </c>
      <c r="J58" s="67" t="str">
        <f ca="1">INDEX(Table12[Acción],MATCH(Insumos_a_comprar[[#This Row],[Planilla]],Table12[Planilla],0))</f>
        <v>Constante</v>
      </c>
      <c r="K58" s="77">
        <v>2</v>
      </c>
      <c r="L5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8" s="206"/>
      <c r="N58" s="206"/>
      <c r="O58" s="206"/>
      <c r="P58" s="179"/>
      <c r="Q58" s="1"/>
      <c r="R58" s="1"/>
    </row>
    <row r="59" spans="1:18" x14ac:dyDescent="0.25">
      <c r="A59" s="22" t="s">
        <v>472</v>
      </c>
      <c r="B59" s="23" t="s">
        <v>440</v>
      </c>
      <c r="C59" s="61" t="str">
        <f>HYPERLINK("#'"&amp;Insumos_a_comprar[[#This Row],[Planilla]]&amp;"'!D1","Ir")</f>
        <v>Ir</v>
      </c>
      <c r="D59" s="11" t="s">
        <v>397</v>
      </c>
      <c r="E59" s="73" t="s">
        <v>397</v>
      </c>
      <c r="F59" s="74">
        <v>2</v>
      </c>
      <c r="G59" s="75" t="s">
        <v>65</v>
      </c>
      <c r="H59" s="76">
        <f ca="1">SUMIF(INDIRECT(SUBSTITUTE(B59," ","_")&amp;"[Insumo]"),Insumos_a_comprar[[#This Row],[Insumo]],INDIRECT(SUBSTITUTE(B59," ","_")&amp;"[Stock]"))</f>
        <v>2</v>
      </c>
      <c r="I59" s="69" t="str">
        <f ca="1">IF((Insumos_a_comprar[[#This Row],[Stock actual]]-Insumos_a_comprar[[#This Row],[Stock mínimo]])&lt;0,"Si","No")</f>
        <v>No</v>
      </c>
      <c r="J59" s="67" t="str">
        <f ca="1">INDEX(Table12[Acción],MATCH(Insumos_a_comprar[[#This Row],[Planilla]],Table12[Planilla],0))</f>
        <v>Constante</v>
      </c>
      <c r="K59" s="77">
        <v>2</v>
      </c>
      <c r="L5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59" s="206"/>
      <c r="N59" s="206"/>
      <c r="O59" s="206"/>
      <c r="P59" s="179"/>
      <c r="Q59" s="1"/>
      <c r="R59" s="1"/>
    </row>
    <row r="60" spans="1:18" x14ac:dyDescent="0.25">
      <c r="A60" s="22" t="s">
        <v>475</v>
      </c>
      <c r="B60" s="23" t="s">
        <v>440</v>
      </c>
      <c r="C60" s="61" t="str">
        <f>HYPERLINK("#'"&amp;Insumos_a_comprar[[#This Row],[Planilla]]&amp;"'!D1","Ir")</f>
        <v>Ir</v>
      </c>
      <c r="D60" s="11" t="s">
        <v>397</v>
      </c>
      <c r="E60" s="73" t="s">
        <v>397</v>
      </c>
      <c r="F60" s="74">
        <v>1</v>
      </c>
      <c r="G60" s="75" t="s">
        <v>65</v>
      </c>
      <c r="H60" s="76">
        <f ca="1">SUMIF(INDIRECT(SUBSTITUTE(B60," ","_")&amp;"[Insumo]"),Insumos_a_comprar[[#This Row],[Insumo]],INDIRECT(SUBSTITUTE(B60," ","_")&amp;"[Stock]"))</f>
        <v>0</v>
      </c>
      <c r="I60" s="69" t="str">
        <f ca="1">IF((Insumos_a_comprar[[#This Row],[Stock actual]]-Insumos_a_comprar[[#This Row],[Stock mínimo]])&lt;0,"Si","No")</f>
        <v>Si</v>
      </c>
      <c r="J60" s="67" t="str">
        <f ca="1">INDEX(Table12[Acción],MATCH(Insumos_a_comprar[[#This Row],[Planilla]],Table12[Planilla],0))</f>
        <v>Constante</v>
      </c>
      <c r="K60" s="77">
        <v>2</v>
      </c>
      <c r="L6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60" s="206">
        <v>44245</v>
      </c>
      <c r="N60" s="206">
        <v>44042</v>
      </c>
      <c r="O60" s="206"/>
      <c r="P60" s="179" t="s">
        <v>928</v>
      </c>
      <c r="Q60" s="1"/>
      <c r="R60" s="1"/>
    </row>
    <row r="61" spans="1:18" x14ac:dyDescent="0.25">
      <c r="A61" s="22" t="s">
        <v>476</v>
      </c>
      <c r="B61" s="23" t="s">
        <v>440</v>
      </c>
      <c r="C61" s="61" t="str">
        <f>HYPERLINK("#'"&amp;Insumos_a_comprar[[#This Row],[Planilla]]&amp;"'!D1","Ir")</f>
        <v>Ir</v>
      </c>
      <c r="D61" s="11" t="s">
        <v>397</v>
      </c>
      <c r="E61" s="73" t="s">
        <v>397</v>
      </c>
      <c r="F61" s="74">
        <v>1</v>
      </c>
      <c r="G61" s="75" t="s">
        <v>65</v>
      </c>
      <c r="H61" s="76">
        <f ca="1">SUMIF(INDIRECT(SUBSTITUTE(B61," ","_")&amp;"[Insumo]"),Insumos_a_comprar[[#This Row],[Insumo]],INDIRECT(SUBSTITUTE(B61," ","_")&amp;"[Stock]"))</f>
        <v>1</v>
      </c>
      <c r="I61" s="69" t="str">
        <f ca="1">IF((Insumos_a_comprar[[#This Row],[Stock actual]]-Insumos_a_comprar[[#This Row],[Stock mínimo]])&lt;0,"Si","No")</f>
        <v>No</v>
      </c>
      <c r="J61" s="67" t="str">
        <f ca="1">INDEX(Table12[Acción],MATCH(Insumos_a_comprar[[#This Row],[Planilla]],Table12[Planilla],0))</f>
        <v>Constante</v>
      </c>
      <c r="K61" s="77">
        <v>2</v>
      </c>
      <c r="L6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1" s="206"/>
      <c r="N61" s="206"/>
      <c r="O61" s="206"/>
      <c r="P61" s="179"/>
      <c r="Q61" s="1"/>
      <c r="R61" s="1"/>
    </row>
    <row r="62" spans="1:18" x14ac:dyDescent="0.25">
      <c r="A62" s="22" t="s">
        <v>474</v>
      </c>
      <c r="B62" s="23" t="s">
        <v>440</v>
      </c>
      <c r="C62" s="61" t="str">
        <f>HYPERLINK("#'"&amp;Insumos_a_comprar[[#This Row],[Planilla]]&amp;"'!D1","Ir")</f>
        <v>Ir</v>
      </c>
      <c r="D62" s="11" t="s">
        <v>397</v>
      </c>
      <c r="E62" s="73" t="s">
        <v>397</v>
      </c>
      <c r="F62" s="74">
        <v>6</v>
      </c>
      <c r="G62" s="75" t="s">
        <v>65</v>
      </c>
      <c r="H62" s="76">
        <f ca="1">SUMIF(INDIRECT(SUBSTITUTE(B62," ","_")&amp;"[Insumo]"),Insumos_a_comprar[[#This Row],[Insumo]],INDIRECT(SUBSTITUTE(B62," ","_")&amp;"[Stock]"))</f>
        <v>5</v>
      </c>
      <c r="I62" s="69" t="str">
        <f ca="1">IF((Insumos_a_comprar[[#This Row],[Stock actual]]-Insumos_a_comprar[[#This Row],[Stock mínimo]])&lt;0,"Si","No")</f>
        <v>Si</v>
      </c>
      <c r="J62" s="67" t="str">
        <f ca="1">INDEX(Table12[Acción],MATCH(Insumos_a_comprar[[#This Row],[Planilla]],Table12[Planilla],0))</f>
        <v>Constante</v>
      </c>
      <c r="K62" s="77">
        <v>5</v>
      </c>
      <c r="L6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62" s="206">
        <v>44245</v>
      </c>
      <c r="N62" s="206">
        <v>44042</v>
      </c>
      <c r="O62" s="206"/>
      <c r="P62" s="179" t="s">
        <v>928</v>
      </c>
      <c r="Q62" s="1"/>
      <c r="R62" s="1"/>
    </row>
    <row r="63" spans="1:18" x14ac:dyDescent="0.25">
      <c r="A63" s="22" t="s">
        <v>1068</v>
      </c>
      <c r="B63" s="23" t="s">
        <v>398</v>
      </c>
      <c r="C63" s="297" t="str">
        <f>HYPERLINK("#'"&amp;Insumos_a_comprar[[#This Row],[Planilla]]&amp;"'!D1","Ir")</f>
        <v>Ir</v>
      </c>
      <c r="D63" s="11" t="s">
        <v>465</v>
      </c>
      <c r="E63" s="73" t="s">
        <v>1069</v>
      </c>
      <c r="F63" s="74">
        <v>0.5</v>
      </c>
      <c r="G63" s="75" t="s">
        <v>399</v>
      </c>
      <c r="H63" s="76">
        <f ca="1">SUMIF(INDIRECT(SUBSTITUTE(B63," ","_")&amp;"[Insumo]"),Insumos_a_comprar[[#This Row],[Insumo]],INDIRECT(SUBSTITUTE(B63," ","_")&amp;"[Stock]"))</f>
        <v>1</v>
      </c>
      <c r="I63" s="194" t="str">
        <f ca="1">IF((Insumos_a_comprar[[#This Row],[Stock actual]]-Insumos_a_comprar[[#This Row],[Stock mínimo]])&lt;0,"Si","No")</f>
        <v>No</v>
      </c>
      <c r="J63" s="77" t="str">
        <f ca="1">INDEX(Table12[Acción],MATCH(Insumos_a_comprar[[#This Row],[Planilla]],Table12[Planilla],0))</f>
        <v>Vigente</v>
      </c>
      <c r="K63" s="77">
        <v>1</v>
      </c>
      <c r="L63" s="386"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3" s="387"/>
      <c r="N63" s="387"/>
      <c r="O63" s="206"/>
      <c r="P63" s="179"/>
      <c r="Q63" s="1"/>
      <c r="R63" s="1"/>
    </row>
    <row r="64" spans="1:18" x14ac:dyDescent="0.25">
      <c r="A64" s="22" t="s">
        <v>98</v>
      </c>
      <c r="B64" s="23" t="s">
        <v>594</v>
      </c>
      <c r="C64" s="61" t="str">
        <f>HYPERLINK("#'"&amp;Insumos_a_comprar[[#This Row],[Planilla]]&amp;"'!D1","Ir")</f>
        <v>Ir</v>
      </c>
      <c r="D64" s="11" t="s">
        <v>397</v>
      </c>
      <c r="E64" s="73" t="s">
        <v>397</v>
      </c>
      <c r="F64" s="74">
        <v>1</v>
      </c>
      <c r="G64" s="75" t="s">
        <v>65</v>
      </c>
      <c r="H64" s="76">
        <f ca="1">SUMIF(INDIRECT(SUBSTITUTE(B64," ","_")&amp;"[Insumo]"),Insumos_a_comprar[[#This Row],[Insumo]],INDIRECT(SUBSTITUTE(B64," ","_")&amp;"[Stock]"))</f>
        <v>1</v>
      </c>
      <c r="I64" s="69" t="str">
        <f ca="1">IF((Insumos_a_comprar[[#This Row],[Stock actual]]-Insumos_a_comprar[[#This Row],[Stock mínimo]])&lt;0,"Si","No")</f>
        <v>No</v>
      </c>
      <c r="J64" s="67" t="str">
        <f ca="1">INDEX(Table12[Acción],MATCH(Insumos_a_comprar[[#This Row],[Planilla]],Table12[Planilla],0))</f>
        <v>Constante</v>
      </c>
      <c r="K64" s="77">
        <v>1</v>
      </c>
      <c r="L6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4" s="367"/>
      <c r="N64" s="367"/>
      <c r="O64" s="367"/>
      <c r="P64" s="179"/>
      <c r="Q64" s="1"/>
      <c r="R64" s="1"/>
    </row>
    <row r="65" spans="1:18" x14ac:dyDescent="0.25">
      <c r="A65" s="13" t="s">
        <v>207</v>
      </c>
      <c r="B65" s="11" t="s">
        <v>392</v>
      </c>
      <c r="C65" s="61" t="str">
        <f>HYPERLINK("#'"&amp;Insumos_a_comprar[[#This Row],[Planilla]]&amp;"'!D1","Ir")</f>
        <v>Ir</v>
      </c>
      <c r="D65" s="11" t="s">
        <v>463</v>
      </c>
      <c r="E65" s="66"/>
      <c r="F65" s="67">
        <v>1</v>
      </c>
      <c r="G65" s="68" t="s">
        <v>7</v>
      </c>
      <c r="H65" s="72">
        <f ca="1">SUMIF(INDIRECT(SUBSTITUTE(B65," ","_")&amp;"[Insumo]"),Insumos_a_comprar[[#This Row],[Insumo]],INDIRECT(SUBSTITUTE(B65," ","_")&amp;"[Stock]"))</f>
        <v>10</v>
      </c>
      <c r="I65" s="69" t="str">
        <f ca="1">IF((Insumos_a_comprar[[#This Row],[Stock actual]]-Insumos_a_comprar[[#This Row],[Stock mínimo]])&lt;0,"Si","No")</f>
        <v>No</v>
      </c>
      <c r="J65" s="67" t="str">
        <f ca="1">INDEX(Table12[Acción],MATCH(Insumos_a_comprar[[#This Row],[Planilla]],Table12[Planilla],0))</f>
        <v>Vencido</v>
      </c>
      <c r="K65" s="71" t="s">
        <v>206</v>
      </c>
      <c r="L6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5" s="65"/>
      <c r="N65" s="65"/>
      <c r="O65" s="65"/>
      <c r="P65" s="178"/>
      <c r="Q65" s="1"/>
      <c r="R65" s="1"/>
    </row>
    <row r="66" spans="1:18" x14ac:dyDescent="0.25">
      <c r="A66" s="22" t="s">
        <v>573</v>
      </c>
      <c r="B66" s="23" t="s">
        <v>440</v>
      </c>
      <c r="C66" s="61" t="str">
        <f>HYPERLINK("#'"&amp;Insumos_a_comprar[[#This Row],[Planilla]]&amp;"'!D1","Ir")</f>
        <v>Ir</v>
      </c>
      <c r="D66" s="11" t="s">
        <v>397</v>
      </c>
      <c r="E66" s="73" t="s">
        <v>397</v>
      </c>
      <c r="F66" s="74">
        <v>10</v>
      </c>
      <c r="G66" s="75" t="s">
        <v>65</v>
      </c>
      <c r="H66" s="76">
        <f ca="1">SUMIF(INDIRECT(SUBSTITUTE(B66," ","_")&amp;"[Insumo]"),Insumos_a_comprar[[#This Row],[Insumo]],INDIRECT(SUBSTITUTE(B66," ","_")&amp;"[Stock]"))</f>
        <v>20</v>
      </c>
      <c r="I66" s="69" t="str">
        <f ca="1">IF((Insumos_a_comprar[[#This Row],[Stock actual]]-Insumos_a_comprar[[#This Row],[Stock mínimo]])&lt;0,"Si","No")</f>
        <v>No</v>
      </c>
      <c r="J66" s="67" t="str">
        <f ca="1">INDEX(Table12[Acción],MATCH(Insumos_a_comprar[[#This Row],[Planilla]],Table12[Planilla],0))</f>
        <v>Constante</v>
      </c>
      <c r="K66" s="77">
        <v>5</v>
      </c>
      <c r="L6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6" s="206"/>
      <c r="N66" s="206"/>
      <c r="O66" s="206"/>
      <c r="P66" s="179"/>
      <c r="Q66" s="1"/>
      <c r="R66" s="1"/>
    </row>
    <row r="67" spans="1:18" x14ac:dyDescent="0.25">
      <c r="A67" s="22" t="s">
        <v>574</v>
      </c>
      <c r="B67" s="23" t="s">
        <v>440</v>
      </c>
      <c r="C67" s="61" t="str">
        <f>HYPERLINK("#'"&amp;Insumos_a_comprar[[#This Row],[Planilla]]&amp;"'!D1","Ir")</f>
        <v>Ir</v>
      </c>
      <c r="D67" s="11" t="s">
        <v>397</v>
      </c>
      <c r="E67" s="73" t="s">
        <v>397</v>
      </c>
      <c r="F67" s="74">
        <v>4</v>
      </c>
      <c r="G67" s="75" t="s">
        <v>65</v>
      </c>
      <c r="H67" s="76">
        <f ca="1">SUMIF(INDIRECT(SUBSTITUTE(B67," ","_")&amp;"[Insumo]"),Insumos_a_comprar[[#This Row],[Insumo]],INDIRECT(SUBSTITUTE(B67," ","_")&amp;"[Stock]"))</f>
        <v>5</v>
      </c>
      <c r="I67" s="69" t="str">
        <f ca="1">IF((Insumos_a_comprar[[#This Row],[Stock actual]]-Insumos_a_comprar[[#This Row],[Stock mínimo]])&lt;0,"Si","No")</f>
        <v>No</v>
      </c>
      <c r="J67" s="67" t="str">
        <f ca="1">INDEX(Table12[Acción],MATCH(Insumos_a_comprar[[#This Row],[Planilla]],Table12[Planilla],0))</f>
        <v>Constante</v>
      </c>
      <c r="K67" s="77">
        <v>5</v>
      </c>
      <c r="L6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7" s="206"/>
      <c r="N67" s="206"/>
      <c r="O67" s="206"/>
      <c r="P67" s="179"/>
      <c r="Q67" s="1"/>
      <c r="R67" s="1"/>
    </row>
    <row r="68" spans="1:18" x14ac:dyDescent="0.25">
      <c r="A68" s="22" t="s">
        <v>97</v>
      </c>
      <c r="B68" s="23" t="s">
        <v>594</v>
      </c>
      <c r="C68" s="61" t="str">
        <f>HYPERLINK("#'"&amp;Insumos_a_comprar[[#This Row],[Planilla]]&amp;"'!D1","Ir")</f>
        <v>Ir</v>
      </c>
      <c r="D68" s="11" t="s">
        <v>397</v>
      </c>
      <c r="E68" s="73" t="s">
        <v>397</v>
      </c>
      <c r="F68" s="74">
        <v>1</v>
      </c>
      <c r="G68" s="75" t="s">
        <v>65</v>
      </c>
      <c r="H68" s="76">
        <f ca="1">SUMIF(INDIRECT(SUBSTITUTE(B68," ","_")&amp;"[Insumo]"),Insumos_a_comprar[[#This Row],[Insumo]],INDIRECT(SUBSTITUTE(B68," ","_")&amp;"[Stock]"))</f>
        <v>1</v>
      </c>
      <c r="I68" s="69" t="str">
        <f ca="1">IF((Insumos_a_comprar[[#This Row],[Stock actual]]-Insumos_a_comprar[[#This Row],[Stock mínimo]])&lt;0,"Si","No")</f>
        <v>No</v>
      </c>
      <c r="J68" s="67" t="str">
        <f ca="1">INDEX(Table12[Acción],MATCH(Insumos_a_comprar[[#This Row],[Planilla]],Table12[Planilla],0))</f>
        <v>Constante</v>
      </c>
      <c r="K68" s="77">
        <v>1</v>
      </c>
      <c r="L6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8" s="206"/>
      <c r="N68" s="206"/>
      <c r="O68" s="206"/>
      <c r="P68" s="179"/>
      <c r="Q68" s="1"/>
      <c r="R68" s="1"/>
    </row>
    <row r="69" spans="1:18" x14ac:dyDescent="0.25">
      <c r="A69" s="22" t="s">
        <v>704</v>
      </c>
      <c r="B69" s="23" t="s">
        <v>739</v>
      </c>
      <c r="C69" s="61" t="str">
        <f>HYPERLINK("#'"&amp;Insumos_a_comprar[[#This Row],[Planilla]]&amp;"'!D1","Ir")</f>
        <v>Ir</v>
      </c>
      <c r="D69" s="11" t="s">
        <v>397</v>
      </c>
      <c r="E69" s="73" t="s">
        <v>397</v>
      </c>
      <c r="F69" s="74">
        <v>10</v>
      </c>
      <c r="G69" s="75" t="s">
        <v>702</v>
      </c>
      <c r="H69" s="76">
        <f ca="1">SUMIF(INDIRECT(SUBSTITUTE(B69," ","_")&amp;"[Insumo]"),Insumos_a_comprar[[#This Row],[Insumo]],INDIRECT(SUBSTITUTE(B69," ","_")&amp;"[Stock]"))</f>
        <v>29</v>
      </c>
      <c r="I69" s="69" t="str">
        <f ca="1">IF((Insumos_a_comprar[[#This Row],[Stock actual]]-Insumos_a_comprar[[#This Row],[Stock mínimo]])&lt;0,"Si","No")</f>
        <v>No</v>
      </c>
      <c r="J69" s="77" t="str">
        <f ca="1">INDEX(Table12[Acción],MATCH(Insumos_a_comprar[[#This Row],[Planilla]],Table12[Planilla],0))</f>
        <v>Vencido</v>
      </c>
      <c r="K69" s="77">
        <v>10</v>
      </c>
      <c r="L6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69" s="367"/>
      <c r="N69" s="367"/>
      <c r="O69" s="367"/>
      <c r="P69" s="179"/>
      <c r="Q69" s="1"/>
      <c r="R69" s="1"/>
    </row>
    <row r="70" spans="1:18" x14ac:dyDescent="0.25">
      <c r="A70" s="13" t="s">
        <v>208</v>
      </c>
      <c r="B70" s="11" t="s">
        <v>392</v>
      </c>
      <c r="C70" s="61" t="str">
        <f>HYPERLINK("#'"&amp;Insumos_a_comprar[[#This Row],[Planilla]]&amp;"'!D1","Ir")</f>
        <v>Ir</v>
      </c>
      <c r="D70" s="11" t="s">
        <v>463</v>
      </c>
      <c r="E70" s="66" t="s">
        <v>847</v>
      </c>
      <c r="F70" s="67">
        <v>1</v>
      </c>
      <c r="G70" s="68" t="s">
        <v>7</v>
      </c>
      <c r="H70" s="72">
        <f ca="1">SUMIF(INDIRECT(SUBSTITUTE(B70," ","_")&amp;"[Insumo]"),Insumos_a_comprar[[#This Row],[Insumo]],INDIRECT(SUBSTITUTE(B70," ","_")&amp;"[Stock]"))</f>
        <v>0</v>
      </c>
      <c r="I70" s="69" t="str">
        <f ca="1">IF((Insumos_a_comprar[[#This Row],[Stock actual]]-Insumos_a_comprar[[#This Row],[Stock mínimo]])&lt;0,"Si","No")</f>
        <v>Si</v>
      </c>
      <c r="J70" s="67" t="str">
        <f ca="1">INDEX(Table12[Acción],MATCH(Insumos_a_comprar[[#This Row],[Planilla]],Table12[Planilla],0))</f>
        <v>Vencido</v>
      </c>
      <c r="K70" s="71" t="s">
        <v>206</v>
      </c>
      <c r="L7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70" s="65">
        <v>44245</v>
      </c>
      <c r="N70" s="65">
        <v>44042</v>
      </c>
      <c r="O70" s="65"/>
      <c r="P70" s="178"/>
      <c r="Q70" s="1"/>
      <c r="R70" s="1"/>
    </row>
    <row r="71" spans="1:18" x14ac:dyDescent="0.25">
      <c r="A71" s="13" t="s">
        <v>209</v>
      </c>
      <c r="B71" s="11" t="s">
        <v>392</v>
      </c>
      <c r="C71" s="61" t="str">
        <f>HYPERLINK("#'"&amp;Insumos_a_comprar[[#This Row],[Planilla]]&amp;"'!D1","Ir")</f>
        <v>Ir</v>
      </c>
      <c r="D71" s="11" t="s">
        <v>463</v>
      </c>
      <c r="E71" s="66" t="s">
        <v>847</v>
      </c>
      <c r="F71" s="67">
        <v>1</v>
      </c>
      <c r="G71" s="68" t="s">
        <v>7</v>
      </c>
      <c r="H71" s="72">
        <f ca="1">SUMIF(INDIRECT(SUBSTITUTE(B71," ","_")&amp;"[Insumo]"),Insumos_a_comprar[[#This Row],[Insumo]],INDIRECT(SUBSTITUTE(B71," ","_")&amp;"[Stock]"))</f>
        <v>0</v>
      </c>
      <c r="I71" s="69" t="str">
        <f ca="1">IF((Insumos_a_comprar[[#This Row],[Stock actual]]-Insumos_a_comprar[[#This Row],[Stock mínimo]])&lt;0,"Si","No")</f>
        <v>Si</v>
      </c>
      <c r="J71" s="67" t="str">
        <f ca="1">INDEX(Table12[Acción],MATCH(Insumos_a_comprar[[#This Row],[Planilla]],Table12[Planilla],0))</f>
        <v>Vencido</v>
      </c>
      <c r="K71" s="71" t="s">
        <v>206</v>
      </c>
      <c r="L7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71" s="65">
        <v>44245</v>
      </c>
      <c r="N71" s="65">
        <v>44042</v>
      </c>
      <c r="O71" s="65"/>
      <c r="P71" s="178" t="s">
        <v>848</v>
      </c>
      <c r="Q71" s="1"/>
      <c r="R71" s="1"/>
    </row>
    <row r="72" spans="1:18" x14ac:dyDescent="0.25">
      <c r="A72" s="10" t="s">
        <v>16</v>
      </c>
      <c r="B72" s="11" t="s">
        <v>60</v>
      </c>
      <c r="C72" s="61" t="str">
        <f>HYPERLINK("#'"&amp;Insumos_a_comprar[[#This Row],[Planilla]]&amp;"'!D1","Ir")</f>
        <v>Ir</v>
      </c>
      <c r="D72" s="11" t="s">
        <v>463</v>
      </c>
      <c r="E72" s="66" t="s">
        <v>821</v>
      </c>
      <c r="F72" s="67">
        <v>10</v>
      </c>
      <c r="G72" s="68" t="s">
        <v>7</v>
      </c>
      <c r="H72" s="66">
        <f ca="1">SUMIF(INDIRECT(SUBSTITUTE(B72," ","_")&amp;"[Insumo]"),Insumos_a_comprar[[#This Row],[Insumo]],INDIRECT(SUBSTITUTE(B72," ","_")&amp;"[Stock]"))</f>
        <v>10</v>
      </c>
      <c r="I72" s="69" t="str">
        <f ca="1">IF((Insumos_a_comprar[[#This Row],[Stock actual]]-Insumos_a_comprar[[#This Row],[Stock mínimo]])&lt;0,"Si","No")</f>
        <v>No</v>
      </c>
      <c r="J72" s="67" t="str">
        <f ca="1">INDEX(Table12[Acción],MATCH(Insumos_a_comprar[[#This Row],[Planilla]],Table12[Planilla],0))</f>
        <v>Vigente</v>
      </c>
      <c r="K72" s="71"/>
      <c r="L7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72" s="65"/>
      <c r="N72" s="65"/>
      <c r="O72" s="65"/>
      <c r="P72" s="178"/>
      <c r="Q72" s="1"/>
      <c r="R72" s="1"/>
    </row>
    <row r="73" spans="1:18" x14ac:dyDescent="0.25">
      <c r="A73" s="10" t="s">
        <v>404</v>
      </c>
      <c r="B73" s="11" t="s">
        <v>60</v>
      </c>
      <c r="C73" s="61" t="str">
        <f>HYPERLINK("#'"&amp;Insumos_a_comprar[[#This Row],[Planilla]]&amp;"'!D1","Ir")</f>
        <v>Ir</v>
      </c>
      <c r="D73" s="11" t="s">
        <v>397</v>
      </c>
      <c r="E73" s="66" t="s">
        <v>405</v>
      </c>
      <c r="F73" s="67">
        <v>10</v>
      </c>
      <c r="G73" s="68" t="s">
        <v>7</v>
      </c>
      <c r="H73" s="72">
        <f ca="1">SUMIF(INDIRECT(SUBSTITUTE(B73," ","_")&amp;"[Insumo]"),Insumos_a_comprar[[#This Row],[Insumo]],INDIRECT(SUBSTITUTE(B73," ","_")&amp;"[Stock]"))</f>
        <v>25</v>
      </c>
      <c r="I73" s="69" t="str">
        <f ca="1">IF((Insumos_a_comprar[[#This Row],[Stock actual]]-Insumos_a_comprar[[#This Row],[Stock mínimo]])&lt;0,"Si","No")</f>
        <v>No</v>
      </c>
      <c r="J73" s="67" t="str">
        <f ca="1">INDEX(Table12[Acción],MATCH(Insumos_a_comprar[[#This Row],[Planilla]],Table12[Planilla],0))</f>
        <v>Vigente</v>
      </c>
      <c r="K73" s="71"/>
      <c r="L7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73" s="65"/>
      <c r="N73" s="65"/>
      <c r="O73" s="65"/>
      <c r="P73" s="178"/>
      <c r="Q73" s="1"/>
      <c r="R73" s="1"/>
    </row>
    <row r="74" spans="1:18" x14ac:dyDescent="0.25">
      <c r="A74" s="22" t="s">
        <v>772</v>
      </c>
      <c r="B74" s="23" t="s">
        <v>440</v>
      </c>
      <c r="C74" s="61" t="str">
        <f>HYPERLINK("#'"&amp;Insumos_a_comprar[[#This Row],[Planilla]]&amp;"'!D1","Ir")</f>
        <v>Ir</v>
      </c>
      <c r="D74" s="11" t="s">
        <v>397</v>
      </c>
      <c r="E74" s="73" t="s">
        <v>397</v>
      </c>
      <c r="F74" s="74">
        <v>1</v>
      </c>
      <c r="G74" s="75" t="s">
        <v>65</v>
      </c>
      <c r="H74" s="76">
        <f ca="1">SUMIF(INDIRECT(SUBSTITUTE(B74," ","_")&amp;"[Insumo]"),Insumos_a_comprar[[#This Row],[Insumo]],INDIRECT(SUBSTITUTE(B74," ","_")&amp;"[Stock]"))</f>
        <v>8</v>
      </c>
      <c r="I74" s="69" t="str">
        <f ca="1">IF((Insumos_a_comprar[[#This Row],[Stock actual]]-Insumos_a_comprar[[#This Row],[Stock mínimo]])&lt;0,"Si","No")</f>
        <v>No</v>
      </c>
      <c r="J74" s="67" t="str">
        <f ca="1">INDEX(Table12[Acción],MATCH(Insumos_a_comprar[[#This Row],[Planilla]],Table12[Planilla],0))</f>
        <v>Constante</v>
      </c>
      <c r="K74" s="77">
        <v>1</v>
      </c>
      <c r="L7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74" s="206"/>
      <c r="N74" s="206"/>
      <c r="O74" s="206"/>
      <c r="P74" s="179"/>
      <c r="Q74" s="1"/>
      <c r="R74" s="1"/>
    </row>
    <row r="75" spans="1:18" x14ac:dyDescent="0.25">
      <c r="A75" s="22" t="s">
        <v>477</v>
      </c>
      <c r="B75" s="23" t="s">
        <v>440</v>
      </c>
      <c r="C75" s="61" t="str">
        <f>HYPERLINK("#'"&amp;Insumos_a_comprar[[#This Row],[Planilla]]&amp;"'!D1","Ir")</f>
        <v>Ir</v>
      </c>
      <c r="D75" s="11" t="s">
        <v>397</v>
      </c>
      <c r="E75" s="73" t="s">
        <v>397</v>
      </c>
      <c r="F75" s="74">
        <v>1</v>
      </c>
      <c r="G75" s="75" t="s">
        <v>65</v>
      </c>
      <c r="H75" s="76">
        <f ca="1">SUMIF(INDIRECT(SUBSTITUTE(B75," ","_")&amp;"[Insumo]"),Insumos_a_comprar[[#This Row],[Insumo]],INDIRECT(SUBSTITUTE(B75," ","_")&amp;"[Stock]"))</f>
        <v>0</v>
      </c>
      <c r="I75" s="69" t="str">
        <f ca="1">IF((Insumos_a_comprar[[#This Row],[Stock actual]]-Insumos_a_comprar[[#This Row],[Stock mínimo]])&lt;0,"Si","No")</f>
        <v>Si</v>
      </c>
      <c r="J75" s="67" t="str">
        <f ca="1">INDEX(Table12[Acción],MATCH(Insumos_a_comprar[[#This Row],[Planilla]],Table12[Planilla],0))</f>
        <v>Constante</v>
      </c>
      <c r="K75" s="77">
        <v>1</v>
      </c>
      <c r="L7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75" s="206">
        <v>44245</v>
      </c>
      <c r="N75" s="206">
        <v>44042</v>
      </c>
      <c r="O75" s="206"/>
      <c r="P75" s="179"/>
      <c r="Q75" s="1"/>
      <c r="R75" s="1"/>
    </row>
    <row r="76" spans="1:18" x14ac:dyDescent="0.25">
      <c r="A76" s="22" t="s">
        <v>480</v>
      </c>
      <c r="B76" s="23" t="s">
        <v>440</v>
      </c>
      <c r="C76" s="61" t="str">
        <f>HYPERLINK("#'"&amp;Insumos_a_comprar[[#This Row],[Planilla]]&amp;"'!D1","Ir")</f>
        <v>Ir</v>
      </c>
      <c r="D76" s="11" t="s">
        <v>397</v>
      </c>
      <c r="E76" s="73" t="s">
        <v>397</v>
      </c>
      <c r="F76" s="74">
        <v>5</v>
      </c>
      <c r="G76" s="75" t="s">
        <v>65</v>
      </c>
      <c r="H76" s="76">
        <f ca="1">SUMIF(INDIRECT(SUBSTITUTE(B76," ","_")&amp;"[Insumo]"),Insumos_a_comprar[[#This Row],[Insumo]],INDIRECT(SUBSTITUTE(B76," ","_")&amp;"[Stock]"))</f>
        <v>3</v>
      </c>
      <c r="I76" s="69" t="str">
        <f ca="1">IF((Insumos_a_comprar[[#This Row],[Stock actual]]-Insumos_a_comprar[[#This Row],[Stock mínimo]])&lt;0,"Si","No")</f>
        <v>Si</v>
      </c>
      <c r="J76" s="67" t="str">
        <f ca="1">INDEX(Table12[Acción],MATCH(Insumos_a_comprar[[#This Row],[Planilla]],Table12[Planilla],0))</f>
        <v>Constante</v>
      </c>
      <c r="K76" s="77">
        <v>5</v>
      </c>
      <c r="L7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76" s="206">
        <v>44245</v>
      </c>
      <c r="N76" s="206">
        <v>44042</v>
      </c>
      <c r="O76" s="206"/>
      <c r="P76" s="179"/>
      <c r="Q76" s="1"/>
      <c r="R76" s="1"/>
    </row>
    <row r="77" spans="1:18" x14ac:dyDescent="0.25">
      <c r="A77" s="22" t="s">
        <v>479</v>
      </c>
      <c r="B77" s="23" t="s">
        <v>440</v>
      </c>
      <c r="C77" s="61" t="str">
        <f>HYPERLINK("#'"&amp;Insumos_a_comprar[[#This Row],[Planilla]]&amp;"'!D1","Ir")</f>
        <v>Ir</v>
      </c>
      <c r="D77" s="11" t="s">
        <v>397</v>
      </c>
      <c r="E77" s="73" t="s">
        <v>397</v>
      </c>
      <c r="F77" s="74">
        <v>1</v>
      </c>
      <c r="G77" s="75" t="s">
        <v>65</v>
      </c>
      <c r="H77" s="76">
        <f ca="1">SUMIF(INDIRECT(SUBSTITUTE(B77," ","_")&amp;"[Insumo]"),Insumos_a_comprar[[#This Row],[Insumo]],INDIRECT(SUBSTITUTE(B77," ","_")&amp;"[Stock]"))</f>
        <v>0</v>
      </c>
      <c r="I77" s="69" t="str">
        <f ca="1">IF((Insumos_a_comprar[[#This Row],[Stock actual]]-Insumos_a_comprar[[#This Row],[Stock mínimo]])&lt;0,"Si","No")</f>
        <v>Si</v>
      </c>
      <c r="J77" s="67" t="str">
        <f ca="1">INDEX(Table12[Acción],MATCH(Insumos_a_comprar[[#This Row],[Planilla]],Table12[Planilla],0))</f>
        <v>Constante</v>
      </c>
      <c r="K77" s="77">
        <v>1</v>
      </c>
      <c r="L7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77" s="206">
        <v>44245</v>
      </c>
      <c r="N77" s="206">
        <v>44042</v>
      </c>
      <c r="O77" s="206"/>
      <c r="P77" s="179"/>
      <c r="Q77" s="1"/>
      <c r="R77" s="1"/>
    </row>
    <row r="78" spans="1:18" x14ac:dyDescent="0.25">
      <c r="A78" s="22" t="s">
        <v>478</v>
      </c>
      <c r="B78" s="23" t="s">
        <v>440</v>
      </c>
      <c r="C78" s="61" t="str">
        <f>HYPERLINK("#'"&amp;Insumos_a_comprar[[#This Row],[Planilla]]&amp;"'!D1","Ir")</f>
        <v>Ir</v>
      </c>
      <c r="D78" s="11" t="s">
        <v>397</v>
      </c>
      <c r="E78" s="73" t="s">
        <v>397</v>
      </c>
      <c r="F78" s="74">
        <v>2</v>
      </c>
      <c r="G78" s="75" t="s">
        <v>65</v>
      </c>
      <c r="H78" s="76">
        <f ca="1">SUMIF(INDIRECT(SUBSTITUTE(B78," ","_")&amp;"[Insumo]"),Insumos_a_comprar[[#This Row],[Insumo]],INDIRECT(SUBSTITUTE(B78," ","_")&amp;"[Stock]"))</f>
        <v>4</v>
      </c>
      <c r="I78" s="69" t="str">
        <f ca="1">IF((Insumos_a_comprar[[#This Row],[Stock actual]]-Insumos_a_comprar[[#This Row],[Stock mínimo]])&lt;0,"Si","No")</f>
        <v>No</v>
      </c>
      <c r="J78" s="67" t="str">
        <f ca="1">INDEX(Table12[Acción],MATCH(Insumos_a_comprar[[#This Row],[Planilla]],Table12[Planilla],0))</f>
        <v>Constante</v>
      </c>
      <c r="K78" s="77">
        <v>2</v>
      </c>
      <c r="L7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78" s="206"/>
      <c r="N78" s="206"/>
      <c r="O78" s="206"/>
      <c r="P78" s="179"/>
      <c r="Q78" s="1"/>
      <c r="R78" s="1"/>
    </row>
    <row r="79" spans="1:18" x14ac:dyDescent="0.25">
      <c r="A79" s="22" t="s">
        <v>96</v>
      </c>
      <c r="B79" s="23" t="s">
        <v>594</v>
      </c>
      <c r="C79" s="61" t="str">
        <f>HYPERLINK("#'"&amp;Insumos_a_comprar[[#This Row],[Planilla]]&amp;"'!D1","Ir")</f>
        <v>Ir</v>
      </c>
      <c r="D79" s="11" t="s">
        <v>397</v>
      </c>
      <c r="E79" s="73" t="s">
        <v>397</v>
      </c>
      <c r="F79" s="74">
        <v>1</v>
      </c>
      <c r="G79" s="75" t="s">
        <v>65</v>
      </c>
      <c r="H79" s="76">
        <f ca="1">SUMIF(INDIRECT(SUBSTITUTE(B79," ","_")&amp;"[Insumo]"),Insumos_a_comprar[[#This Row],[Insumo]],INDIRECT(SUBSTITUTE(B79," ","_")&amp;"[Stock]"))</f>
        <v>2</v>
      </c>
      <c r="I79" s="69" t="str">
        <f ca="1">IF((Insumos_a_comprar[[#This Row],[Stock actual]]-Insumos_a_comprar[[#This Row],[Stock mínimo]])&lt;0,"Si","No")</f>
        <v>No</v>
      </c>
      <c r="J79" s="67" t="str">
        <f ca="1">INDEX(Table12[Acción],MATCH(Insumos_a_comprar[[#This Row],[Planilla]],Table12[Planilla],0))</f>
        <v>Constante</v>
      </c>
      <c r="K79" s="77">
        <v>1</v>
      </c>
      <c r="L7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79" s="367"/>
      <c r="N79" s="367"/>
      <c r="O79" s="367"/>
      <c r="P79" s="179"/>
      <c r="Q79" s="1"/>
      <c r="R79" s="1"/>
    </row>
    <row r="80" spans="1:18" x14ac:dyDescent="0.25">
      <c r="A80" s="13" t="s">
        <v>210</v>
      </c>
      <c r="B80" s="11" t="s">
        <v>392</v>
      </c>
      <c r="C80" s="61" t="str">
        <f>HYPERLINK("#'"&amp;Insumos_a_comprar[[#This Row],[Planilla]]&amp;"'!D1","Ir")</f>
        <v>Ir</v>
      </c>
      <c r="D80" s="11" t="s">
        <v>463</v>
      </c>
      <c r="E80" s="66" t="s">
        <v>805</v>
      </c>
      <c r="F80" s="67">
        <v>10</v>
      </c>
      <c r="G80" s="68" t="s">
        <v>7</v>
      </c>
      <c r="H80" s="72">
        <f ca="1">SUMIF(INDIRECT(SUBSTITUTE(B80," ","_")&amp;"[Insumo]"),Insumos_a_comprar[[#This Row],[Insumo]],INDIRECT(SUBSTITUTE(B80," ","_")&amp;"[Stock]"))</f>
        <v>400</v>
      </c>
      <c r="I80" s="69" t="str">
        <f ca="1">IF((Insumos_a_comprar[[#This Row],[Stock actual]]-Insumos_a_comprar[[#This Row],[Stock mínimo]])&lt;0,"Si","No")</f>
        <v>No</v>
      </c>
      <c r="J80" s="67" t="str">
        <f ca="1">INDEX(Table12[Acción],MATCH(Insumos_a_comprar[[#This Row],[Planilla]],Table12[Planilla],0))</f>
        <v>Vencido</v>
      </c>
      <c r="K80" s="71" t="s">
        <v>206</v>
      </c>
      <c r="L8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80" s="65"/>
      <c r="N80" s="65"/>
      <c r="O80" s="65"/>
      <c r="P80" s="178"/>
      <c r="Q80" s="1"/>
      <c r="R80" s="1"/>
    </row>
    <row r="81" spans="1:18" x14ac:dyDescent="0.25">
      <c r="A81" s="10" t="s">
        <v>115</v>
      </c>
      <c r="B81" s="11" t="s">
        <v>398</v>
      </c>
      <c r="C81" s="61" t="str">
        <f>HYPERLINK("#'"&amp;Insumos_a_comprar[[#This Row],[Planilla]]&amp;"'!D1","Ir")</f>
        <v>Ir</v>
      </c>
      <c r="D81" s="11" t="s">
        <v>465</v>
      </c>
      <c r="E81" s="66" t="s">
        <v>854</v>
      </c>
      <c r="F81" s="67">
        <v>0.1</v>
      </c>
      <c r="G81" s="68" t="s">
        <v>399</v>
      </c>
      <c r="H81" s="72">
        <f ca="1">SUMIF(INDIRECT(SUBSTITUTE(B81," ","_")&amp;"[Insumo]"),Insumos_a_comprar[[#This Row],[Insumo]],INDIRECT(SUBSTITUTE(B81," ","_")&amp;"[Stock]"))</f>
        <v>0.8</v>
      </c>
      <c r="I81" s="69" t="str">
        <f ca="1">IF((Insumos_a_comprar[[#This Row],[Stock actual]]-Insumos_a_comprar[[#This Row],[Stock mínimo]])&lt;0,"Si","No")</f>
        <v>No</v>
      </c>
      <c r="J81" s="67" t="str">
        <f ca="1">INDEX(Table12[Acción],MATCH(Insumos_a_comprar[[#This Row],[Planilla]],Table12[Planilla],0))</f>
        <v>Vigente</v>
      </c>
      <c r="K81" s="71">
        <v>1</v>
      </c>
      <c r="L8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81" s="65"/>
      <c r="N81" s="65"/>
      <c r="O81" s="65"/>
      <c r="P81" s="178"/>
      <c r="Q81" s="1"/>
      <c r="R81" s="1"/>
    </row>
    <row r="82" spans="1:18" x14ac:dyDescent="0.25">
      <c r="A82" s="22" t="s">
        <v>662</v>
      </c>
      <c r="B82" s="23" t="s">
        <v>597</v>
      </c>
      <c r="C82" s="61" t="str">
        <f>HYPERLINK("#'"&amp;Insumos_a_comprar[[#This Row],[Planilla]]&amp;"'!D1","Ir")</f>
        <v>Ir</v>
      </c>
      <c r="D82" s="11" t="s">
        <v>397</v>
      </c>
      <c r="E82" s="73" t="s">
        <v>397</v>
      </c>
      <c r="F82" s="74">
        <v>6</v>
      </c>
      <c r="G82" s="75" t="s">
        <v>65</v>
      </c>
      <c r="H82" s="76">
        <f ca="1">SUMIF(INDIRECT(SUBSTITUTE(B82," ","_")&amp;"[Insumo]"),Insumos_a_comprar[[#This Row],[Insumo]],INDIRECT(SUBSTITUTE(B82," ","_")&amp;"[Stock]"))</f>
        <v>3</v>
      </c>
      <c r="I82" s="69" t="str">
        <f ca="1">IF((Insumos_a_comprar[[#This Row],[Stock actual]]-Insumos_a_comprar[[#This Row],[Stock mínimo]])&lt;0,"Si","No")</f>
        <v>Si</v>
      </c>
      <c r="J82" s="77" t="str">
        <f ca="1">INDEX(Table12[Acción],MATCH(Insumos_a_comprar[[#This Row],[Planilla]],Table12[Planilla],0))</f>
        <v>Vencido</v>
      </c>
      <c r="K82" s="77">
        <v>10</v>
      </c>
      <c r="L8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82" s="206">
        <v>44356</v>
      </c>
      <c r="N82" s="206"/>
      <c r="O82" s="206"/>
      <c r="P82" s="179"/>
      <c r="Q82" s="1"/>
      <c r="R82" s="1"/>
    </row>
    <row r="83" spans="1:18" x14ac:dyDescent="0.25">
      <c r="A83" s="22" t="s">
        <v>663</v>
      </c>
      <c r="B83" s="23" t="s">
        <v>597</v>
      </c>
      <c r="C83" s="61" t="str">
        <f>HYPERLINK("#'"&amp;Insumos_a_comprar[[#This Row],[Planilla]]&amp;"'!D1","Ir")</f>
        <v>Ir</v>
      </c>
      <c r="D83" s="11" t="s">
        <v>397</v>
      </c>
      <c r="E83" s="73" t="s">
        <v>397</v>
      </c>
      <c r="F83" s="74">
        <v>10</v>
      </c>
      <c r="G83" s="75" t="s">
        <v>65</v>
      </c>
      <c r="H83" s="76">
        <f ca="1">SUMIF(INDIRECT(SUBSTITUTE(B83," ","_")&amp;"[Insumo]"),Insumos_a_comprar[[#This Row],[Insumo]],INDIRECT(SUBSTITUTE(B83," ","_")&amp;"[Stock]"))</f>
        <v>0</v>
      </c>
      <c r="I83" s="69" t="str">
        <f ca="1">IF((Insumos_a_comprar[[#This Row],[Stock actual]]-Insumos_a_comprar[[#This Row],[Stock mínimo]])&lt;0,"Si","No")</f>
        <v>Si</v>
      </c>
      <c r="J83" s="77" t="str">
        <f ca="1">INDEX(Table12[Acción],MATCH(Insumos_a_comprar[[#This Row],[Planilla]],Table12[Planilla],0))</f>
        <v>Vencido</v>
      </c>
      <c r="K83" s="77">
        <v>10</v>
      </c>
      <c r="L8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83" s="367">
        <v>44245</v>
      </c>
      <c r="N83" s="367"/>
      <c r="O83" s="367"/>
      <c r="P83" s="179" t="s">
        <v>1017</v>
      </c>
      <c r="Q83" s="1"/>
      <c r="R83" s="1"/>
    </row>
    <row r="84" spans="1:18" x14ac:dyDescent="0.25">
      <c r="A84" s="13" t="s">
        <v>211</v>
      </c>
      <c r="B84" s="11" t="s">
        <v>392</v>
      </c>
      <c r="C84" s="61" t="str">
        <f>HYPERLINK("#'"&amp;Insumos_a_comprar[[#This Row],[Planilla]]&amp;"'!D1","Ir")</f>
        <v>Ir</v>
      </c>
      <c r="D84" s="11" t="s">
        <v>463</v>
      </c>
      <c r="E84" s="66"/>
      <c r="F84" s="67">
        <v>10</v>
      </c>
      <c r="G84" s="68" t="s">
        <v>7</v>
      </c>
      <c r="H84" s="72">
        <f ca="1">SUMIF(INDIRECT(SUBSTITUTE(B84," ","_")&amp;"[Insumo]"),Insumos_a_comprar[[#This Row],[Insumo]],INDIRECT(SUBSTITUTE(B84," ","_")&amp;"[Stock]"))</f>
        <v>20</v>
      </c>
      <c r="I84" s="69" t="str">
        <f ca="1">IF((Insumos_a_comprar[[#This Row],[Stock actual]]-Insumos_a_comprar[[#This Row],[Stock mínimo]])&lt;0,"Si","No")</f>
        <v>No</v>
      </c>
      <c r="J84" s="67" t="str">
        <f ca="1">INDEX(Table12[Acción],MATCH(Insumos_a_comprar[[#This Row],[Planilla]],Table12[Planilla],0))</f>
        <v>Vencido</v>
      </c>
      <c r="K84" s="71" t="s">
        <v>206</v>
      </c>
      <c r="L8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84" s="65"/>
      <c r="N84" s="65"/>
      <c r="O84" s="65"/>
      <c r="P84" s="178"/>
      <c r="Q84" s="1"/>
      <c r="R84" s="1"/>
    </row>
    <row r="85" spans="1:18" x14ac:dyDescent="0.25">
      <c r="A85" s="22" t="s">
        <v>602</v>
      </c>
      <c r="B85" s="23" t="s">
        <v>597</v>
      </c>
      <c r="C85" s="61" t="str">
        <f>HYPERLINK("#'"&amp;Insumos_a_comprar[[#This Row],[Planilla]]&amp;"'!D1","Ir")</f>
        <v>Ir</v>
      </c>
      <c r="D85" s="11" t="s">
        <v>397</v>
      </c>
      <c r="E85" s="73" t="s">
        <v>397</v>
      </c>
      <c r="F85" s="74">
        <v>50</v>
      </c>
      <c r="G85" s="75" t="s">
        <v>65</v>
      </c>
      <c r="H85" s="76">
        <f ca="1">SUMIF(INDIRECT(SUBSTITUTE(B85," ","_")&amp;"[Insumo]"),Insumos_a_comprar[[#This Row],[Insumo]],INDIRECT(SUBSTITUTE(B85," ","_")&amp;"[Stock]"))</f>
        <v>45</v>
      </c>
      <c r="I85" s="69" t="str">
        <f ca="1">IF((Insumos_a_comprar[[#This Row],[Stock actual]]-Insumos_a_comprar[[#This Row],[Stock mínimo]])&lt;0,"Si","No")</f>
        <v>Si</v>
      </c>
      <c r="J85" s="77" t="str">
        <f ca="1">INDEX(Table12[Acción],MATCH(Insumos_a_comprar[[#This Row],[Planilla]],Table12[Planilla],0))</f>
        <v>Vencido</v>
      </c>
      <c r="K85" s="77">
        <v>200</v>
      </c>
      <c r="L8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Pedir</v>
      </c>
      <c r="M85" s="206"/>
      <c r="N85" s="206"/>
      <c r="O85" s="206"/>
      <c r="P85" s="179"/>
      <c r="Q85" s="1"/>
      <c r="R85" s="1"/>
    </row>
    <row r="86" spans="1:18" ht="31.5" x14ac:dyDescent="0.25">
      <c r="A86" s="22" t="s">
        <v>603</v>
      </c>
      <c r="B86" s="23" t="s">
        <v>597</v>
      </c>
      <c r="C86" s="61" t="str">
        <f>HYPERLINK("#'"&amp;Insumos_a_comprar[[#This Row],[Planilla]]&amp;"'!D1","Ir")</f>
        <v>Ir</v>
      </c>
      <c r="D86" s="11" t="s">
        <v>397</v>
      </c>
      <c r="E86" s="73" t="s">
        <v>397</v>
      </c>
      <c r="F86" s="74">
        <v>25</v>
      </c>
      <c r="G86" s="75" t="s">
        <v>65</v>
      </c>
      <c r="H86" s="76">
        <f ca="1">SUMIF(INDIRECT(SUBSTITUTE(B86," ","_")&amp;"[Insumo]"),Insumos_a_comprar[[#This Row],[Insumo]],INDIRECT(SUBSTITUTE(B86," ","_")&amp;"[Stock]"))</f>
        <v>44</v>
      </c>
      <c r="I86" s="69" t="str">
        <f ca="1">IF((Insumos_a_comprar[[#This Row],[Stock actual]]-Insumos_a_comprar[[#This Row],[Stock mínimo]])&lt;0,"Si","No")</f>
        <v>No</v>
      </c>
      <c r="J86" s="77" t="str">
        <f ca="1">INDEX(Table12[Acción],MATCH(Insumos_a_comprar[[#This Row],[Planilla]],Table12[Planilla],0))</f>
        <v>Vencido</v>
      </c>
      <c r="K86" s="77">
        <v>200</v>
      </c>
      <c r="L8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86" s="367">
        <v>44245</v>
      </c>
      <c r="N86" s="367"/>
      <c r="O86" s="367"/>
      <c r="P86" s="179" t="s">
        <v>1064</v>
      </c>
      <c r="Q86" s="1"/>
      <c r="R86" s="1"/>
    </row>
    <row r="87" spans="1:18" x14ac:dyDescent="0.25">
      <c r="A87" s="10" t="s">
        <v>155</v>
      </c>
      <c r="B87" s="11" t="s">
        <v>400</v>
      </c>
      <c r="C87" s="61" t="str">
        <f>HYPERLINK("#'"&amp;Insumos_a_comprar[[#This Row],[Planilla]]&amp;"'!D1","Ir")</f>
        <v>Ir</v>
      </c>
      <c r="D87" s="11" t="s">
        <v>397</v>
      </c>
      <c r="E87" s="66" t="s">
        <v>815</v>
      </c>
      <c r="F87" s="67">
        <v>100</v>
      </c>
      <c r="G87" s="68" t="s">
        <v>152</v>
      </c>
      <c r="H87" s="72">
        <f ca="1">SUMIF(INDIRECT(SUBSTITUTE(B87," ","_")&amp;"[Insumo]"),Insumos_a_comprar[[#This Row],[Insumo]],INDIRECT(SUBSTITUTE(B87," ","_")&amp;"[Stock]"))</f>
        <v>200</v>
      </c>
      <c r="I87" s="69" t="str">
        <f ca="1">IF((Insumos_a_comprar[[#This Row],[Stock actual]]-Insumos_a_comprar[[#This Row],[Stock mínimo]])&lt;0,"Si","No")</f>
        <v>No</v>
      </c>
      <c r="J87" s="67" t="str">
        <f ca="1">INDEX(Table12[Acción],MATCH(Insumos_a_comprar[[#This Row],[Planilla]],Table12[Planilla],0))</f>
        <v>Vencido</v>
      </c>
      <c r="K87" s="71"/>
      <c r="L8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87" s="65"/>
      <c r="N87" s="65"/>
      <c r="O87" s="65"/>
      <c r="P87" s="178"/>
      <c r="Q87" s="1"/>
      <c r="R87" s="1"/>
    </row>
    <row r="88" spans="1:18" x14ac:dyDescent="0.25">
      <c r="A88" s="22" t="s">
        <v>481</v>
      </c>
      <c r="B88" s="23" t="s">
        <v>440</v>
      </c>
      <c r="C88" s="61" t="str">
        <f>HYPERLINK("#'"&amp;Insumos_a_comprar[[#This Row],[Planilla]]&amp;"'!D1","Ir")</f>
        <v>Ir</v>
      </c>
      <c r="D88" s="11" t="s">
        <v>397</v>
      </c>
      <c r="E88" s="73" t="s">
        <v>397</v>
      </c>
      <c r="F88" s="74">
        <v>12</v>
      </c>
      <c r="G88" s="75" t="s">
        <v>65</v>
      </c>
      <c r="H88" s="76">
        <f ca="1">SUMIF(INDIRECT(SUBSTITUTE(B88," ","_")&amp;"[Insumo]"),Insumos_a_comprar[[#This Row],[Insumo]],INDIRECT(SUBSTITUTE(B88," ","_")&amp;"[Stock]"))</f>
        <v>18</v>
      </c>
      <c r="I88" s="69" t="str">
        <f ca="1">IF((Insumos_a_comprar[[#This Row],[Stock actual]]-Insumos_a_comprar[[#This Row],[Stock mínimo]])&lt;0,"Si","No")</f>
        <v>No</v>
      </c>
      <c r="J88" s="67" t="str">
        <f ca="1">INDEX(Table12[Acción],MATCH(Insumos_a_comprar[[#This Row],[Planilla]],Table12[Planilla],0))</f>
        <v>Constante</v>
      </c>
      <c r="K88" s="77">
        <v>1</v>
      </c>
      <c r="L8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88" s="206"/>
      <c r="N88" s="206"/>
      <c r="O88" s="206"/>
      <c r="P88" s="179"/>
      <c r="Q88" s="1"/>
      <c r="R88" s="1"/>
    </row>
    <row r="89" spans="1:18" x14ac:dyDescent="0.25">
      <c r="A89" s="22" t="s">
        <v>483</v>
      </c>
      <c r="B89" s="23" t="s">
        <v>440</v>
      </c>
      <c r="C89" s="61" t="str">
        <f>HYPERLINK("#'"&amp;Insumos_a_comprar[[#This Row],[Planilla]]&amp;"'!D1","Ir")</f>
        <v>Ir</v>
      </c>
      <c r="D89" s="11" t="s">
        <v>397</v>
      </c>
      <c r="E89" s="73" t="s">
        <v>397</v>
      </c>
      <c r="F89" s="74">
        <v>1</v>
      </c>
      <c r="G89" s="75" t="s">
        <v>65</v>
      </c>
      <c r="H89" s="76">
        <f ca="1">SUMIF(INDIRECT(SUBSTITUTE(B89," ","_")&amp;"[Insumo]"),Insumos_a_comprar[[#This Row],[Insumo]],INDIRECT(SUBSTITUTE(B89," ","_")&amp;"[Stock]"))</f>
        <v>1</v>
      </c>
      <c r="I89" s="69" t="str">
        <f ca="1">IF((Insumos_a_comprar[[#This Row],[Stock actual]]-Insumos_a_comprar[[#This Row],[Stock mínimo]])&lt;0,"Si","No")</f>
        <v>No</v>
      </c>
      <c r="J89" s="67" t="str">
        <f ca="1">INDEX(Table12[Acción],MATCH(Insumos_a_comprar[[#This Row],[Planilla]],Table12[Planilla],0))</f>
        <v>Constante</v>
      </c>
      <c r="K89" s="77">
        <v>1</v>
      </c>
      <c r="L8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89" s="206"/>
      <c r="N89" s="206"/>
      <c r="O89" s="206"/>
      <c r="P89" s="179"/>
      <c r="Q89" s="1"/>
      <c r="R89" s="1"/>
    </row>
    <row r="90" spans="1:18" x14ac:dyDescent="0.25">
      <c r="A90" s="22" t="s">
        <v>482</v>
      </c>
      <c r="B90" s="23" t="s">
        <v>440</v>
      </c>
      <c r="C90" s="61" t="str">
        <f>HYPERLINK("#'"&amp;Insumos_a_comprar[[#This Row],[Planilla]]&amp;"'!D1","Ir")</f>
        <v>Ir</v>
      </c>
      <c r="D90" s="11" t="s">
        <v>397</v>
      </c>
      <c r="E90" s="73" t="s">
        <v>397</v>
      </c>
      <c r="F90" s="74">
        <v>1</v>
      </c>
      <c r="G90" s="75" t="s">
        <v>65</v>
      </c>
      <c r="H90" s="76">
        <f ca="1">SUMIF(INDIRECT(SUBSTITUTE(B90," ","_")&amp;"[Insumo]"),Insumos_a_comprar[[#This Row],[Insumo]],INDIRECT(SUBSTITUTE(B90," ","_")&amp;"[Stock]"))</f>
        <v>1</v>
      </c>
      <c r="I90" s="69" t="str">
        <f ca="1">IF((Insumos_a_comprar[[#This Row],[Stock actual]]-Insumos_a_comprar[[#This Row],[Stock mínimo]])&lt;0,"Si","No")</f>
        <v>No</v>
      </c>
      <c r="J90" s="67" t="str">
        <f ca="1">INDEX(Table12[Acción],MATCH(Insumos_a_comprar[[#This Row],[Planilla]],Table12[Planilla],0))</f>
        <v>Constante</v>
      </c>
      <c r="K90" s="77">
        <v>1</v>
      </c>
      <c r="L9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0" s="206"/>
      <c r="N90" s="206"/>
      <c r="O90" s="206"/>
      <c r="P90" s="179"/>
      <c r="Q90" s="1"/>
      <c r="R90" s="1"/>
    </row>
    <row r="91" spans="1:18" x14ac:dyDescent="0.25">
      <c r="A91" s="22" t="s">
        <v>773</v>
      </c>
      <c r="B91" s="23" t="s">
        <v>440</v>
      </c>
      <c r="C91" s="61" t="str">
        <f>HYPERLINK("#'"&amp;Insumos_a_comprar[[#This Row],[Planilla]]&amp;"'!D1","Ir")</f>
        <v>Ir</v>
      </c>
      <c r="D91" s="11" t="s">
        <v>397</v>
      </c>
      <c r="E91" s="73" t="s">
        <v>397</v>
      </c>
      <c r="F91" s="74">
        <v>1</v>
      </c>
      <c r="G91" s="75"/>
      <c r="H91" s="76">
        <f ca="1">SUMIF(INDIRECT(SUBSTITUTE(B91," ","_")&amp;"[Insumo]"),Insumos_a_comprar[[#This Row],[Insumo]],INDIRECT(SUBSTITUTE(B91," ","_")&amp;"[Stock]"))</f>
        <v>1</v>
      </c>
      <c r="I91" s="69" t="str">
        <f ca="1">IF((Insumos_a_comprar[[#This Row],[Stock actual]]-Insumos_a_comprar[[#This Row],[Stock mínimo]])&lt;0,"Si","No")</f>
        <v>No</v>
      </c>
      <c r="J91" s="77" t="str">
        <f ca="1">INDEX(Table12[Acción],MATCH(Insumos_a_comprar[[#This Row],[Planilla]],Table12[Planilla],0))</f>
        <v>Constante</v>
      </c>
      <c r="K91" s="77">
        <v>1</v>
      </c>
      <c r="L9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1" s="206"/>
      <c r="N91" s="206"/>
      <c r="O91" s="206"/>
      <c r="P91" s="179"/>
      <c r="Q91" s="1"/>
      <c r="R91" s="1"/>
    </row>
    <row r="92" spans="1:18" x14ac:dyDescent="0.25">
      <c r="A92" s="22" t="s">
        <v>577</v>
      </c>
      <c r="B92" s="23" t="s">
        <v>440</v>
      </c>
      <c r="C92" s="61" t="str">
        <f>HYPERLINK("#'"&amp;Insumos_a_comprar[[#This Row],[Planilla]]&amp;"'!D1","Ir")</f>
        <v>Ir</v>
      </c>
      <c r="D92" s="11" t="s">
        <v>397</v>
      </c>
      <c r="E92" s="73" t="s">
        <v>397</v>
      </c>
      <c r="F92" s="74">
        <v>10</v>
      </c>
      <c r="G92" s="75" t="s">
        <v>65</v>
      </c>
      <c r="H92" s="76">
        <f ca="1">SUMIF(INDIRECT(SUBSTITUTE(B92," ","_")&amp;"[Insumo]"),Insumos_a_comprar[[#This Row],[Insumo]],INDIRECT(SUBSTITUTE(B92," ","_")&amp;"[Stock]"))</f>
        <v>12</v>
      </c>
      <c r="I92" s="69" t="str">
        <f ca="1">IF((Insumos_a_comprar[[#This Row],[Stock actual]]-Insumos_a_comprar[[#This Row],[Stock mínimo]])&lt;0,"Si","No")</f>
        <v>No</v>
      </c>
      <c r="J92" s="67" t="str">
        <f ca="1">INDEX(Table12[Acción],MATCH(Insumos_a_comprar[[#This Row],[Planilla]],Table12[Planilla],0))</f>
        <v>Constante</v>
      </c>
      <c r="K92" s="77">
        <v>10</v>
      </c>
      <c r="L9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2" s="206"/>
      <c r="N92" s="206"/>
      <c r="O92" s="206"/>
      <c r="P92" s="179"/>
      <c r="Q92" s="1"/>
      <c r="R92" s="1"/>
    </row>
    <row r="93" spans="1:18" x14ac:dyDescent="0.25">
      <c r="A93" s="22" t="s">
        <v>575</v>
      </c>
      <c r="B93" s="23" t="s">
        <v>440</v>
      </c>
      <c r="C93" s="61" t="str">
        <f>HYPERLINK("#'"&amp;Insumos_a_comprar[[#This Row],[Planilla]]&amp;"'!D1","Ir")</f>
        <v>Ir</v>
      </c>
      <c r="D93" s="11" t="s">
        <v>397</v>
      </c>
      <c r="E93" s="73" t="s">
        <v>397</v>
      </c>
      <c r="F93" s="74">
        <v>10</v>
      </c>
      <c r="G93" s="75" t="s">
        <v>65</v>
      </c>
      <c r="H93" s="76">
        <f ca="1">SUMIF(INDIRECT(SUBSTITUTE(B93," ","_")&amp;"[Insumo]"),Insumos_a_comprar[[#This Row],[Insumo]],INDIRECT(SUBSTITUTE(B93," ","_")&amp;"[Stock]"))</f>
        <v>11</v>
      </c>
      <c r="I93" s="69" t="str">
        <f ca="1">IF((Insumos_a_comprar[[#This Row],[Stock actual]]-Insumos_a_comprar[[#This Row],[Stock mínimo]])&lt;0,"Si","No")</f>
        <v>No</v>
      </c>
      <c r="J93" s="67" t="str">
        <f ca="1">INDEX(Table12[Acción],MATCH(Insumos_a_comprar[[#This Row],[Planilla]],Table12[Planilla],0))</f>
        <v>Constante</v>
      </c>
      <c r="K93" s="77">
        <v>10</v>
      </c>
      <c r="L9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3" s="206"/>
      <c r="N93" s="206"/>
      <c r="O93" s="206"/>
      <c r="P93" s="179"/>
      <c r="Q93" s="1"/>
      <c r="R93" s="1"/>
    </row>
    <row r="94" spans="1:18" x14ac:dyDescent="0.25">
      <c r="A94" s="22" t="s">
        <v>576</v>
      </c>
      <c r="B94" s="23" t="s">
        <v>440</v>
      </c>
      <c r="C94" s="61" t="str">
        <f>HYPERLINK("#'"&amp;Insumos_a_comprar[[#This Row],[Planilla]]&amp;"'!D1","Ir")</f>
        <v>Ir</v>
      </c>
      <c r="D94" s="11" t="s">
        <v>397</v>
      </c>
      <c r="E94" s="73" t="s">
        <v>397</v>
      </c>
      <c r="F94" s="74">
        <v>10</v>
      </c>
      <c r="G94" s="75" t="s">
        <v>65</v>
      </c>
      <c r="H94" s="76">
        <f ca="1">SUMIF(INDIRECT(SUBSTITUTE(B94," ","_")&amp;"[Insumo]"),Insumos_a_comprar[[#This Row],[Insumo]],INDIRECT(SUBSTITUTE(B94," ","_")&amp;"[Stock]"))</f>
        <v>12</v>
      </c>
      <c r="I94" s="69" t="str">
        <f ca="1">IF((Insumos_a_comprar[[#This Row],[Stock actual]]-Insumos_a_comprar[[#This Row],[Stock mínimo]])&lt;0,"Si","No")</f>
        <v>No</v>
      </c>
      <c r="J94" s="67" t="str">
        <f ca="1">INDEX(Table12[Acción],MATCH(Insumos_a_comprar[[#This Row],[Planilla]],Table12[Planilla],0))</f>
        <v>Constante</v>
      </c>
      <c r="K94" s="77">
        <v>10</v>
      </c>
      <c r="L9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4" s="206"/>
      <c r="N94" s="206"/>
      <c r="O94" s="206"/>
      <c r="P94" s="179"/>
      <c r="Q94" s="1"/>
      <c r="R94" s="1"/>
    </row>
    <row r="95" spans="1:18" x14ac:dyDescent="0.25">
      <c r="A95" s="22" t="s">
        <v>94</v>
      </c>
      <c r="B95" s="23" t="s">
        <v>594</v>
      </c>
      <c r="C95" s="61" t="str">
        <f>HYPERLINK("#'"&amp;Insumos_a_comprar[[#This Row],[Planilla]]&amp;"'!D1","Ir")</f>
        <v>Ir</v>
      </c>
      <c r="D95" s="11" t="s">
        <v>397</v>
      </c>
      <c r="E95" s="73" t="s">
        <v>397</v>
      </c>
      <c r="F95" s="74">
        <v>1</v>
      </c>
      <c r="G95" s="75" t="s">
        <v>65</v>
      </c>
      <c r="H95" s="76">
        <f ca="1">SUMIF(INDIRECT(SUBSTITUTE(B95," ","_")&amp;"[Insumo]"),Insumos_a_comprar[[#This Row],[Insumo]],INDIRECT(SUBSTITUTE(B95," ","_")&amp;"[Stock]"))</f>
        <v>1</v>
      </c>
      <c r="I95" s="69" t="str">
        <f ca="1">IF((Insumos_a_comprar[[#This Row],[Stock actual]]-Insumos_a_comprar[[#This Row],[Stock mínimo]])&lt;0,"Si","No")</f>
        <v>No</v>
      </c>
      <c r="J95" s="67" t="str">
        <f ca="1">INDEX(Table12[Acción],MATCH(Insumos_a_comprar[[#This Row],[Planilla]],Table12[Planilla],0))</f>
        <v>Constante</v>
      </c>
      <c r="K95" s="77">
        <v>1</v>
      </c>
      <c r="L9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5" s="206"/>
      <c r="N95" s="206"/>
      <c r="O95" s="206"/>
      <c r="P95" s="179"/>
      <c r="Q95" s="1"/>
      <c r="R95" s="1"/>
    </row>
    <row r="96" spans="1:18" x14ac:dyDescent="0.25">
      <c r="A96" s="22" t="s">
        <v>93</v>
      </c>
      <c r="B96" s="23" t="s">
        <v>594</v>
      </c>
      <c r="C96" s="61" t="str">
        <f>HYPERLINK("#'"&amp;Insumos_a_comprar[[#This Row],[Planilla]]&amp;"'!D1","Ir")</f>
        <v>Ir</v>
      </c>
      <c r="D96" s="11" t="s">
        <v>397</v>
      </c>
      <c r="E96" s="73" t="s">
        <v>397</v>
      </c>
      <c r="F96" s="74">
        <v>1</v>
      </c>
      <c r="G96" s="75" t="s">
        <v>65</v>
      </c>
      <c r="H96" s="76">
        <f ca="1">SUMIF(INDIRECT(SUBSTITUTE(B96," ","_")&amp;"[Insumo]"),Insumos_a_comprar[[#This Row],[Insumo]],INDIRECT(SUBSTITUTE(B96," ","_")&amp;"[Stock]"))</f>
        <v>1</v>
      </c>
      <c r="I96" s="69" t="str">
        <f ca="1">IF((Insumos_a_comprar[[#This Row],[Stock actual]]-Insumos_a_comprar[[#This Row],[Stock mínimo]])&lt;0,"Si","No")</f>
        <v>No</v>
      </c>
      <c r="J96" s="67" t="str">
        <f ca="1">INDEX(Table12[Acción],MATCH(Insumos_a_comprar[[#This Row],[Planilla]],Table12[Planilla],0))</f>
        <v>Constante</v>
      </c>
      <c r="K96" s="77">
        <v>1</v>
      </c>
      <c r="L9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6" s="367"/>
      <c r="N96" s="367"/>
      <c r="O96" s="367"/>
      <c r="P96" s="179"/>
      <c r="Q96" s="1"/>
      <c r="R96" s="1"/>
    </row>
    <row r="97" spans="1:18" x14ac:dyDescent="0.25">
      <c r="A97" s="10" t="s">
        <v>17</v>
      </c>
      <c r="B97" s="11" t="s">
        <v>60</v>
      </c>
      <c r="C97" s="61" t="str">
        <f>HYPERLINK("#'"&amp;Insumos_a_comprar[[#This Row],[Planilla]]&amp;"'!D1","Ir")</f>
        <v>Ir</v>
      </c>
      <c r="D97" s="11" t="s">
        <v>463</v>
      </c>
      <c r="E97" s="66"/>
      <c r="F97" s="67">
        <v>250</v>
      </c>
      <c r="G97" s="68" t="s">
        <v>7</v>
      </c>
      <c r="H97" s="66">
        <f ca="1">SUMIF(INDIRECT(SUBSTITUTE(B97," ","_")&amp;"[Insumo]"),Insumos_a_comprar[[#This Row],[Insumo]],INDIRECT(SUBSTITUTE(B97," ","_")&amp;"[Stock]"))</f>
        <v>1100</v>
      </c>
      <c r="I97" s="69" t="str">
        <f ca="1">IF((Insumos_a_comprar[[#This Row],[Stock actual]]-Insumos_a_comprar[[#This Row],[Stock mínimo]])&lt;0,"Si","No")</f>
        <v>No</v>
      </c>
      <c r="J97" s="67" t="str">
        <f ca="1">INDEX(Table12[Acción],MATCH(Insumos_a_comprar[[#This Row],[Planilla]],Table12[Planilla],0))</f>
        <v>Vigente</v>
      </c>
      <c r="K97" s="71">
        <v>250</v>
      </c>
      <c r="L9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7" s="65"/>
      <c r="N97" s="65"/>
      <c r="O97" s="65"/>
      <c r="P97" s="178"/>
      <c r="Q97" s="1"/>
      <c r="R97" s="1"/>
    </row>
    <row r="98" spans="1:18" x14ac:dyDescent="0.25">
      <c r="A98" s="13" t="s">
        <v>212</v>
      </c>
      <c r="B98" s="11" t="s">
        <v>392</v>
      </c>
      <c r="C98" s="61" t="str">
        <f>HYPERLINK("#'"&amp;Insumos_a_comprar[[#This Row],[Planilla]]&amp;"'!D1","Ir")</f>
        <v>Ir</v>
      </c>
      <c r="D98" s="11" t="s">
        <v>463</v>
      </c>
      <c r="E98" s="66" t="s">
        <v>73</v>
      </c>
      <c r="F98" s="67">
        <v>50</v>
      </c>
      <c r="G98" s="68" t="s">
        <v>7</v>
      </c>
      <c r="H98" s="72">
        <f ca="1">SUMIF(INDIRECT(SUBSTITUTE(B98," ","_")&amp;"[Insumo]"),Insumos_a_comprar[[#This Row],[Insumo]],INDIRECT(SUBSTITUTE(B98," ","_")&amp;"[Stock]"))</f>
        <v>125</v>
      </c>
      <c r="I98" s="69" t="str">
        <f ca="1">IF((Insumos_a_comprar[[#This Row],[Stock actual]]-Insumos_a_comprar[[#This Row],[Stock mínimo]])&lt;0,"Si","No")</f>
        <v>No</v>
      </c>
      <c r="J98" s="67" t="str">
        <f ca="1">INDEX(Table12[Acción],MATCH(Insumos_a_comprar[[#This Row],[Planilla]],Table12[Planilla],0))</f>
        <v>Vencido</v>
      </c>
      <c r="K98" s="71" t="s">
        <v>206</v>
      </c>
      <c r="L9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8" s="65"/>
      <c r="N98" s="65"/>
      <c r="O98" s="65"/>
      <c r="P98" s="178"/>
      <c r="Q98" s="1"/>
      <c r="R98" s="1"/>
    </row>
    <row r="99" spans="1:18" x14ac:dyDescent="0.25">
      <c r="A99" s="13" t="s">
        <v>213</v>
      </c>
      <c r="B99" s="11" t="s">
        <v>392</v>
      </c>
      <c r="C99" s="61" t="str">
        <f>HYPERLINK("#'"&amp;Insumos_a_comprar[[#This Row],[Planilla]]&amp;"'!D1","Ir")</f>
        <v>Ir</v>
      </c>
      <c r="D99" s="11" t="s">
        <v>464</v>
      </c>
      <c r="E99" s="66"/>
      <c r="F99" s="67">
        <v>100</v>
      </c>
      <c r="G99" s="68" t="s">
        <v>7</v>
      </c>
      <c r="H99" s="72">
        <f ca="1">SUMIF(INDIRECT(SUBSTITUTE(B99," ","_")&amp;"[Insumo]"),Insumos_a_comprar[[#This Row],[Insumo]],INDIRECT(SUBSTITUTE(B99," ","_")&amp;"[Stock]"))</f>
        <v>1250</v>
      </c>
      <c r="I99" s="69" t="str">
        <f ca="1">IF((Insumos_a_comprar[[#This Row],[Stock actual]]-Insumos_a_comprar[[#This Row],[Stock mínimo]])&lt;0,"Si","No")</f>
        <v>No</v>
      </c>
      <c r="J99" s="67" t="str">
        <f ca="1">INDEX(Table12[Acción],MATCH(Insumos_a_comprar[[#This Row],[Planilla]],Table12[Planilla],0))</f>
        <v>Vencido</v>
      </c>
      <c r="K99" s="71">
        <v>1000</v>
      </c>
      <c r="L9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99" s="65"/>
      <c r="N99" s="65"/>
      <c r="O99" s="65"/>
      <c r="P99" s="178"/>
      <c r="Q99" s="1"/>
      <c r="R99" s="1"/>
    </row>
    <row r="100" spans="1:18" x14ac:dyDescent="0.25">
      <c r="A100" s="13" t="s">
        <v>214</v>
      </c>
      <c r="B100" s="11" t="s">
        <v>392</v>
      </c>
      <c r="C100" s="61" t="str">
        <f>HYPERLINK("#'"&amp;Insumos_a_comprar[[#This Row],[Planilla]]&amp;"'!D1","Ir")</f>
        <v>Ir</v>
      </c>
      <c r="D100" s="11" t="s">
        <v>464</v>
      </c>
      <c r="E100" s="66"/>
      <c r="F100" s="67">
        <v>100</v>
      </c>
      <c r="G100" s="68" t="s">
        <v>7</v>
      </c>
      <c r="H100" s="72">
        <f ca="1">SUMIF(INDIRECT(SUBSTITUTE(B100," ","_")&amp;"[Insumo]"),Insumos_a_comprar[[#This Row],[Insumo]],INDIRECT(SUBSTITUTE(B100," ","_")&amp;"[Stock]"))</f>
        <v>500</v>
      </c>
      <c r="I100" s="69" t="str">
        <f ca="1">IF((Insumos_a_comprar[[#This Row],[Stock actual]]-Insumos_a_comprar[[#This Row],[Stock mínimo]])&lt;0,"Si","No")</f>
        <v>No</v>
      </c>
      <c r="J100" s="67" t="str">
        <f ca="1">INDEX(Table12[Acción],MATCH(Insumos_a_comprar[[#This Row],[Planilla]],Table12[Planilla],0))</f>
        <v>Vencido</v>
      </c>
      <c r="K100" s="71" t="s">
        <v>206</v>
      </c>
      <c r="L10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0" s="65"/>
      <c r="N100" s="65"/>
      <c r="O100" s="65"/>
      <c r="P100" s="178"/>
      <c r="Q100" s="1"/>
      <c r="R100" s="1"/>
    </row>
    <row r="101" spans="1:18" x14ac:dyDescent="0.25">
      <c r="A101" s="22" t="s">
        <v>941</v>
      </c>
      <c r="B101" s="23" t="s">
        <v>63</v>
      </c>
      <c r="C101" s="193" t="str">
        <f>HYPERLINK("#'"&amp;Insumos_a_comprar[[#This Row],[Planilla]]&amp;"'!D1","Ir")</f>
        <v>Ir</v>
      </c>
      <c r="D101" s="23" t="s">
        <v>397</v>
      </c>
      <c r="E101" s="73"/>
      <c r="F101" s="74">
        <v>1</v>
      </c>
      <c r="G101" s="75" t="s">
        <v>65</v>
      </c>
      <c r="H101" s="76">
        <f ca="1">SUMIF(INDIRECT(SUBSTITUTE(B101," ","_")&amp;"[Insumo]"),Insumos_a_comprar[[#This Row],[Insumo]],INDIRECT(SUBSTITUTE(B101," ","_")&amp;"[Stock]"))</f>
        <v>2</v>
      </c>
      <c r="I101" s="194" t="str">
        <f ca="1">IF((Insumos_a_comprar[[#This Row],[Stock actual]]-Insumos_a_comprar[[#This Row],[Stock mínimo]])&lt;0,"Si","No")</f>
        <v>No</v>
      </c>
      <c r="J101" s="77" t="str">
        <f ca="1">INDEX(Table12[Acción],MATCH(Insumos_a_comprar[[#This Row],[Planilla]],Table12[Planilla],0))</f>
        <v>Constante</v>
      </c>
      <c r="K101" s="77">
        <v>10</v>
      </c>
      <c r="L10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1" s="367"/>
      <c r="N101" s="367"/>
      <c r="O101" s="367"/>
      <c r="P101" s="179"/>
      <c r="Q101" s="1"/>
      <c r="R101" s="1"/>
    </row>
    <row r="102" spans="1:18" x14ac:dyDescent="0.25">
      <c r="A102" s="10" t="s">
        <v>19</v>
      </c>
      <c r="B102" s="11" t="s">
        <v>60</v>
      </c>
      <c r="C102" s="61" t="str">
        <f>HYPERLINK("#'"&amp;Insumos_a_comprar[[#This Row],[Planilla]]&amp;"'!D1","Ir")</f>
        <v>Ir</v>
      </c>
      <c r="D102" s="11" t="s">
        <v>463</v>
      </c>
      <c r="E102" s="66"/>
      <c r="F102" s="67">
        <v>200</v>
      </c>
      <c r="G102" s="68" t="s">
        <v>7</v>
      </c>
      <c r="H102" s="66">
        <f ca="1">SUMIF(INDIRECT(SUBSTITUTE(B102," ","_")&amp;"[Insumo]"),Insumos_a_comprar[[#This Row],[Insumo]],INDIRECT(SUBSTITUTE(B102," ","_")&amp;"[Stock]"))</f>
        <v>200</v>
      </c>
      <c r="I102" s="69" t="str">
        <f ca="1">IF((Insumos_a_comprar[[#This Row],[Stock actual]]-Insumos_a_comprar[[#This Row],[Stock mínimo]])&lt;0,"Si","No")</f>
        <v>No</v>
      </c>
      <c r="J102" s="67" t="str">
        <f ca="1">INDEX(Table12[Acción],MATCH(Insumos_a_comprar[[#This Row],[Planilla]],Table12[Planilla],0))</f>
        <v>Vigente</v>
      </c>
      <c r="K102" s="71">
        <v>250</v>
      </c>
      <c r="L10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2" s="65"/>
      <c r="N102" s="65"/>
      <c r="O102" s="65"/>
      <c r="P102" s="178"/>
      <c r="Q102" s="1"/>
      <c r="R102" s="1"/>
    </row>
    <row r="103" spans="1:18" x14ac:dyDescent="0.25">
      <c r="A103" s="22" t="s">
        <v>646</v>
      </c>
      <c r="B103" s="23" t="s">
        <v>597</v>
      </c>
      <c r="C103" s="61" t="str">
        <f>HYPERLINK("#'"&amp;Insumos_a_comprar[[#This Row],[Planilla]]&amp;"'!D1","Ir")</f>
        <v>Ir</v>
      </c>
      <c r="D103" s="11" t="s">
        <v>397</v>
      </c>
      <c r="E103" s="73" t="s">
        <v>397</v>
      </c>
      <c r="F103" s="74">
        <v>1</v>
      </c>
      <c r="G103" s="75" t="s">
        <v>65</v>
      </c>
      <c r="H103" s="76">
        <f ca="1">SUMIF(INDIRECT(SUBSTITUTE(B103," ","_")&amp;"[Insumo]"),Insumos_a_comprar[[#This Row],[Insumo]],INDIRECT(SUBSTITUTE(B103," ","_")&amp;"[Stock]"))</f>
        <v>1</v>
      </c>
      <c r="I103" s="69" t="str">
        <f ca="1">IF((Insumos_a_comprar[[#This Row],[Stock actual]]-Insumos_a_comprar[[#This Row],[Stock mínimo]])&lt;0,"Si","No")</f>
        <v>No</v>
      </c>
      <c r="J103" s="77" t="str">
        <f ca="1">INDEX(Table12[Acción],MATCH(Insumos_a_comprar[[#This Row],[Planilla]],Table12[Planilla],0))</f>
        <v>Vencido</v>
      </c>
      <c r="K103" s="77">
        <v>2</v>
      </c>
      <c r="L10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3" s="367"/>
      <c r="N103" s="367"/>
      <c r="O103" s="367"/>
      <c r="P103" s="179"/>
      <c r="Q103" s="1"/>
      <c r="R103" s="1"/>
    </row>
    <row r="104" spans="1:18" x14ac:dyDescent="0.25">
      <c r="A104" s="10" t="s">
        <v>157</v>
      </c>
      <c r="B104" s="11" t="s">
        <v>400</v>
      </c>
      <c r="C104" s="61" t="str">
        <f>HYPERLINK("#'"&amp;Insumos_a_comprar[[#This Row],[Planilla]]&amp;"'!D1","Ir")</f>
        <v>Ir</v>
      </c>
      <c r="D104" s="11" t="s">
        <v>397</v>
      </c>
      <c r="E104" s="66" t="s">
        <v>816</v>
      </c>
      <c r="F104" s="67">
        <v>100</v>
      </c>
      <c r="G104" s="68" t="s">
        <v>152</v>
      </c>
      <c r="H104" s="72">
        <f ca="1">SUMIF(INDIRECT(SUBSTITUTE(B104," ","_")&amp;"[Insumo]"),Insumos_a_comprar[[#This Row],[Insumo]],INDIRECT(SUBSTITUTE(B104," ","_")&amp;"[Stock]"))</f>
        <v>70</v>
      </c>
      <c r="I104" s="69" t="str">
        <f ca="1">IF((Insumos_a_comprar[[#This Row],[Stock actual]]-Insumos_a_comprar[[#This Row],[Stock mínimo]])&lt;0,"Si","No")</f>
        <v>Si</v>
      </c>
      <c r="J104" s="67" t="str">
        <f ca="1">INDEX(Table12[Acción],MATCH(Insumos_a_comprar[[#This Row],[Planilla]],Table12[Planilla],0))</f>
        <v>Vencido</v>
      </c>
      <c r="K104" s="71"/>
      <c r="L10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104" s="65">
        <v>44356</v>
      </c>
      <c r="N104" s="65"/>
      <c r="O104" s="65">
        <v>44194</v>
      </c>
      <c r="P104" s="178"/>
      <c r="Q104" s="1"/>
      <c r="R104" s="1"/>
    </row>
    <row r="105" spans="1:18" x14ac:dyDescent="0.25">
      <c r="A105" s="10" t="s">
        <v>746</v>
      </c>
      <c r="B105" s="11" t="s">
        <v>400</v>
      </c>
      <c r="C105" s="61" t="str">
        <f>HYPERLINK("#'"&amp;Insumos_a_comprar[[#This Row],[Planilla]]&amp;"'!D1","Ir")</f>
        <v>Ir</v>
      </c>
      <c r="D105" s="11" t="s">
        <v>397</v>
      </c>
      <c r="E105" s="66" t="s">
        <v>816</v>
      </c>
      <c r="F105" s="67">
        <v>100</v>
      </c>
      <c r="G105" s="68" t="s">
        <v>152</v>
      </c>
      <c r="H105" s="72">
        <f ca="1">SUMIF(INDIRECT(SUBSTITUTE(B105," ","_")&amp;"[Insumo]"),Insumos_a_comprar[[#This Row],[Insumo]],INDIRECT(SUBSTITUTE(B105," ","_")&amp;"[Stock]"))</f>
        <v>229</v>
      </c>
      <c r="I105" s="69" t="str">
        <f ca="1">IF((Insumos_a_comprar[[#This Row],[Stock actual]]-Insumos_a_comprar[[#This Row],[Stock mínimo]])&lt;0,"Si","No")</f>
        <v>No</v>
      </c>
      <c r="J105" s="67" t="str">
        <f ca="1">INDEX(Table12[Acción],MATCH(Insumos_a_comprar[[#This Row],[Planilla]],Table12[Planilla],0))</f>
        <v>Vencido</v>
      </c>
      <c r="K105" s="71"/>
      <c r="L10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5" s="65"/>
      <c r="N105" s="65"/>
      <c r="O105" s="65"/>
      <c r="P105" s="178"/>
      <c r="Q105" s="1"/>
      <c r="R105" s="1"/>
    </row>
    <row r="106" spans="1:18" x14ac:dyDescent="0.25">
      <c r="A106" s="10" t="s">
        <v>747</v>
      </c>
      <c r="B106" s="11" t="s">
        <v>400</v>
      </c>
      <c r="C106" s="61" t="str">
        <f>HYPERLINK("#'"&amp;Insumos_a_comprar[[#This Row],[Planilla]]&amp;"'!D1","Ir")</f>
        <v>Ir</v>
      </c>
      <c r="D106" s="11" t="s">
        <v>397</v>
      </c>
      <c r="E106" s="66" t="s">
        <v>816</v>
      </c>
      <c r="F106" s="67">
        <v>100</v>
      </c>
      <c r="G106" s="68" t="s">
        <v>152</v>
      </c>
      <c r="H106" s="72">
        <f ca="1">SUMIF(INDIRECT(SUBSTITUTE(B106," ","_")&amp;"[Insumo]"),Insumos_a_comprar[[#This Row],[Insumo]],INDIRECT(SUBSTITUTE(B106," ","_")&amp;"[Stock]"))</f>
        <v>243</v>
      </c>
      <c r="I106" s="69" t="str">
        <f ca="1">IF((Insumos_a_comprar[[#This Row],[Stock actual]]-Insumos_a_comprar[[#This Row],[Stock mínimo]])&lt;0,"Si","No")</f>
        <v>No</v>
      </c>
      <c r="J106" s="67" t="str">
        <f ca="1">INDEX(Table12[Acción],MATCH(Insumos_a_comprar[[#This Row],[Planilla]],Table12[Planilla],0))</f>
        <v>Vencido</v>
      </c>
      <c r="K106" s="71"/>
      <c r="L10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6" s="65"/>
      <c r="N106" s="65"/>
      <c r="O106" s="65">
        <v>44194</v>
      </c>
      <c r="P106" s="178"/>
      <c r="Q106" s="1"/>
      <c r="R106" s="1"/>
    </row>
    <row r="107" spans="1:18" x14ac:dyDescent="0.25">
      <c r="A107" s="10" t="s">
        <v>119</v>
      </c>
      <c r="B107" s="11" t="s">
        <v>398</v>
      </c>
      <c r="C107" s="61" t="str">
        <f>HYPERLINK("#'"&amp;Insumos_a_comprar[[#This Row],[Planilla]]&amp;"'!D1","Ir")</f>
        <v>Ir</v>
      </c>
      <c r="D107" s="11" t="s">
        <v>463</v>
      </c>
      <c r="E107" s="66" t="s">
        <v>854</v>
      </c>
      <c r="F107" s="67">
        <v>0.1</v>
      </c>
      <c r="G107" s="68" t="s">
        <v>399</v>
      </c>
      <c r="H107" s="72">
        <f ca="1">SUMIF(INDIRECT(SUBSTITUTE(B107," ","_")&amp;"[Insumo]"),Insumos_a_comprar[[#This Row],[Insumo]],INDIRECT(SUBSTITUTE(B107," ","_")&amp;"[Stock]"))</f>
        <v>2.2999999999999998</v>
      </c>
      <c r="I107" s="69" t="str">
        <f ca="1">IF((Insumos_a_comprar[[#This Row],[Stock actual]]-Insumos_a_comprar[[#This Row],[Stock mínimo]])&lt;0,"Si","No")</f>
        <v>No</v>
      </c>
      <c r="J107" s="67" t="str">
        <f ca="1">INDEX(Table12[Acción],MATCH(Insumos_a_comprar[[#This Row],[Planilla]],Table12[Planilla],0))</f>
        <v>Vigente</v>
      </c>
      <c r="K107" s="71">
        <v>1</v>
      </c>
      <c r="L10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7" s="65"/>
      <c r="N107" s="65"/>
      <c r="O107" s="65"/>
      <c r="P107" s="178"/>
      <c r="Q107" s="1"/>
      <c r="R107" s="1"/>
    </row>
    <row r="108" spans="1:18" x14ac:dyDescent="0.25">
      <c r="A108" s="10" t="s">
        <v>120</v>
      </c>
      <c r="B108" s="11" t="s">
        <v>398</v>
      </c>
      <c r="C108" s="61" t="str">
        <f>HYPERLINK("#'"&amp;Insumos_a_comprar[[#This Row],[Planilla]]&amp;"'!D1","Ir")</f>
        <v>Ir</v>
      </c>
      <c r="D108" s="11" t="s">
        <v>464</v>
      </c>
      <c r="E108" s="66" t="s">
        <v>854</v>
      </c>
      <c r="F108" s="67">
        <v>0.1</v>
      </c>
      <c r="G108" s="68" t="s">
        <v>399</v>
      </c>
      <c r="H108" s="72">
        <f ca="1">SUMIF(INDIRECT(SUBSTITUTE(B108," ","_")&amp;"[Insumo]"),Insumos_a_comprar[[#This Row],[Insumo]],INDIRECT(SUBSTITUTE(B108," ","_")&amp;"[Stock]"))</f>
        <v>1</v>
      </c>
      <c r="I108" s="69" t="str">
        <f ca="1">IF((Insumos_a_comprar[[#This Row],[Stock actual]]-Insumos_a_comprar[[#This Row],[Stock mínimo]])&lt;0,"Si","No")</f>
        <v>No</v>
      </c>
      <c r="J108" s="67" t="str">
        <f ca="1">INDEX(Table12[Acción],MATCH(Insumos_a_comprar[[#This Row],[Planilla]],Table12[Planilla],0))</f>
        <v>Vigente</v>
      </c>
      <c r="K108" s="71">
        <v>0.5</v>
      </c>
      <c r="L10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8" s="65"/>
      <c r="N108" s="65"/>
      <c r="O108" s="65"/>
      <c r="P108" s="178"/>
      <c r="Q108" s="1"/>
      <c r="R108" s="1"/>
    </row>
    <row r="109" spans="1:18" x14ac:dyDescent="0.25">
      <c r="A109" s="10" t="s">
        <v>20</v>
      </c>
      <c r="B109" s="11" t="s">
        <v>60</v>
      </c>
      <c r="C109" s="61" t="str">
        <f>HYPERLINK("#'"&amp;Insumos_a_comprar[[#This Row],[Planilla]]&amp;"'!D1","Ir")</f>
        <v>Ir</v>
      </c>
      <c r="D109" s="11" t="s">
        <v>463</v>
      </c>
      <c r="E109" s="66" t="s">
        <v>818</v>
      </c>
      <c r="F109" s="67">
        <v>250</v>
      </c>
      <c r="G109" s="68" t="s">
        <v>7</v>
      </c>
      <c r="H109" s="66">
        <f ca="1">SUMIF(INDIRECT(SUBSTITUTE(B109," ","_")&amp;"[Insumo]"),Insumos_a_comprar[[#This Row],[Insumo]],INDIRECT(SUBSTITUTE(B109," ","_")&amp;"[Stock]"))</f>
        <v>375</v>
      </c>
      <c r="I109" s="69" t="str">
        <f ca="1">IF((Insumos_a_comprar[[#This Row],[Stock actual]]-Insumos_a_comprar[[#This Row],[Stock mínimo]])&lt;0,"Si","No")</f>
        <v>No</v>
      </c>
      <c r="J109" s="67" t="str">
        <f ca="1">INDEX(Table12[Acción],MATCH(Insumos_a_comprar[[#This Row],[Planilla]],Table12[Planilla],0))</f>
        <v>Vigente</v>
      </c>
      <c r="K109" s="71">
        <v>250</v>
      </c>
      <c r="L10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09" s="65"/>
      <c r="N109" s="65"/>
      <c r="O109" s="65"/>
      <c r="P109" s="178"/>
      <c r="Q109" s="1"/>
      <c r="R109" s="1"/>
    </row>
    <row r="110" spans="1:18" x14ac:dyDescent="0.25">
      <c r="A110" s="22" t="s">
        <v>754</v>
      </c>
      <c r="B110" s="23" t="s">
        <v>392</v>
      </c>
      <c r="C110" s="61" t="str">
        <f>HYPERLINK("#'"&amp;Insumos_a_comprar[[#This Row],[Planilla]]&amp;"'!D1","Ir")</f>
        <v>Ir</v>
      </c>
      <c r="D110" s="11" t="s">
        <v>397</v>
      </c>
      <c r="E110" s="73" t="s">
        <v>849</v>
      </c>
      <c r="F110" s="74"/>
      <c r="G110" s="75" t="s">
        <v>7</v>
      </c>
      <c r="H110" s="76">
        <f ca="1">SUMIF(INDIRECT(SUBSTITUTE(B110," ","_")&amp;"[Insumo]"),Insumos_a_comprar[[#This Row],[Insumo]],INDIRECT(SUBSTITUTE(B110," ","_")&amp;"[Stock]"))</f>
        <v>0</v>
      </c>
      <c r="I110" s="69" t="str">
        <f ca="1">IF((Insumos_a_comprar[[#This Row],[Stock actual]]-Insumos_a_comprar[[#This Row],[Stock mínimo]])&lt;0,"Si","No")</f>
        <v>No</v>
      </c>
      <c r="J110" s="77" t="str">
        <f ca="1">INDEX(Table12[Acción],MATCH(Insumos_a_comprar[[#This Row],[Planilla]],Table12[Planilla],0))</f>
        <v>Vencido</v>
      </c>
      <c r="K110" s="77"/>
      <c r="L11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0" s="367"/>
      <c r="N110" s="367"/>
      <c r="O110" s="367"/>
      <c r="P110" s="179" t="s">
        <v>850</v>
      </c>
      <c r="Q110" s="1"/>
      <c r="R110" s="1"/>
    </row>
    <row r="111" spans="1:18" x14ac:dyDescent="0.25">
      <c r="A111" s="10" t="s">
        <v>753</v>
      </c>
      <c r="B111" s="11" t="s">
        <v>60</v>
      </c>
      <c r="C111" s="61" t="str">
        <f>HYPERLINK("#'"&amp;Insumos_a_comprar[[#This Row],[Planilla]]&amp;"'!D1","Ir")</f>
        <v>Ir</v>
      </c>
      <c r="D111" s="11" t="s">
        <v>463</v>
      </c>
      <c r="E111" s="66" t="s">
        <v>817</v>
      </c>
      <c r="F111" s="67">
        <v>250</v>
      </c>
      <c r="G111" s="68" t="s">
        <v>7</v>
      </c>
      <c r="H111" s="66">
        <f ca="1">SUMIF(INDIRECT(SUBSTITUTE(B111," ","_")&amp;"[Insumo]"),Insumos_a_comprar[[#This Row],[Insumo]],INDIRECT(SUBSTITUTE(B111," ","_")&amp;"[Stock]"))</f>
        <v>275</v>
      </c>
      <c r="I111" s="69" t="str">
        <f ca="1">IF((Insumos_a_comprar[[#This Row],[Stock actual]]-Insumos_a_comprar[[#This Row],[Stock mínimo]])&lt;0,"Si","No")</f>
        <v>No</v>
      </c>
      <c r="J111" s="67" t="str">
        <f ca="1">INDEX(Table12[Acción],MATCH(Insumos_a_comprar[[#This Row],[Planilla]],Table12[Planilla],0))</f>
        <v>Vigente</v>
      </c>
      <c r="K111" s="71">
        <v>250</v>
      </c>
      <c r="L11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1" s="65"/>
      <c r="N111" s="65"/>
      <c r="O111" s="65">
        <v>44326</v>
      </c>
      <c r="P111" s="178"/>
      <c r="Q111" s="1"/>
      <c r="R111" s="1"/>
    </row>
    <row r="112" spans="1:18" x14ac:dyDescent="0.25">
      <c r="A112" s="13" t="s">
        <v>674</v>
      </c>
      <c r="B112" s="11" t="s">
        <v>392</v>
      </c>
      <c r="C112" s="61" t="str">
        <f>HYPERLINK("#'"&amp;Insumos_a_comprar[[#This Row],[Planilla]]&amp;"'!D1","Ir")</f>
        <v>Ir</v>
      </c>
      <c r="D112" s="11" t="s">
        <v>463</v>
      </c>
      <c r="E112" s="66" t="s">
        <v>819</v>
      </c>
      <c r="F112" s="67">
        <v>50</v>
      </c>
      <c r="G112" s="68" t="s">
        <v>7</v>
      </c>
      <c r="H112" s="72">
        <f ca="1">SUMIF(INDIRECT(SUBSTITUTE(B112," ","_")&amp;"[Insumo]"),Insumos_a_comprar[[#This Row],[Insumo]],INDIRECT(SUBSTITUTE(B112," ","_")&amp;"[Stock]"))</f>
        <v>800</v>
      </c>
      <c r="I112" s="69" t="str">
        <f ca="1">IF((Insumos_a_comprar[[#This Row],[Stock actual]]-Insumos_a_comprar[[#This Row],[Stock mínimo]])&lt;0,"Si","No")</f>
        <v>No</v>
      </c>
      <c r="J112" s="67" t="str">
        <f ca="1">INDEX(Table12[Acción],MATCH(Insumos_a_comprar[[#This Row],[Planilla]],Table12[Planilla],0))</f>
        <v>Vencido</v>
      </c>
      <c r="K112" s="71" t="s">
        <v>206</v>
      </c>
      <c r="L11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2" s="65"/>
      <c r="N112" s="65"/>
      <c r="O112" s="65"/>
      <c r="P112" s="178"/>
      <c r="Q112" s="1"/>
      <c r="R112" s="1"/>
    </row>
    <row r="113" spans="1:18" x14ac:dyDescent="0.25">
      <c r="A113" s="22" t="s">
        <v>705</v>
      </c>
      <c r="B113" s="23" t="s">
        <v>739</v>
      </c>
      <c r="C113" s="61" t="str">
        <f>HYPERLINK("#'"&amp;Insumos_a_comprar[[#This Row],[Planilla]]&amp;"'!D1","Ir")</f>
        <v>Ir</v>
      </c>
      <c r="D113" s="11" t="s">
        <v>397</v>
      </c>
      <c r="E113" s="73" t="s">
        <v>397</v>
      </c>
      <c r="F113" s="74">
        <v>0.5</v>
      </c>
      <c r="G113" s="75" t="s">
        <v>65</v>
      </c>
      <c r="H113" s="76">
        <f ca="1">SUMIF(INDIRECT(SUBSTITUTE(B113," ","_")&amp;"[Insumo]"),Insumos_a_comprar[[#This Row],[Insumo]],INDIRECT(SUBSTITUTE(B113," ","_")&amp;"[Stock]"))</f>
        <v>1</v>
      </c>
      <c r="I113" s="69" t="str">
        <f ca="1">IF((Insumos_a_comprar[[#This Row],[Stock actual]]-Insumos_a_comprar[[#This Row],[Stock mínimo]])&lt;0,"Si","No")</f>
        <v>No</v>
      </c>
      <c r="J113" s="77" t="str">
        <f ca="1">INDEX(Table12[Acción],MATCH(Insumos_a_comprar[[#This Row],[Planilla]],Table12[Planilla],0))</f>
        <v>Vencido</v>
      </c>
      <c r="K113" s="77">
        <v>1</v>
      </c>
      <c r="L11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3" s="206"/>
      <c r="N113" s="206"/>
      <c r="O113" s="206"/>
      <c r="P113" s="179"/>
      <c r="Q113" s="1"/>
      <c r="R113" s="1"/>
    </row>
    <row r="114" spans="1:18" x14ac:dyDescent="0.25">
      <c r="A114" s="22" t="s">
        <v>706</v>
      </c>
      <c r="B114" s="23" t="s">
        <v>739</v>
      </c>
      <c r="C114" s="61" t="str">
        <f>HYPERLINK("#'"&amp;Insumos_a_comprar[[#This Row],[Planilla]]&amp;"'!D1","Ir")</f>
        <v>Ir</v>
      </c>
      <c r="D114" s="11" t="s">
        <v>397</v>
      </c>
      <c r="E114" s="73" t="s">
        <v>397</v>
      </c>
      <c r="F114" s="74">
        <v>0.5</v>
      </c>
      <c r="G114" s="75" t="s">
        <v>65</v>
      </c>
      <c r="H114" s="76">
        <f ca="1">SUMIF(INDIRECT(SUBSTITUTE(B114," ","_")&amp;"[Insumo]"),Insumos_a_comprar[[#This Row],[Insumo]],INDIRECT(SUBSTITUTE(B114," ","_")&amp;"[Stock]"))</f>
        <v>1.2</v>
      </c>
      <c r="I114" s="69" t="str">
        <f ca="1">IF((Insumos_a_comprar[[#This Row],[Stock actual]]-Insumos_a_comprar[[#This Row],[Stock mínimo]])&lt;0,"Si","No")</f>
        <v>No</v>
      </c>
      <c r="J114" s="77" t="str">
        <f ca="1">INDEX(Table12[Acción],MATCH(Insumos_a_comprar[[#This Row],[Planilla]],Table12[Planilla],0))</f>
        <v>Vencido</v>
      </c>
      <c r="K114" s="77">
        <v>1</v>
      </c>
      <c r="L11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4" s="206"/>
      <c r="N114" s="206"/>
      <c r="O114" s="206"/>
      <c r="P114" s="179"/>
      <c r="Q114" s="1"/>
      <c r="R114" s="1"/>
    </row>
    <row r="115" spans="1:18" x14ac:dyDescent="0.25">
      <c r="A115" s="22" t="s">
        <v>942</v>
      </c>
      <c r="B115" s="23" t="s">
        <v>63</v>
      </c>
      <c r="C115" s="193" t="str">
        <f>HYPERLINK("#'"&amp;Insumos_a_comprar[[#This Row],[Planilla]]&amp;"'!D1","Ir")</f>
        <v>Ir</v>
      </c>
      <c r="D115" s="23" t="s">
        <v>397</v>
      </c>
      <c r="E115" s="73"/>
      <c r="F115" s="74">
        <v>1</v>
      </c>
      <c r="G115" s="75" t="s">
        <v>65</v>
      </c>
      <c r="H115" s="76">
        <f ca="1">SUMIF(INDIRECT(SUBSTITUTE(B115," ","_")&amp;"[Insumo]"),Insumos_a_comprar[[#This Row],[Insumo]],INDIRECT(SUBSTITUTE(B115," ","_")&amp;"[Stock]"))</f>
        <v>1</v>
      </c>
      <c r="I115" s="194" t="str">
        <f ca="1">IF((Insumos_a_comprar[[#This Row],[Stock actual]]-Insumos_a_comprar[[#This Row],[Stock mínimo]])&lt;0,"Si","No")</f>
        <v>No</v>
      </c>
      <c r="J115" s="77" t="str">
        <f ca="1">INDEX(Table12[Acción],MATCH(Insumos_a_comprar[[#This Row],[Planilla]],Table12[Planilla],0))</f>
        <v>Constante</v>
      </c>
      <c r="K115" s="77"/>
      <c r="L11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5" s="206"/>
      <c r="N115" s="206"/>
      <c r="O115" s="206"/>
      <c r="P115" s="179"/>
      <c r="Q115" s="1"/>
      <c r="R115" s="1"/>
    </row>
    <row r="116" spans="1:18" x14ac:dyDescent="0.25">
      <c r="A116" s="22" t="s">
        <v>943</v>
      </c>
      <c r="B116" s="23" t="s">
        <v>63</v>
      </c>
      <c r="C116" s="193" t="str">
        <f>HYPERLINK("#'"&amp;Insumos_a_comprar[[#This Row],[Planilla]]&amp;"'!D1","Ir")</f>
        <v>Ir</v>
      </c>
      <c r="D116" s="23" t="s">
        <v>397</v>
      </c>
      <c r="E116" s="73"/>
      <c r="F116" s="74"/>
      <c r="G116" s="75" t="s">
        <v>65</v>
      </c>
      <c r="H116" s="76">
        <f ca="1">SUMIF(INDIRECT(SUBSTITUTE(B116," ","_")&amp;"[Insumo]"),Insumos_a_comprar[[#This Row],[Insumo]],INDIRECT(SUBSTITUTE(B116," ","_")&amp;"[Stock]"))</f>
        <v>2</v>
      </c>
      <c r="I116" s="194" t="str">
        <f ca="1">IF((Insumos_a_comprar[[#This Row],[Stock actual]]-Insumos_a_comprar[[#This Row],[Stock mínimo]])&lt;0,"Si","No")</f>
        <v>No</v>
      </c>
      <c r="J116" s="77" t="str">
        <f ca="1">INDEX(Table12[Acción],MATCH(Insumos_a_comprar[[#This Row],[Planilla]],Table12[Planilla],0))</f>
        <v>Constante</v>
      </c>
      <c r="K116" s="77">
        <v>1</v>
      </c>
      <c r="L11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6" s="367"/>
      <c r="N116" s="367"/>
      <c r="O116" s="367"/>
      <c r="P116" s="179"/>
      <c r="Q116" s="1"/>
      <c r="R116" s="1"/>
    </row>
    <row r="117" spans="1:18" x14ac:dyDescent="0.25">
      <c r="A117" s="10" t="s">
        <v>401</v>
      </c>
      <c r="B117" s="11" t="s">
        <v>400</v>
      </c>
      <c r="C117" s="61" t="str">
        <f>HYPERLINK("#'"&amp;Insumos_a_comprar[[#This Row],[Planilla]]&amp;"'!D1","Ir")</f>
        <v>Ir</v>
      </c>
      <c r="D117" s="11" t="s">
        <v>397</v>
      </c>
      <c r="E117" s="66" t="s">
        <v>820</v>
      </c>
      <c r="F117" s="67">
        <v>100</v>
      </c>
      <c r="G117" s="68" t="s">
        <v>152</v>
      </c>
      <c r="H117" s="72">
        <f ca="1">SUMIF(INDIRECT(SUBSTITUTE(B117," ","_")&amp;"[Insumo]"),Insumos_a_comprar[[#This Row],[Insumo]],INDIRECT(SUBSTITUTE(B117," ","_")&amp;"[Stock]"))</f>
        <v>152</v>
      </c>
      <c r="I117" s="69" t="str">
        <f ca="1">IF((Insumos_a_comprar[[#This Row],[Stock actual]]-Insumos_a_comprar[[#This Row],[Stock mínimo]])&lt;0,"Si","No")</f>
        <v>No</v>
      </c>
      <c r="J117" s="67" t="str">
        <f ca="1">INDEX(Table12[Acción],MATCH(Insumos_a_comprar[[#This Row],[Planilla]],Table12[Planilla],0))</f>
        <v>Vencido</v>
      </c>
      <c r="K117" s="71"/>
      <c r="L11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7" s="65"/>
      <c r="N117" s="65"/>
      <c r="O117" s="65">
        <v>44365</v>
      </c>
      <c r="P117" s="178"/>
      <c r="Q117" s="1"/>
      <c r="R117" s="1"/>
    </row>
    <row r="118" spans="1:18" x14ac:dyDescent="0.25">
      <c r="A118" s="10" t="s">
        <v>116</v>
      </c>
      <c r="B118" s="11" t="s">
        <v>398</v>
      </c>
      <c r="C118" s="61" t="str">
        <f>HYPERLINK("#'"&amp;Insumos_a_comprar[[#This Row],[Planilla]]&amp;"'!D1","Ir")</f>
        <v>Ir</v>
      </c>
      <c r="D118" s="11" t="s">
        <v>463</v>
      </c>
      <c r="E118" s="66" t="s">
        <v>854</v>
      </c>
      <c r="F118" s="67">
        <v>0.1</v>
      </c>
      <c r="G118" s="68" t="s">
        <v>399</v>
      </c>
      <c r="H118" s="72">
        <f ca="1">SUMIF(INDIRECT(SUBSTITUTE(B118," ","_")&amp;"[Insumo]"),Insumos_a_comprar[[#This Row],[Insumo]],INDIRECT(SUBSTITUTE(B118," ","_")&amp;"[Stock]"))</f>
        <v>0.7</v>
      </c>
      <c r="I118" s="69" t="str">
        <f ca="1">IF((Insumos_a_comprar[[#This Row],[Stock actual]]-Insumos_a_comprar[[#This Row],[Stock mínimo]])&lt;0,"Si","No")</f>
        <v>No</v>
      </c>
      <c r="J118" s="67" t="str">
        <f ca="1">INDEX(Table12[Acción],MATCH(Insumos_a_comprar[[#This Row],[Planilla]],Table12[Planilla],0))</f>
        <v>Vigente</v>
      </c>
      <c r="K118" s="71">
        <v>1</v>
      </c>
      <c r="L11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8" s="65"/>
      <c r="N118" s="65"/>
      <c r="O118" s="65"/>
      <c r="P118" s="178"/>
      <c r="Q118" s="1"/>
      <c r="R118" s="1"/>
    </row>
    <row r="119" spans="1:18" x14ac:dyDescent="0.25">
      <c r="A119" s="10" t="s">
        <v>118</v>
      </c>
      <c r="B119" s="11" t="s">
        <v>398</v>
      </c>
      <c r="C119" s="61" t="str">
        <f>HYPERLINK("#'"&amp;Insumos_a_comprar[[#This Row],[Planilla]]&amp;"'!D1","Ir")</f>
        <v>Ir</v>
      </c>
      <c r="D119" s="11" t="s">
        <v>465</v>
      </c>
      <c r="E119" s="66" t="s">
        <v>821</v>
      </c>
      <c r="F119" s="67">
        <v>10</v>
      </c>
      <c r="G119" s="68" t="s">
        <v>399</v>
      </c>
      <c r="H119" s="72">
        <f ca="1">SUMIF(INDIRECT(SUBSTITUTE(B119," ","_")&amp;"[Insumo]"),Insumos_a_comprar[[#This Row],[Insumo]],INDIRECT(SUBSTITUTE(B119," ","_")&amp;"[Stock]"))</f>
        <v>16.5</v>
      </c>
      <c r="I119" s="69" t="str">
        <f ca="1">IF((Insumos_a_comprar[[#This Row],[Stock actual]]-Insumos_a_comprar[[#This Row],[Stock mínimo]])&lt;0,"Si","No")</f>
        <v>No</v>
      </c>
      <c r="J119" s="67" t="str">
        <f ca="1">INDEX(Table12[Acción],MATCH(Insumos_a_comprar[[#This Row],[Planilla]],Table12[Planilla],0))</f>
        <v>Vigente</v>
      </c>
      <c r="K119" s="71">
        <v>12</v>
      </c>
      <c r="L11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19" s="65"/>
      <c r="N119" s="65"/>
      <c r="O119" s="65"/>
      <c r="P119" s="178"/>
      <c r="Q119" s="1"/>
      <c r="R119" s="1"/>
    </row>
    <row r="120" spans="1:18" x14ac:dyDescent="0.25">
      <c r="A120" s="22" t="s">
        <v>92</v>
      </c>
      <c r="B120" s="23" t="s">
        <v>594</v>
      </c>
      <c r="C120" s="61" t="str">
        <f>HYPERLINK("#'"&amp;Insumos_a_comprar[[#This Row],[Planilla]]&amp;"'!D1","Ir")</f>
        <v>Ir</v>
      </c>
      <c r="D120" s="11" t="s">
        <v>397</v>
      </c>
      <c r="E120" s="73" t="s">
        <v>397</v>
      </c>
      <c r="F120" s="74">
        <v>1</v>
      </c>
      <c r="G120" s="75" t="s">
        <v>65</v>
      </c>
      <c r="H120" s="76">
        <f ca="1">SUMIF(INDIRECT(SUBSTITUTE(B120," ","_")&amp;"[Insumo]"),Insumos_a_comprar[[#This Row],[Insumo]],INDIRECT(SUBSTITUTE(B120," ","_")&amp;"[Stock]"))</f>
        <v>2</v>
      </c>
      <c r="I120" s="69" t="str">
        <f ca="1">IF((Insumos_a_comprar[[#This Row],[Stock actual]]-Insumos_a_comprar[[#This Row],[Stock mínimo]])&lt;0,"Si","No")</f>
        <v>No</v>
      </c>
      <c r="J120" s="67" t="str">
        <f ca="1">INDEX(Table12[Acción],MATCH(Insumos_a_comprar[[#This Row],[Planilla]],Table12[Planilla],0))</f>
        <v>Constante</v>
      </c>
      <c r="K120" s="77">
        <v>1</v>
      </c>
      <c r="L12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0" s="367"/>
      <c r="N120" s="367"/>
      <c r="O120" s="367"/>
      <c r="P120" s="179"/>
      <c r="Q120" s="1"/>
      <c r="R120" s="1"/>
    </row>
    <row r="121" spans="1:18" x14ac:dyDescent="0.25">
      <c r="A121" s="13" t="s">
        <v>215</v>
      </c>
      <c r="B121" s="11" t="s">
        <v>392</v>
      </c>
      <c r="C121" s="61" t="str">
        <f>HYPERLINK("#'"&amp;Insumos_a_comprar[[#This Row],[Planilla]]&amp;"'!D1","Ir")</f>
        <v>Ir</v>
      </c>
      <c r="D121" s="11" t="s">
        <v>463</v>
      </c>
      <c r="E121" s="66"/>
      <c r="F121" s="67">
        <v>1</v>
      </c>
      <c r="G121" s="68" t="s">
        <v>7</v>
      </c>
      <c r="H121" s="72">
        <f ca="1">SUMIF(INDIRECT(SUBSTITUTE(B121," ","_")&amp;"[Insumo]"),Insumos_a_comprar[[#This Row],[Insumo]],INDIRECT(SUBSTITUTE(B121," ","_")&amp;"[Stock]"))</f>
        <v>10</v>
      </c>
      <c r="I121" s="69" t="str">
        <f ca="1">IF((Insumos_a_comprar[[#This Row],[Stock actual]]-Insumos_a_comprar[[#This Row],[Stock mínimo]])&lt;0,"Si","No")</f>
        <v>No</v>
      </c>
      <c r="J121" s="67" t="str">
        <f ca="1">INDEX(Table12[Acción],MATCH(Insumos_a_comprar[[#This Row],[Planilla]],Table12[Planilla],0))</f>
        <v>Vencido</v>
      </c>
      <c r="K121" s="71" t="s">
        <v>206</v>
      </c>
      <c r="L12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1" s="65"/>
      <c r="N121" s="65"/>
      <c r="O121" s="65"/>
      <c r="P121" s="178"/>
      <c r="Q121" s="1"/>
      <c r="R121" s="1"/>
    </row>
    <row r="122" spans="1:18" x14ac:dyDescent="0.25">
      <c r="A122" s="22" t="s">
        <v>91</v>
      </c>
      <c r="B122" s="23" t="s">
        <v>594</v>
      </c>
      <c r="C122" s="61" t="str">
        <f>HYPERLINK("#'"&amp;Insumos_a_comprar[[#This Row],[Planilla]]&amp;"'!D1","Ir")</f>
        <v>Ir</v>
      </c>
      <c r="D122" s="11" t="s">
        <v>397</v>
      </c>
      <c r="E122" s="73" t="s">
        <v>397</v>
      </c>
      <c r="F122" s="74">
        <v>1</v>
      </c>
      <c r="G122" s="75" t="s">
        <v>65</v>
      </c>
      <c r="H122" s="76">
        <f ca="1">SUMIF(INDIRECT(SUBSTITUTE(B122," ","_")&amp;"[Insumo]"),Insumos_a_comprar[[#This Row],[Insumo]],INDIRECT(SUBSTITUTE(B122," ","_")&amp;"[Stock]"))</f>
        <v>3</v>
      </c>
      <c r="I122" s="69" t="str">
        <f ca="1">IF((Insumos_a_comprar[[#This Row],[Stock actual]]-Insumos_a_comprar[[#This Row],[Stock mínimo]])&lt;0,"Si","No")</f>
        <v>No</v>
      </c>
      <c r="J122" s="67" t="str">
        <f ca="1">INDEX(Table12[Acción],MATCH(Insumos_a_comprar[[#This Row],[Planilla]],Table12[Planilla],0))</f>
        <v>Constante</v>
      </c>
      <c r="K122" s="77">
        <v>1</v>
      </c>
      <c r="L12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2" s="367"/>
      <c r="N122" s="367"/>
      <c r="O122" s="367"/>
      <c r="P122" s="179"/>
      <c r="Q122" s="1"/>
      <c r="R122" s="1"/>
    </row>
    <row r="123" spans="1:18" x14ac:dyDescent="0.25">
      <c r="A123" s="13" t="s">
        <v>675</v>
      </c>
      <c r="B123" s="11" t="s">
        <v>392</v>
      </c>
      <c r="C123" s="61" t="str">
        <f>HYPERLINK("#'"&amp;Insumos_a_comprar[[#This Row],[Planilla]]&amp;"'!D1","Ir")</f>
        <v>Ir</v>
      </c>
      <c r="D123" s="11" t="s">
        <v>463</v>
      </c>
      <c r="E123" s="66"/>
      <c r="F123" s="67">
        <v>1</v>
      </c>
      <c r="G123" s="68" t="s">
        <v>7</v>
      </c>
      <c r="H123" s="72">
        <f ca="1">SUMIF(INDIRECT(SUBSTITUTE(B123," ","_")&amp;"[Insumo]"),Insumos_a_comprar[[#This Row],[Insumo]],INDIRECT(SUBSTITUTE(B123," ","_")&amp;"[Stock]"))</f>
        <v>125</v>
      </c>
      <c r="I123" s="69" t="str">
        <f ca="1">IF((Insumos_a_comprar[[#This Row],[Stock actual]]-Insumos_a_comprar[[#This Row],[Stock mínimo]])&lt;0,"Si","No")</f>
        <v>No</v>
      </c>
      <c r="J123" s="67" t="str">
        <f ca="1">INDEX(Table12[Acción],MATCH(Insumos_a_comprar[[#This Row],[Planilla]],Table12[Planilla],0))</f>
        <v>Vencido</v>
      </c>
      <c r="K123" s="71" t="s">
        <v>206</v>
      </c>
      <c r="L12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3" s="65"/>
      <c r="N123" s="65"/>
      <c r="O123" s="65"/>
      <c r="P123" s="178"/>
      <c r="Q123" s="1"/>
      <c r="R123" s="1"/>
    </row>
    <row r="124" spans="1:18" x14ac:dyDescent="0.25">
      <c r="A124" s="10" t="s">
        <v>21</v>
      </c>
      <c r="B124" s="11" t="s">
        <v>60</v>
      </c>
      <c r="C124" s="61" t="str">
        <f>HYPERLINK("#'"&amp;Insumos_a_comprar[[#This Row],[Planilla]]&amp;"'!D1","Ir")</f>
        <v>Ir</v>
      </c>
      <c r="D124" s="11" t="s">
        <v>463</v>
      </c>
      <c r="E124" s="66" t="s">
        <v>822</v>
      </c>
      <c r="F124" s="67">
        <v>250</v>
      </c>
      <c r="G124" s="68" t="s">
        <v>7</v>
      </c>
      <c r="H124" s="66">
        <f ca="1">SUMIF(INDIRECT(SUBSTITUTE(B124," ","_")&amp;"[Insumo]"),Insumos_a_comprar[[#This Row],[Insumo]],INDIRECT(SUBSTITUTE(B124," ","_")&amp;"[Stock]"))</f>
        <v>350</v>
      </c>
      <c r="I124" s="69" t="str">
        <f ca="1">IF((Insumos_a_comprar[[#This Row],[Stock actual]]-Insumos_a_comprar[[#This Row],[Stock mínimo]])&lt;0,"Si","No")</f>
        <v>No</v>
      </c>
      <c r="J124" s="67" t="str">
        <f ca="1">INDEX(Table12[Acción],MATCH(Insumos_a_comprar[[#This Row],[Planilla]],Table12[Planilla],0))</f>
        <v>Vigente</v>
      </c>
      <c r="K124" s="71">
        <v>250</v>
      </c>
      <c r="L12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4" s="65"/>
      <c r="N124" s="65"/>
      <c r="O124" s="65"/>
      <c r="P124" s="178"/>
      <c r="Q124" s="1"/>
      <c r="R124" s="1"/>
    </row>
    <row r="125" spans="1:18" x14ac:dyDescent="0.25">
      <c r="A125" s="22" t="s">
        <v>944</v>
      </c>
      <c r="B125" s="23" t="s">
        <v>63</v>
      </c>
      <c r="C125" s="193" t="str">
        <f>HYPERLINK("#'"&amp;Insumos_a_comprar[[#This Row],[Planilla]]&amp;"'!D1","Ir")</f>
        <v>Ir</v>
      </c>
      <c r="D125" s="23" t="s">
        <v>397</v>
      </c>
      <c r="E125" s="73"/>
      <c r="F125" s="74">
        <v>2</v>
      </c>
      <c r="G125" s="75"/>
      <c r="H125" s="76">
        <f ca="1">SUMIF(INDIRECT(SUBSTITUTE(B125," ","_")&amp;"[Insumo]"),Insumos_a_comprar[[#This Row],[Insumo]],INDIRECT(SUBSTITUTE(B125," ","_")&amp;"[Stock]"))</f>
        <v>2</v>
      </c>
      <c r="I125" s="194" t="str">
        <f ca="1">IF((Insumos_a_comprar[[#This Row],[Stock actual]]-Insumos_a_comprar[[#This Row],[Stock mínimo]])&lt;0,"Si","No")</f>
        <v>No</v>
      </c>
      <c r="J125" s="77" t="str">
        <f ca="1">INDEX(Table12[Acción],MATCH(Insumos_a_comprar[[#This Row],[Planilla]],Table12[Planilla],0))</f>
        <v>Constante</v>
      </c>
      <c r="K125" s="77">
        <v>1</v>
      </c>
      <c r="L12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5" s="206"/>
      <c r="N125" s="206"/>
      <c r="O125" s="206"/>
      <c r="P125" s="179"/>
      <c r="Q125" s="1"/>
      <c r="R125" s="1"/>
    </row>
    <row r="126" spans="1:18" ht="31.5" x14ac:dyDescent="0.25">
      <c r="A126" s="22" t="s">
        <v>945</v>
      </c>
      <c r="B126" s="23" t="s">
        <v>63</v>
      </c>
      <c r="C126" s="193" t="str">
        <f>HYPERLINK("#'"&amp;Insumos_a_comprar[[#This Row],[Planilla]]&amp;"'!D1","Ir")</f>
        <v>Ir</v>
      </c>
      <c r="D126" s="23" t="s">
        <v>397</v>
      </c>
      <c r="E126" s="73"/>
      <c r="F126" s="74">
        <v>2</v>
      </c>
      <c r="G126" s="75"/>
      <c r="H126" s="76">
        <f ca="1">SUMIF(INDIRECT(SUBSTITUTE(B126," ","_")&amp;"[Insumo]"),Insumos_a_comprar[[#This Row],[Insumo]],INDIRECT(SUBSTITUTE(B126," ","_")&amp;"[Stock]"))</f>
        <v>1</v>
      </c>
      <c r="I126" s="194" t="str">
        <f ca="1">IF((Insumos_a_comprar[[#This Row],[Stock actual]]-Insumos_a_comprar[[#This Row],[Stock mínimo]])&lt;0,"Si","No")</f>
        <v>Si</v>
      </c>
      <c r="J126" s="77" t="str">
        <f ca="1">INDEX(Table12[Acción],MATCH(Insumos_a_comprar[[#This Row],[Planilla]],Table12[Planilla],0))</f>
        <v>Constante</v>
      </c>
      <c r="K126" s="77">
        <v>1</v>
      </c>
      <c r="L12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126" s="206">
        <v>44245</v>
      </c>
      <c r="N126" s="206"/>
      <c r="O126" s="206"/>
      <c r="P126" s="179" t="s">
        <v>1063</v>
      </c>
      <c r="Q126" s="1"/>
      <c r="R126" s="1"/>
    </row>
    <row r="127" spans="1:18" x14ac:dyDescent="0.25">
      <c r="A127" s="22" t="s">
        <v>946</v>
      </c>
      <c r="B127" s="23" t="s">
        <v>63</v>
      </c>
      <c r="C127" s="193" t="str">
        <f>HYPERLINK("#'"&amp;Insumos_a_comprar[[#This Row],[Planilla]]&amp;"'!D1","Ir")</f>
        <v>Ir</v>
      </c>
      <c r="D127" s="23" t="s">
        <v>397</v>
      </c>
      <c r="E127" s="73"/>
      <c r="F127" s="74">
        <v>1</v>
      </c>
      <c r="G127" s="75" t="s">
        <v>65</v>
      </c>
      <c r="H127" s="76">
        <f ca="1">SUMIF(INDIRECT(SUBSTITUTE(B127," ","_")&amp;"[Insumo]"),Insumos_a_comprar[[#This Row],[Insumo]],INDIRECT(SUBSTITUTE(B127," ","_")&amp;"[Stock]"))</f>
        <v>2</v>
      </c>
      <c r="I127" s="194" t="str">
        <f ca="1">IF((Insumos_a_comprar[[#This Row],[Stock actual]]-Insumos_a_comprar[[#This Row],[Stock mínimo]])&lt;0,"Si","No")</f>
        <v>No</v>
      </c>
      <c r="J127" s="77" t="str">
        <f ca="1">INDEX(Table12[Acción],MATCH(Insumos_a_comprar[[#This Row],[Planilla]],Table12[Planilla],0))</f>
        <v>Constante</v>
      </c>
      <c r="K127" s="77"/>
      <c r="L12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7" s="206"/>
      <c r="N127" s="206"/>
      <c r="O127" s="206"/>
      <c r="P127" s="179"/>
      <c r="Q127" s="1"/>
      <c r="R127" s="1"/>
    </row>
    <row r="128" spans="1:18" x14ac:dyDescent="0.25">
      <c r="A128" s="22" t="s">
        <v>947</v>
      </c>
      <c r="B128" s="23" t="s">
        <v>63</v>
      </c>
      <c r="C128" s="193" t="str">
        <f>HYPERLINK("#'"&amp;Insumos_a_comprar[[#This Row],[Planilla]]&amp;"'!D1","Ir")</f>
        <v>Ir</v>
      </c>
      <c r="D128" s="23" t="s">
        <v>397</v>
      </c>
      <c r="E128" s="73"/>
      <c r="F128" s="74">
        <v>1</v>
      </c>
      <c r="G128" s="75" t="s">
        <v>65</v>
      </c>
      <c r="H128" s="76">
        <f ca="1">SUMIF(INDIRECT(SUBSTITUTE(B128," ","_")&amp;"[Insumo]"),Insumos_a_comprar[[#This Row],[Insumo]],INDIRECT(SUBSTITUTE(B128," ","_")&amp;"[Stock]"))</f>
        <v>2</v>
      </c>
      <c r="I128" s="194" t="str">
        <f ca="1">IF((Insumos_a_comprar[[#This Row],[Stock actual]]-Insumos_a_comprar[[#This Row],[Stock mínimo]])&lt;0,"Si","No")</f>
        <v>No</v>
      </c>
      <c r="J128" s="77" t="str">
        <f ca="1">INDEX(Table12[Acción],MATCH(Insumos_a_comprar[[#This Row],[Planilla]],Table12[Planilla],0))</f>
        <v>Constante</v>
      </c>
      <c r="K128" s="77"/>
      <c r="L12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8" s="206"/>
      <c r="N128" s="206"/>
      <c r="O128" s="206"/>
      <c r="P128" s="179"/>
      <c r="Q128" s="1"/>
      <c r="R128" s="1"/>
    </row>
    <row r="129" spans="1:18" x14ac:dyDescent="0.25">
      <c r="A129" s="22" t="s">
        <v>948</v>
      </c>
      <c r="B129" s="23" t="s">
        <v>63</v>
      </c>
      <c r="C129" s="193" t="str">
        <f>HYPERLINK("#'"&amp;Insumos_a_comprar[[#This Row],[Planilla]]&amp;"'!D1","Ir")</f>
        <v>Ir</v>
      </c>
      <c r="D129" s="23" t="s">
        <v>397</v>
      </c>
      <c r="E129" s="73"/>
      <c r="F129" s="74">
        <v>1</v>
      </c>
      <c r="G129" s="75" t="s">
        <v>65</v>
      </c>
      <c r="H129" s="76">
        <f ca="1">SUMIF(INDIRECT(SUBSTITUTE(B129," ","_")&amp;"[Insumo]"),Insumos_a_comprar[[#This Row],[Insumo]],INDIRECT(SUBSTITUTE(B129," ","_")&amp;"[Stock]"))</f>
        <v>1</v>
      </c>
      <c r="I129" s="194" t="str">
        <f ca="1">IF((Insumos_a_comprar[[#This Row],[Stock actual]]-Insumos_a_comprar[[#This Row],[Stock mínimo]])&lt;0,"Si","No")</f>
        <v>No</v>
      </c>
      <c r="J129" s="77" t="str">
        <f ca="1">INDEX(Table12[Acción],MATCH(Insumos_a_comprar[[#This Row],[Planilla]],Table12[Planilla],0))</f>
        <v>Constante</v>
      </c>
      <c r="K129" s="77"/>
      <c r="L12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29" s="206"/>
      <c r="N129" s="206"/>
      <c r="O129" s="206"/>
      <c r="P129" s="179"/>
      <c r="Q129" s="1"/>
      <c r="R129" s="1"/>
    </row>
    <row r="130" spans="1:18" x14ac:dyDescent="0.25">
      <c r="A130" s="22" t="s">
        <v>989</v>
      </c>
      <c r="B130" s="23" t="s">
        <v>63</v>
      </c>
      <c r="C130" s="193" t="str">
        <f>HYPERLINK("#'"&amp;Insumos_a_comprar[[#This Row],[Planilla]]&amp;"'!D1","Ir")</f>
        <v>Ir</v>
      </c>
      <c r="D130" s="23" t="s">
        <v>397</v>
      </c>
      <c r="E130" s="73"/>
      <c r="F130" s="74">
        <v>1</v>
      </c>
      <c r="G130" s="75" t="s">
        <v>65</v>
      </c>
      <c r="H130" s="76">
        <f ca="1">SUMIF(INDIRECT(SUBSTITUTE(B130," ","_")&amp;"[Insumo]"),Insumos_a_comprar[[#This Row],[Insumo]],INDIRECT(SUBSTITUTE(B130," ","_")&amp;"[Stock]"))</f>
        <v>1</v>
      </c>
      <c r="I130" s="194" t="str">
        <f ca="1">IF((Insumos_a_comprar[[#This Row],[Stock actual]]-Insumos_a_comprar[[#This Row],[Stock mínimo]])&lt;0,"Si","No")</f>
        <v>No</v>
      </c>
      <c r="J130" s="77" t="str">
        <f ca="1">INDEX(Table12[Acción],MATCH(Insumos_a_comprar[[#This Row],[Planilla]],Table12[Planilla],0))</f>
        <v>Constante</v>
      </c>
      <c r="K130" s="77"/>
      <c r="L13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0" s="206"/>
      <c r="N130" s="206"/>
      <c r="O130" s="206"/>
      <c r="P130" s="179"/>
      <c r="Q130" s="1"/>
      <c r="R130" s="1"/>
    </row>
    <row r="131" spans="1:18" x14ac:dyDescent="0.25">
      <c r="A131" s="22" t="s">
        <v>578</v>
      </c>
      <c r="B131" s="23" t="s">
        <v>440</v>
      </c>
      <c r="C131" s="61" t="str">
        <f>HYPERLINK("#'"&amp;Insumos_a_comprar[[#This Row],[Planilla]]&amp;"'!D1","Ir")</f>
        <v>Ir</v>
      </c>
      <c r="D131" s="11" t="s">
        <v>397</v>
      </c>
      <c r="E131" s="73" t="s">
        <v>397</v>
      </c>
      <c r="F131" s="74">
        <v>2</v>
      </c>
      <c r="G131" s="75" t="s">
        <v>65</v>
      </c>
      <c r="H131" s="76">
        <f ca="1">SUMIF(INDIRECT(SUBSTITUTE(B131," ","_")&amp;"[Insumo]"),Insumos_a_comprar[[#This Row],[Insumo]],INDIRECT(SUBSTITUTE(B131," ","_")&amp;"[Stock]"))</f>
        <v>10</v>
      </c>
      <c r="I131" s="69" t="str">
        <f ca="1">IF((Insumos_a_comprar[[#This Row],[Stock actual]]-Insumos_a_comprar[[#This Row],[Stock mínimo]])&lt;0,"Si","No")</f>
        <v>No</v>
      </c>
      <c r="J131" s="67" t="str">
        <f ca="1">INDEX(Table12[Acción],MATCH(Insumos_a_comprar[[#This Row],[Planilla]],Table12[Planilla],0))</f>
        <v>Constante</v>
      </c>
      <c r="K131" s="77">
        <v>2</v>
      </c>
      <c r="L13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1" s="206"/>
      <c r="N131" s="206"/>
      <c r="O131" s="206"/>
      <c r="P131" s="179"/>
      <c r="Q131" s="1"/>
      <c r="R131" s="1"/>
    </row>
    <row r="132" spans="1:18" x14ac:dyDescent="0.25">
      <c r="A132" s="22" t="s">
        <v>579</v>
      </c>
      <c r="B132" s="23" t="s">
        <v>440</v>
      </c>
      <c r="C132" s="61" t="str">
        <f>HYPERLINK("#'"&amp;Insumos_a_comprar[[#This Row],[Planilla]]&amp;"'!D1","Ir")</f>
        <v>Ir</v>
      </c>
      <c r="D132" s="11" t="s">
        <v>397</v>
      </c>
      <c r="E132" s="73" t="s">
        <v>397</v>
      </c>
      <c r="F132" s="74">
        <v>1</v>
      </c>
      <c r="G132" s="75" t="s">
        <v>65</v>
      </c>
      <c r="H132" s="76">
        <f ca="1">SUMIF(INDIRECT(SUBSTITUTE(B132," ","_")&amp;"[Insumo]"),Insumos_a_comprar[[#This Row],[Insumo]],INDIRECT(SUBSTITUTE(B132," ","_")&amp;"[Stock]"))</f>
        <v>3</v>
      </c>
      <c r="I132" s="69" t="str">
        <f ca="1">IF((Insumos_a_comprar[[#This Row],[Stock actual]]-Insumos_a_comprar[[#This Row],[Stock mínimo]])&lt;0,"Si","No")</f>
        <v>No</v>
      </c>
      <c r="J132" s="67" t="str">
        <f ca="1">INDEX(Table12[Acción],MATCH(Insumos_a_comprar[[#This Row],[Planilla]],Table12[Planilla],0))</f>
        <v>Constante</v>
      </c>
      <c r="K132" s="77">
        <v>2</v>
      </c>
      <c r="L13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2" s="206"/>
      <c r="N132" s="206"/>
      <c r="O132" s="206"/>
      <c r="P132" s="179"/>
      <c r="Q132" s="1"/>
      <c r="R132" s="1"/>
    </row>
    <row r="133" spans="1:18" x14ac:dyDescent="0.25">
      <c r="A133" s="22" t="s">
        <v>485</v>
      </c>
      <c r="B133" s="23" t="s">
        <v>440</v>
      </c>
      <c r="C133" s="61" t="str">
        <f>HYPERLINK("#'"&amp;Insumos_a_comprar[[#This Row],[Planilla]]&amp;"'!D1","Ir")</f>
        <v>Ir</v>
      </c>
      <c r="D133" s="11" t="s">
        <v>397</v>
      </c>
      <c r="E133" s="73" t="s">
        <v>397</v>
      </c>
      <c r="F133" s="74">
        <v>5</v>
      </c>
      <c r="G133" s="75" t="s">
        <v>65</v>
      </c>
      <c r="H133" s="76">
        <f ca="1">SUMIF(INDIRECT(SUBSTITUTE(B133," ","_")&amp;"[Insumo]"),Insumos_a_comprar[[#This Row],[Insumo]],INDIRECT(SUBSTITUTE(B133," ","_")&amp;"[Stock]"))</f>
        <v>6</v>
      </c>
      <c r="I133" s="69" t="str">
        <f ca="1">IF((Insumos_a_comprar[[#This Row],[Stock actual]]-Insumos_a_comprar[[#This Row],[Stock mínimo]])&lt;0,"Si","No")</f>
        <v>No</v>
      </c>
      <c r="J133" s="67" t="str">
        <f ca="1">INDEX(Table12[Acción],MATCH(Insumos_a_comprar[[#This Row],[Planilla]],Table12[Planilla],0))</f>
        <v>Constante</v>
      </c>
      <c r="K133" s="77">
        <v>10</v>
      </c>
      <c r="L13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3" s="206"/>
      <c r="N133" s="206"/>
      <c r="O133" s="206">
        <v>44326</v>
      </c>
      <c r="P133" s="179"/>
      <c r="Q133" s="1"/>
      <c r="R133" s="1"/>
    </row>
    <row r="134" spans="1:18" x14ac:dyDescent="0.25">
      <c r="A134" s="22" t="s">
        <v>484</v>
      </c>
      <c r="B134" s="23" t="s">
        <v>440</v>
      </c>
      <c r="C134" s="61" t="str">
        <f>HYPERLINK("#'"&amp;Insumos_a_comprar[[#This Row],[Planilla]]&amp;"'!D1","Ir")</f>
        <v>Ir</v>
      </c>
      <c r="D134" s="11" t="s">
        <v>397</v>
      </c>
      <c r="E134" s="73" t="s">
        <v>397</v>
      </c>
      <c r="F134" s="74">
        <v>10</v>
      </c>
      <c r="G134" s="75" t="s">
        <v>65</v>
      </c>
      <c r="H134" s="76">
        <f ca="1">SUMIF(INDIRECT(SUBSTITUTE(B134," ","_")&amp;"[Insumo]"),Insumos_a_comprar[[#This Row],[Insumo]],INDIRECT(SUBSTITUTE(B134," ","_")&amp;"[Stock]"))</f>
        <v>13</v>
      </c>
      <c r="I134" s="69" t="str">
        <f ca="1">IF((Insumos_a_comprar[[#This Row],[Stock actual]]-Insumos_a_comprar[[#This Row],[Stock mínimo]])&lt;0,"Si","No")</f>
        <v>No</v>
      </c>
      <c r="J134" s="67" t="str">
        <f ca="1">INDEX(Table12[Acción],MATCH(Insumos_a_comprar[[#This Row],[Planilla]],Table12[Planilla],0))</f>
        <v>Constante</v>
      </c>
      <c r="K134" s="77">
        <v>10</v>
      </c>
      <c r="L13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4" s="206"/>
      <c r="N134" s="206"/>
      <c r="O134" s="206"/>
      <c r="P134" s="179"/>
      <c r="Q134" s="1"/>
      <c r="R134" s="1"/>
    </row>
    <row r="135" spans="1:18" x14ac:dyDescent="0.25">
      <c r="A135" s="22" t="s">
        <v>90</v>
      </c>
      <c r="B135" s="23" t="s">
        <v>594</v>
      </c>
      <c r="C135" s="61" t="str">
        <f>HYPERLINK("#'"&amp;Insumos_a_comprar[[#This Row],[Planilla]]&amp;"'!D1","Ir")</f>
        <v>Ir</v>
      </c>
      <c r="D135" s="11" t="s">
        <v>397</v>
      </c>
      <c r="E135" s="73" t="s">
        <v>397</v>
      </c>
      <c r="F135" s="74">
        <v>1</v>
      </c>
      <c r="G135" s="75" t="s">
        <v>65</v>
      </c>
      <c r="H135" s="76">
        <f ca="1">SUMIF(INDIRECT(SUBSTITUTE(B135," ","_")&amp;"[Insumo]"),Insumos_a_comprar[[#This Row],[Insumo]],INDIRECT(SUBSTITUTE(B135," ","_")&amp;"[Stock]"))</f>
        <v>1.9</v>
      </c>
      <c r="I135" s="69" t="str">
        <f ca="1">IF((Insumos_a_comprar[[#This Row],[Stock actual]]-Insumos_a_comprar[[#This Row],[Stock mínimo]])&lt;0,"Si","No")</f>
        <v>No</v>
      </c>
      <c r="J135" s="67" t="str">
        <f ca="1">INDEX(Table12[Acción],MATCH(Insumos_a_comprar[[#This Row],[Planilla]],Table12[Planilla],0))</f>
        <v>Constante</v>
      </c>
      <c r="K135" s="77">
        <v>1</v>
      </c>
      <c r="L13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5" s="367"/>
      <c r="N135" s="367"/>
      <c r="O135" s="367">
        <v>44376</v>
      </c>
      <c r="P135" s="179"/>
      <c r="Q135" s="1"/>
      <c r="R135" s="1"/>
    </row>
    <row r="136" spans="1:18" x14ac:dyDescent="0.25">
      <c r="A136" s="10" t="s">
        <v>153</v>
      </c>
      <c r="B136" s="11" t="s">
        <v>400</v>
      </c>
      <c r="C136" s="61" t="str">
        <f>HYPERLINK("#'"&amp;Insumos_a_comprar[[#This Row],[Planilla]]&amp;"'!D1","Ir")</f>
        <v>Ir</v>
      </c>
      <c r="D136" s="11" t="s">
        <v>397</v>
      </c>
      <c r="E136" s="66" t="s">
        <v>823</v>
      </c>
      <c r="F136" s="67">
        <v>100</v>
      </c>
      <c r="G136" s="68" t="s">
        <v>152</v>
      </c>
      <c r="H136" s="72">
        <f ca="1">SUMIF(INDIRECT(SUBSTITUTE(B136," ","_")&amp;"[Insumo]"),Insumos_a_comprar[[#This Row],[Insumo]],INDIRECT(SUBSTITUTE(B136," ","_")&amp;"[Stock]"))</f>
        <v>209</v>
      </c>
      <c r="I136" s="69" t="str">
        <f ca="1">IF((Insumos_a_comprar[[#This Row],[Stock actual]]-Insumos_a_comprar[[#This Row],[Stock mínimo]])&lt;0,"Si","No")</f>
        <v>No</v>
      </c>
      <c r="J136" s="67" t="str">
        <f ca="1">INDEX(Table12[Acción],MATCH(Insumos_a_comprar[[#This Row],[Planilla]],Table12[Planilla],0))</f>
        <v>Vencido</v>
      </c>
      <c r="K136" s="71"/>
      <c r="L13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6" s="65"/>
      <c r="N136" s="65"/>
      <c r="O136" s="65"/>
      <c r="P136" s="178"/>
      <c r="Q136" s="1"/>
      <c r="R136" s="1"/>
    </row>
    <row r="137" spans="1:18" x14ac:dyDescent="0.25">
      <c r="A137" s="22" t="s">
        <v>491</v>
      </c>
      <c r="B137" s="23" t="s">
        <v>440</v>
      </c>
      <c r="C137" s="61" t="str">
        <f>HYPERLINK("#'"&amp;Insumos_a_comprar[[#This Row],[Planilla]]&amp;"'!D1","Ir")</f>
        <v>Ir</v>
      </c>
      <c r="D137" s="11" t="s">
        <v>397</v>
      </c>
      <c r="E137" s="73" t="s">
        <v>397</v>
      </c>
      <c r="F137" s="74">
        <v>2</v>
      </c>
      <c r="G137" s="75" t="s">
        <v>65</v>
      </c>
      <c r="H137" s="76">
        <f ca="1">SUMIF(INDIRECT(SUBSTITUTE(B137," ","_")&amp;"[Insumo]"),Insumos_a_comprar[[#This Row],[Insumo]],INDIRECT(SUBSTITUTE(B137," ","_")&amp;"[Stock]"))</f>
        <v>0</v>
      </c>
      <c r="I137" s="69" t="str">
        <f ca="1">IF((Insumos_a_comprar[[#This Row],[Stock actual]]-Insumos_a_comprar[[#This Row],[Stock mínimo]])&lt;0,"Si","No")</f>
        <v>Si</v>
      </c>
      <c r="J137" s="67" t="str">
        <f ca="1">INDEX(Table12[Acción],MATCH(Insumos_a_comprar[[#This Row],[Planilla]],Table12[Planilla],0))</f>
        <v>Constante</v>
      </c>
      <c r="K137" s="77">
        <v>1</v>
      </c>
      <c r="L13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137" s="206">
        <v>44245</v>
      </c>
      <c r="N137" s="206">
        <v>44042</v>
      </c>
      <c r="O137" s="206"/>
      <c r="P137" s="179" t="s">
        <v>1018</v>
      </c>
      <c r="Q137" s="1"/>
      <c r="R137" s="1"/>
    </row>
    <row r="138" spans="1:18" x14ac:dyDescent="0.25">
      <c r="A138" s="22" t="s">
        <v>489</v>
      </c>
      <c r="B138" s="23" t="s">
        <v>440</v>
      </c>
      <c r="C138" s="61" t="str">
        <f>HYPERLINK("#'"&amp;Insumos_a_comprar[[#This Row],[Planilla]]&amp;"'!D1","Ir")</f>
        <v>Ir</v>
      </c>
      <c r="D138" s="11" t="s">
        <v>397</v>
      </c>
      <c r="E138" s="73" t="s">
        <v>397</v>
      </c>
      <c r="F138" s="74">
        <v>2</v>
      </c>
      <c r="G138" s="75" t="s">
        <v>65</v>
      </c>
      <c r="H138" s="76">
        <f ca="1">SUMIF(INDIRECT(SUBSTITUTE(B138," ","_")&amp;"[Insumo]"),Insumos_a_comprar[[#This Row],[Insumo]],INDIRECT(SUBSTITUTE(B138," ","_")&amp;"[Stock]"))</f>
        <v>0</v>
      </c>
      <c r="I138" s="69" t="str">
        <f ca="1">IF((Insumos_a_comprar[[#This Row],[Stock actual]]-Insumos_a_comprar[[#This Row],[Stock mínimo]])&lt;0,"Si","No")</f>
        <v>Si</v>
      </c>
      <c r="J138" s="67" t="str">
        <f ca="1">INDEX(Table12[Acción],MATCH(Insumos_a_comprar[[#This Row],[Planilla]],Table12[Planilla],0))</f>
        <v>Constante</v>
      </c>
      <c r="K138" s="77">
        <v>1</v>
      </c>
      <c r="L13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138" s="367">
        <v>44245</v>
      </c>
      <c r="N138" s="367">
        <v>44042</v>
      </c>
      <c r="O138" s="367"/>
      <c r="P138" s="179" t="s">
        <v>1018</v>
      </c>
      <c r="Q138" s="1"/>
      <c r="R138" s="1"/>
    </row>
    <row r="139" spans="1:18" x14ac:dyDescent="0.25">
      <c r="A139" s="22" t="s">
        <v>490</v>
      </c>
      <c r="B139" s="23" t="s">
        <v>440</v>
      </c>
      <c r="C139" s="61" t="str">
        <f>HYPERLINK("#'"&amp;Insumos_a_comprar[[#This Row],[Planilla]]&amp;"'!D1","Ir")</f>
        <v>Ir</v>
      </c>
      <c r="D139" s="11" t="s">
        <v>397</v>
      </c>
      <c r="E139" s="73" t="s">
        <v>397</v>
      </c>
      <c r="F139" s="74">
        <v>2</v>
      </c>
      <c r="G139" s="75" t="s">
        <v>65</v>
      </c>
      <c r="H139" s="76">
        <f ca="1">SUMIF(INDIRECT(SUBSTITUTE(B139," ","_")&amp;"[Insumo]"),Insumos_a_comprar[[#This Row],[Insumo]],INDIRECT(SUBSTITUTE(B139," ","_")&amp;"[Stock]"))</f>
        <v>2</v>
      </c>
      <c r="I139" s="69" t="str">
        <f ca="1">IF((Insumos_a_comprar[[#This Row],[Stock actual]]-Insumos_a_comprar[[#This Row],[Stock mínimo]])&lt;0,"Si","No")</f>
        <v>No</v>
      </c>
      <c r="J139" s="67" t="str">
        <f ca="1">INDEX(Table12[Acción],MATCH(Insumos_a_comprar[[#This Row],[Planilla]],Table12[Planilla],0))</f>
        <v>Constante</v>
      </c>
      <c r="K139" s="77">
        <v>1</v>
      </c>
      <c r="L13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39" s="206"/>
      <c r="N139" s="206"/>
      <c r="O139" s="206"/>
      <c r="P139" s="179"/>
      <c r="Q139" s="1"/>
      <c r="R139" s="1"/>
    </row>
    <row r="140" spans="1:18" x14ac:dyDescent="0.25">
      <c r="A140" s="22" t="s">
        <v>492</v>
      </c>
      <c r="B140" s="23" t="s">
        <v>440</v>
      </c>
      <c r="C140" s="61" t="str">
        <f>HYPERLINK("#'"&amp;Insumos_a_comprar[[#This Row],[Planilla]]&amp;"'!D1","Ir")</f>
        <v>Ir</v>
      </c>
      <c r="D140" s="11" t="s">
        <v>397</v>
      </c>
      <c r="E140" s="73" t="s">
        <v>397</v>
      </c>
      <c r="F140" s="74">
        <v>1</v>
      </c>
      <c r="G140" s="75" t="s">
        <v>65</v>
      </c>
      <c r="H140" s="76">
        <f ca="1">SUMIF(INDIRECT(SUBSTITUTE(B140," ","_")&amp;"[Insumo]"),Insumos_a_comprar[[#This Row],[Insumo]],INDIRECT(SUBSTITUTE(B140," ","_")&amp;"[Stock]"))</f>
        <v>1</v>
      </c>
      <c r="I140" s="69" t="str">
        <f ca="1">IF((Insumos_a_comprar[[#This Row],[Stock actual]]-Insumos_a_comprar[[#This Row],[Stock mínimo]])&lt;0,"Si","No")</f>
        <v>No</v>
      </c>
      <c r="J140" s="67" t="str">
        <f ca="1">INDEX(Table12[Acción],MATCH(Insumos_a_comprar[[#This Row],[Planilla]],Table12[Planilla],0))</f>
        <v>Constante</v>
      </c>
      <c r="K140" s="77">
        <v>1</v>
      </c>
      <c r="L14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0" s="206"/>
      <c r="N140" s="206"/>
      <c r="O140" s="206"/>
      <c r="P140" s="179"/>
      <c r="Q140" s="1"/>
      <c r="R140" s="1"/>
    </row>
    <row r="141" spans="1:18" x14ac:dyDescent="0.25">
      <c r="A141" s="22" t="s">
        <v>486</v>
      </c>
      <c r="B141" s="23" t="s">
        <v>440</v>
      </c>
      <c r="C141" s="61" t="str">
        <f>HYPERLINK("#'"&amp;Insumos_a_comprar[[#This Row],[Planilla]]&amp;"'!D1","Ir")</f>
        <v>Ir</v>
      </c>
      <c r="D141" s="11" t="s">
        <v>397</v>
      </c>
      <c r="E141" s="73" t="s">
        <v>397</v>
      </c>
      <c r="F141" s="74">
        <v>2</v>
      </c>
      <c r="G141" s="75" t="s">
        <v>65</v>
      </c>
      <c r="H141" s="76">
        <f ca="1">SUMIF(INDIRECT(SUBSTITUTE(B141," ","_")&amp;"[Insumo]"),Insumos_a_comprar[[#This Row],[Insumo]],INDIRECT(SUBSTITUTE(B141," ","_")&amp;"[Stock]"))</f>
        <v>5</v>
      </c>
      <c r="I141" s="69" t="str">
        <f ca="1">IF((Insumos_a_comprar[[#This Row],[Stock actual]]-Insumos_a_comprar[[#This Row],[Stock mínimo]])&lt;0,"Si","No")</f>
        <v>No</v>
      </c>
      <c r="J141" s="67" t="str">
        <f ca="1">INDEX(Table12[Acción],MATCH(Insumos_a_comprar[[#This Row],[Planilla]],Table12[Planilla],0))</f>
        <v>Constante</v>
      </c>
      <c r="K141" s="77">
        <v>1</v>
      </c>
      <c r="L14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1" s="206"/>
      <c r="N141" s="206"/>
      <c r="O141" s="206"/>
      <c r="P141" s="179"/>
      <c r="Q141" s="1"/>
      <c r="R141" s="1"/>
    </row>
    <row r="142" spans="1:18" x14ac:dyDescent="0.25">
      <c r="A142" s="22" t="s">
        <v>487</v>
      </c>
      <c r="B142" s="23" t="s">
        <v>440</v>
      </c>
      <c r="C142" s="61" t="str">
        <f>HYPERLINK("#'"&amp;Insumos_a_comprar[[#This Row],[Planilla]]&amp;"'!D1","Ir")</f>
        <v>Ir</v>
      </c>
      <c r="D142" s="11" t="s">
        <v>397</v>
      </c>
      <c r="E142" s="73" t="s">
        <v>397</v>
      </c>
      <c r="F142" s="74">
        <v>2</v>
      </c>
      <c r="G142" s="75" t="s">
        <v>65</v>
      </c>
      <c r="H142" s="76">
        <f ca="1">SUMIF(INDIRECT(SUBSTITUTE(B142," ","_")&amp;"[Insumo]"),Insumos_a_comprar[[#This Row],[Insumo]],INDIRECT(SUBSTITUTE(B142," ","_")&amp;"[Stock]"))</f>
        <v>4</v>
      </c>
      <c r="I142" s="69" t="str">
        <f ca="1">IF((Insumos_a_comprar[[#This Row],[Stock actual]]-Insumos_a_comprar[[#This Row],[Stock mínimo]])&lt;0,"Si","No")</f>
        <v>No</v>
      </c>
      <c r="J142" s="67" t="str">
        <f ca="1">INDEX(Table12[Acción],MATCH(Insumos_a_comprar[[#This Row],[Planilla]],Table12[Planilla],0))</f>
        <v>Constante</v>
      </c>
      <c r="K142" s="77">
        <v>1</v>
      </c>
      <c r="L14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2" s="206"/>
      <c r="N142" s="206"/>
      <c r="O142" s="206"/>
      <c r="P142" s="179"/>
      <c r="Q142" s="1"/>
      <c r="R142" s="1"/>
    </row>
    <row r="143" spans="1:18" x14ac:dyDescent="0.25">
      <c r="A143" s="22" t="s">
        <v>488</v>
      </c>
      <c r="B143" s="23" t="s">
        <v>440</v>
      </c>
      <c r="C143" s="61" t="str">
        <f>HYPERLINK("#'"&amp;Insumos_a_comprar[[#This Row],[Planilla]]&amp;"'!D1","Ir")</f>
        <v>Ir</v>
      </c>
      <c r="D143" s="11" t="s">
        <v>397</v>
      </c>
      <c r="E143" s="73" t="s">
        <v>397</v>
      </c>
      <c r="F143" s="74">
        <v>1</v>
      </c>
      <c r="G143" s="75" t="s">
        <v>65</v>
      </c>
      <c r="H143" s="76">
        <f ca="1">SUMIF(INDIRECT(SUBSTITUTE(B143," ","_")&amp;"[Insumo]"),Insumos_a_comprar[[#This Row],[Insumo]],INDIRECT(SUBSTITUTE(B143," ","_")&amp;"[Stock]"))</f>
        <v>1</v>
      </c>
      <c r="I143" s="69" t="str">
        <f ca="1">IF((Insumos_a_comprar[[#This Row],[Stock actual]]-Insumos_a_comprar[[#This Row],[Stock mínimo]])&lt;0,"Si","No")</f>
        <v>No</v>
      </c>
      <c r="J143" s="67" t="str">
        <f ca="1">INDEX(Table12[Acción],MATCH(Insumos_a_comprar[[#This Row],[Planilla]],Table12[Planilla],0))</f>
        <v>Constante</v>
      </c>
      <c r="K143" s="77">
        <v>1</v>
      </c>
      <c r="L14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3" s="206"/>
      <c r="N143" s="206"/>
      <c r="O143" s="206"/>
      <c r="P143" s="179"/>
      <c r="Q143" s="1"/>
      <c r="R143" s="1"/>
    </row>
    <row r="144" spans="1:18" x14ac:dyDescent="0.25">
      <c r="A144" s="22" t="s">
        <v>707</v>
      </c>
      <c r="B144" s="23" t="s">
        <v>739</v>
      </c>
      <c r="C144" s="61" t="str">
        <f>HYPERLINK("#'"&amp;Insumos_a_comprar[[#This Row],[Planilla]]&amp;"'!D1","Ir")</f>
        <v>Ir</v>
      </c>
      <c r="D144" s="11" t="s">
        <v>397</v>
      </c>
      <c r="E144" s="73" t="s">
        <v>397</v>
      </c>
      <c r="F144" s="74">
        <v>10</v>
      </c>
      <c r="G144" s="75" t="s">
        <v>65</v>
      </c>
      <c r="H144" s="76">
        <f ca="1">SUMIF(INDIRECT(SUBSTITUTE(B144," ","_")&amp;"[Insumo]"),Insumos_a_comprar[[#This Row],[Insumo]],INDIRECT(SUBSTITUTE(B144," ","_")&amp;"[Stock]"))</f>
        <v>47</v>
      </c>
      <c r="I144" s="69" t="str">
        <f ca="1">IF((Insumos_a_comprar[[#This Row],[Stock actual]]-Insumos_a_comprar[[#This Row],[Stock mínimo]])&lt;0,"Si","No")</f>
        <v>No</v>
      </c>
      <c r="J144" s="77" t="str">
        <f ca="1">INDEX(Table12[Acción],MATCH(Insumos_a_comprar[[#This Row],[Planilla]],Table12[Planilla],0))</f>
        <v>Vencido</v>
      </c>
      <c r="K144" s="77">
        <v>10</v>
      </c>
      <c r="L14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4" s="206"/>
      <c r="N144" s="206"/>
      <c r="O144" s="206">
        <v>44159</v>
      </c>
      <c r="P144" s="179"/>
      <c r="Q144" s="1"/>
      <c r="R144" s="1"/>
    </row>
    <row r="145" spans="1:18" x14ac:dyDescent="0.25">
      <c r="A145" s="22" t="s">
        <v>494</v>
      </c>
      <c r="B145" s="23" t="s">
        <v>440</v>
      </c>
      <c r="C145" s="61" t="str">
        <f>HYPERLINK("#'"&amp;Insumos_a_comprar[[#This Row],[Planilla]]&amp;"'!D1","Ir")</f>
        <v>Ir</v>
      </c>
      <c r="D145" s="11" t="s">
        <v>397</v>
      </c>
      <c r="E145" s="73" t="s">
        <v>397</v>
      </c>
      <c r="F145" s="74">
        <v>1</v>
      </c>
      <c r="G145" s="75" t="s">
        <v>65</v>
      </c>
      <c r="H145" s="76">
        <f ca="1">SUMIF(INDIRECT(SUBSTITUTE(B145," ","_")&amp;"[Insumo]"),Insumos_a_comprar[[#This Row],[Insumo]],INDIRECT(SUBSTITUTE(B145," ","_")&amp;"[Stock]"))</f>
        <v>1</v>
      </c>
      <c r="I145" s="69" t="str">
        <f ca="1">IF((Insumos_a_comprar[[#This Row],[Stock actual]]-Insumos_a_comprar[[#This Row],[Stock mínimo]])&lt;0,"Si","No")</f>
        <v>No</v>
      </c>
      <c r="J145" s="67" t="str">
        <f ca="1">INDEX(Table12[Acción],MATCH(Insumos_a_comprar[[#This Row],[Planilla]],Table12[Planilla],0))</f>
        <v>Constante</v>
      </c>
      <c r="K145" s="77">
        <v>1</v>
      </c>
      <c r="L14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5" s="206"/>
      <c r="N145" s="206"/>
      <c r="O145" s="206"/>
      <c r="P145" s="179"/>
      <c r="Q145" s="1"/>
      <c r="R145" s="1"/>
    </row>
    <row r="146" spans="1:18" x14ac:dyDescent="0.25">
      <c r="A146" s="22" t="s">
        <v>493</v>
      </c>
      <c r="B146" s="23" t="s">
        <v>440</v>
      </c>
      <c r="C146" s="61" t="str">
        <f>HYPERLINK("#'"&amp;Insumos_a_comprar[[#This Row],[Planilla]]&amp;"'!D1","Ir")</f>
        <v>Ir</v>
      </c>
      <c r="D146" s="11" t="s">
        <v>397</v>
      </c>
      <c r="E146" s="73" t="s">
        <v>397</v>
      </c>
      <c r="F146" s="74">
        <v>1</v>
      </c>
      <c r="G146" s="75" t="s">
        <v>65</v>
      </c>
      <c r="H146" s="76">
        <f ca="1">SUMIF(INDIRECT(SUBSTITUTE(B146," ","_")&amp;"[Insumo]"),Insumos_a_comprar[[#This Row],[Insumo]],INDIRECT(SUBSTITUTE(B146," ","_")&amp;"[Stock]"))</f>
        <v>1</v>
      </c>
      <c r="I146" s="69" t="str">
        <f ca="1">IF((Insumos_a_comprar[[#This Row],[Stock actual]]-Insumos_a_comprar[[#This Row],[Stock mínimo]])&lt;0,"Si","No")</f>
        <v>No</v>
      </c>
      <c r="J146" s="67" t="str">
        <f ca="1">INDEX(Table12[Acción],MATCH(Insumos_a_comprar[[#This Row],[Planilla]],Table12[Planilla],0))</f>
        <v>Constante</v>
      </c>
      <c r="K146" s="77">
        <v>1</v>
      </c>
      <c r="L14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6" s="206"/>
      <c r="N146" s="206"/>
      <c r="O146" s="206"/>
      <c r="P146" s="179"/>
      <c r="Q146" s="1"/>
      <c r="R146" s="1"/>
    </row>
    <row r="147" spans="1:18" x14ac:dyDescent="0.25">
      <c r="A147" s="22" t="s">
        <v>950</v>
      </c>
      <c r="B147" s="23" t="s">
        <v>63</v>
      </c>
      <c r="C147" s="193" t="str">
        <f>HYPERLINK("#'"&amp;Insumos_a_comprar[[#This Row],[Planilla]]&amp;"'!D1","Ir")</f>
        <v>Ir</v>
      </c>
      <c r="D147" s="23" t="s">
        <v>397</v>
      </c>
      <c r="E147" s="73"/>
      <c r="F147" s="74">
        <v>1</v>
      </c>
      <c r="G147" s="75" t="s">
        <v>65</v>
      </c>
      <c r="H147" s="76">
        <f ca="1">SUMIF(INDIRECT(SUBSTITUTE(B147," ","_")&amp;"[Insumo]"),Insumos_a_comprar[[#This Row],[Insumo]],INDIRECT(SUBSTITUTE(B147," ","_")&amp;"[Stock]"))</f>
        <v>1</v>
      </c>
      <c r="I147" s="194" t="str">
        <f ca="1">IF((Insumos_a_comprar[[#This Row],[Stock actual]]-Insumos_a_comprar[[#This Row],[Stock mínimo]])&lt;0,"Si","No")</f>
        <v>No</v>
      </c>
      <c r="J147" s="77" t="str">
        <f ca="1">INDEX(Table12[Acción],MATCH(Insumos_a_comprar[[#This Row],[Planilla]],Table12[Planilla],0))</f>
        <v>Constante</v>
      </c>
      <c r="K147" s="77"/>
      <c r="L14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7" s="206"/>
      <c r="N147" s="206"/>
      <c r="O147" s="206"/>
      <c r="P147" s="179"/>
      <c r="Q147" s="1"/>
      <c r="R147" s="1"/>
    </row>
    <row r="148" spans="1:18" x14ac:dyDescent="0.25">
      <c r="A148" s="22" t="s">
        <v>949</v>
      </c>
      <c r="B148" s="23" t="s">
        <v>63</v>
      </c>
      <c r="C148" s="193" t="str">
        <f>HYPERLINK("#'"&amp;Insumos_a_comprar[[#This Row],[Planilla]]&amp;"'!D1","Ir")</f>
        <v>Ir</v>
      </c>
      <c r="D148" s="23" t="s">
        <v>397</v>
      </c>
      <c r="E148" s="73"/>
      <c r="F148" s="74">
        <v>1</v>
      </c>
      <c r="G148" s="75" t="s">
        <v>65</v>
      </c>
      <c r="H148" s="76">
        <f ca="1">SUMIF(INDIRECT(SUBSTITUTE(B148," ","_")&amp;"[Insumo]"),Insumos_a_comprar[[#This Row],[Insumo]],INDIRECT(SUBSTITUTE(B148," ","_")&amp;"[Stock]"))</f>
        <v>1</v>
      </c>
      <c r="I148" s="194" t="str">
        <f ca="1">IF((Insumos_a_comprar[[#This Row],[Stock actual]]-Insumos_a_comprar[[#This Row],[Stock mínimo]])&lt;0,"Si","No")</f>
        <v>No</v>
      </c>
      <c r="J148" s="77" t="str">
        <f ca="1">INDEX(Table12[Acción],MATCH(Insumos_a_comprar[[#This Row],[Planilla]],Table12[Planilla],0))</f>
        <v>Constante</v>
      </c>
      <c r="K148" s="77"/>
      <c r="L14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8" s="206"/>
      <c r="N148" s="206"/>
      <c r="O148" s="206"/>
      <c r="P148" s="179"/>
      <c r="Q148" s="1"/>
      <c r="R148" s="1"/>
    </row>
    <row r="149" spans="1:18" x14ac:dyDescent="0.25">
      <c r="A149" s="22" t="s">
        <v>951</v>
      </c>
      <c r="B149" s="23" t="s">
        <v>63</v>
      </c>
      <c r="C149" s="193" t="str">
        <f>HYPERLINK("#'"&amp;Insumos_a_comprar[[#This Row],[Planilla]]&amp;"'!D1","Ir")</f>
        <v>Ir</v>
      </c>
      <c r="D149" s="23" t="s">
        <v>397</v>
      </c>
      <c r="E149" s="73"/>
      <c r="F149" s="74">
        <v>1</v>
      </c>
      <c r="G149" s="75" t="s">
        <v>65</v>
      </c>
      <c r="H149" s="76">
        <f ca="1">SUMIF(INDIRECT(SUBSTITUTE(B149," ","_")&amp;"[Insumo]"),Insumos_a_comprar[[#This Row],[Insumo]],INDIRECT(SUBSTITUTE(B149," ","_")&amp;"[Stock]"))</f>
        <v>1</v>
      </c>
      <c r="I149" s="194" t="str">
        <f ca="1">IF((Insumos_a_comprar[[#This Row],[Stock actual]]-Insumos_a_comprar[[#This Row],[Stock mínimo]])&lt;0,"Si","No")</f>
        <v>No</v>
      </c>
      <c r="J149" s="77" t="str">
        <f ca="1">INDEX(Table12[Acción],MATCH(Insumos_a_comprar[[#This Row],[Planilla]],Table12[Planilla],0))</f>
        <v>Constante</v>
      </c>
      <c r="K149" s="77"/>
      <c r="L14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49" s="206"/>
      <c r="N149" s="206"/>
      <c r="O149" s="206"/>
      <c r="P149" s="179"/>
      <c r="Q149" s="1"/>
      <c r="R149" s="1"/>
    </row>
    <row r="150" spans="1:18" x14ac:dyDescent="0.25">
      <c r="A150" s="22" t="s">
        <v>952</v>
      </c>
      <c r="B150" s="23" t="s">
        <v>63</v>
      </c>
      <c r="C150" s="193" t="str">
        <f>HYPERLINK("#'"&amp;Insumos_a_comprar[[#This Row],[Planilla]]&amp;"'!D1","Ir")</f>
        <v>Ir</v>
      </c>
      <c r="D150" s="23" t="s">
        <v>397</v>
      </c>
      <c r="E150" s="73"/>
      <c r="F150" s="74">
        <v>1</v>
      </c>
      <c r="G150" s="75" t="s">
        <v>65</v>
      </c>
      <c r="H150" s="76">
        <f ca="1">SUMIF(INDIRECT(SUBSTITUTE(B150," ","_")&amp;"[Insumo]"),Insumos_a_comprar[[#This Row],[Insumo]],INDIRECT(SUBSTITUTE(B150," ","_")&amp;"[Stock]"))</f>
        <v>1</v>
      </c>
      <c r="I150" s="194" t="str">
        <f ca="1">IF((Insumos_a_comprar[[#This Row],[Stock actual]]-Insumos_a_comprar[[#This Row],[Stock mínimo]])&lt;0,"Si","No")</f>
        <v>No</v>
      </c>
      <c r="J150" s="77" t="str">
        <f ca="1">INDEX(Table12[Acción],MATCH(Insumos_a_comprar[[#This Row],[Planilla]],Table12[Planilla],0))</f>
        <v>Constante</v>
      </c>
      <c r="K150" s="77"/>
      <c r="L15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0" s="206"/>
      <c r="N150" s="206"/>
      <c r="O150" s="206"/>
      <c r="P150" s="179"/>
      <c r="Q150" s="1"/>
      <c r="R150" s="1"/>
    </row>
    <row r="151" spans="1:18" x14ac:dyDescent="0.25">
      <c r="A151" s="22" t="s">
        <v>953</v>
      </c>
      <c r="B151" s="23" t="s">
        <v>63</v>
      </c>
      <c r="C151" s="193" t="str">
        <f>HYPERLINK("#'"&amp;Insumos_a_comprar[[#This Row],[Planilla]]&amp;"'!D1","Ir")</f>
        <v>Ir</v>
      </c>
      <c r="D151" s="23" t="s">
        <v>397</v>
      </c>
      <c r="E151" s="73"/>
      <c r="F151" s="74">
        <v>1</v>
      </c>
      <c r="G151" s="75" t="s">
        <v>65</v>
      </c>
      <c r="H151" s="76">
        <f ca="1">SUMIF(INDIRECT(SUBSTITUTE(B151," ","_")&amp;"[Insumo]"),Insumos_a_comprar[[#This Row],[Insumo]],INDIRECT(SUBSTITUTE(B151," ","_")&amp;"[Stock]"))</f>
        <v>1</v>
      </c>
      <c r="I151" s="194" t="str">
        <f ca="1">IF((Insumos_a_comprar[[#This Row],[Stock actual]]-Insumos_a_comprar[[#This Row],[Stock mínimo]])&lt;0,"Si","No")</f>
        <v>No</v>
      </c>
      <c r="J151" s="77" t="str">
        <f ca="1">INDEX(Table12[Acción],MATCH(Insumos_a_comprar[[#This Row],[Planilla]],Table12[Planilla],0))</f>
        <v>Constante</v>
      </c>
      <c r="K151" s="77"/>
      <c r="L15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1" s="206"/>
      <c r="N151" s="206"/>
      <c r="O151" s="206"/>
      <c r="P151" s="179"/>
      <c r="Q151" s="1"/>
      <c r="R151" s="1"/>
    </row>
    <row r="152" spans="1:18" x14ac:dyDescent="0.25">
      <c r="A152" s="22" t="s">
        <v>652</v>
      </c>
      <c r="B152" s="23" t="s">
        <v>597</v>
      </c>
      <c r="C152" s="61" t="str">
        <f>HYPERLINK("#'"&amp;Insumos_a_comprar[[#This Row],[Planilla]]&amp;"'!D1","Ir")</f>
        <v>Ir</v>
      </c>
      <c r="D152" s="11" t="s">
        <v>397</v>
      </c>
      <c r="E152" s="73" t="s">
        <v>397</v>
      </c>
      <c r="F152" s="74">
        <v>50</v>
      </c>
      <c r="G152" s="75" t="s">
        <v>149</v>
      </c>
      <c r="H152" s="76">
        <f ca="1">SUMIF(INDIRECT(SUBSTITUTE(B152," ","_")&amp;"[Insumo]"),Insumos_a_comprar[[#This Row],[Insumo]],INDIRECT(SUBSTITUTE(B152," ","_")&amp;"[Stock]"))</f>
        <v>2000</v>
      </c>
      <c r="I152" s="69" t="str">
        <f ca="1">IF((Insumos_a_comprar[[#This Row],[Stock actual]]-Insumos_a_comprar[[#This Row],[Stock mínimo]])&lt;0,"Si","No")</f>
        <v>No</v>
      </c>
      <c r="J152" s="77" t="str">
        <f ca="1">INDEX(Table12[Acción],MATCH(Insumos_a_comprar[[#This Row],[Planilla]],Table12[Planilla],0))</f>
        <v>Vencido</v>
      </c>
      <c r="K152" s="77">
        <v>200</v>
      </c>
      <c r="L15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2" s="206"/>
      <c r="N152" s="206"/>
      <c r="O152" s="206"/>
      <c r="P152" s="179"/>
      <c r="Q152" s="1"/>
      <c r="R152" s="1"/>
    </row>
    <row r="153" spans="1:18" x14ac:dyDescent="0.25">
      <c r="A153" s="22" t="s">
        <v>67</v>
      </c>
      <c r="B153" s="23" t="s">
        <v>594</v>
      </c>
      <c r="C153" s="61" t="str">
        <f>HYPERLINK("#'"&amp;Insumos_a_comprar[[#This Row],[Planilla]]&amp;"'!D1","Ir")</f>
        <v>Ir</v>
      </c>
      <c r="D153" s="11" t="s">
        <v>397</v>
      </c>
      <c r="E153" s="73" t="s">
        <v>397</v>
      </c>
      <c r="F153" s="74">
        <v>1</v>
      </c>
      <c r="G153" s="75" t="s">
        <v>65</v>
      </c>
      <c r="H153" s="76">
        <f ca="1">SUMIF(INDIRECT(SUBSTITUTE(B153," ","_")&amp;"[Insumo]"),Insumos_a_comprar[[#This Row],[Insumo]],INDIRECT(SUBSTITUTE(B153," ","_")&amp;"[Stock]"))</f>
        <v>2</v>
      </c>
      <c r="I153" s="69" t="str">
        <f ca="1">IF((Insumos_a_comprar[[#This Row],[Stock actual]]-Insumos_a_comprar[[#This Row],[Stock mínimo]])&lt;0,"Si","No")</f>
        <v>No</v>
      </c>
      <c r="J153" s="67" t="str">
        <f ca="1">INDEX(Table12[Acción],MATCH(Insumos_a_comprar[[#This Row],[Planilla]],Table12[Planilla],0))</f>
        <v>Constante</v>
      </c>
      <c r="K153" s="77">
        <v>1</v>
      </c>
      <c r="L15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3" s="367"/>
      <c r="N153" s="367"/>
      <c r="O153" s="367"/>
      <c r="P153" s="179"/>
      <c r="Q153" s="1"/>
      <c r="R153" s="1"/>
    </row>
    <row r="154" spans="1:18" ht="31.5" x14ac:dyDescent="0.25">
      <c r="A154" s="13" t="s">
        <v>590</v>
      </c>
      <c r="B154" s="11" t="s">
        <v>392</v>
      </c>
      <c r="C154" s="61" t="str">
        <f>HYPERLINK("#'"&amp;Insumos_a_comprar[[#This Row],[Planilla]]&amp;"'!D1","Ir")</f>
        <v>Ir</v>
      </c>
      <c r="D154" s="11" t="s">
        <v>463</v>
      </c>
      <c r="E154" s="66"/>
      <c r="F154" s="67">
        <v>1</v>
      </c>
      <c r="G154" s="68" t="s">
        <v>7</v>
      </c>
      <c r="H154" s="72">
        <f ca="1">SUMIF(INDIRECT(SUBSTITUTE(B154," ","_")&amp;"[Insumo]"),Insumos_a_comprar[[#This Row],[Insumo]],INDIRECT(SUBSTITUTE(B154," ","_")&amp;"[Stock]"))</f>
        <v>2</v>
      </c>
      <c r="I154" s="69" t="str">
        <f ca="1">IF((Insumos_a_comprar[[#This Row],[Stock actual]]-Insumos_a_comprar[[#This Row],[Stock mínimo]])&lt;0,"Si","No")</f>
        <v>No</v>
      </c>
      <c r="J154" s="67" t="str">
        <f ca="1">INDEX(Table12[Acción],MATCH(Insumos_a_comprar[[#This Row],[Planilla]],Table12[Planilla],0))</f>
        <v>Vencido</v>
      </c>
      <c r="K154" s="71" t="s">
        <v>206</v>
      </c>
      <c r="L15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4" s="65"/>
      <c r="N154" s="65"/>
      <c r="O154" s="65"/>
      <c r="P154" s="178"/>
      <c r="Q154" s="1"/>
      <c r="R154" s="1"/>
    </row>
    <row r="155" spans="1:18" x14ac:dyDescent="0.25">
      <c r="A155" s="10" t="s">
        <v>122</v>
      </c>
      <c r="B155" s="11" t="s">
        <v>398</v>
      </c>
      <c r="C155" s="61" t="str">
        <f>HYPERLINK("#'"&amp;Insumos_a_comprar[[#This Row],[Planilla]]&amp;"'!D1","Ir")</f>
        <v>Ir</v>
      </c>
      <c r="D155" s="11" t="s">
        <v>465</v>
      </c>
      <c r="E155" s="66" t="s">
        <v>824</v>
      </c>
      <c r="F155" s="67">
        <v>10</v>
      </c>
      <c r="G155" s="68" t="s">
        <v>399</v>
      </c>
      <c r="H155" s="72">
        <f ca="1">SUMIF(INDIRECT(SUBSTITUTE(B155," ","_")&amp;"[Insumo]"),Insumos_a_comprar[[#This Row],[Insumo]],INDIRECT(SUBSTITUTE(B155," ","_")&amp;"[Stock]"))</f>
        <v>12.4</v>
      </c>
      <c r="I155" s="69" t="str">
        <f ca="1">IF((Insumos_a_comprar[[#This Row],[Stock actual]]-Insumos_a_comprar[[#This Row],[Stock mínimo]])&lt;0,"Si","No")</f>
        <v>No</v>
      </c>
      <c r="J155" s="67" t="str">
        <f ca="1">INDEX(Table12[Acción],MATCH(Insumos_a_comprar[[#This Row],[Planilla]],Table12[Planilla],0))</f>
        <v>Vigente</v>
      </c>
      <c r="K155" s="71">
        <v>12</v>
      </c>
      <c r="L15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5" s="65"/>
      <c r="N155" s="65"/>
      <c r="O155" s="65"/>
      <c r="P155" s="178"/>
      <c r="Q155" s="1"/>
      <c r="R155" s="1"/>
    </row>
    <row r="156" spans="1:18" x14ac:dyDescent="0.25">
      <c r="A156" s="10" t="s">
        <v>123</v>
      </c>
      <c r="B156" s="11" t="s">
        <v>398</v>
      </c>
      <c r="C156" s="61" t="str">
        <f>HYPERLINK("#'"&amp;Insumos_a_comprar[[#This Row],[Planilla]]&amp;"'!D1","Ir")</f>
        <v>Ir</v>
      </c>
      <c r="D156" s="11" t="s">
        <v>463</v>
      </c>
      <c r="E156" s="66" t="s">
        <v>824</v>
      </c>
      <c r="F156" s="67">
        <v>3</v>
      </c>
      <c r="G156" s="68" t="s">
        <v>399</v>
      </c>
      <c r="H156" s="72">
        <f ca="1">SUMIF(INDIRECT(SUBSTITUTE(B156," ","_")&amp;"[Insumo]"),Insumos_a_comprar[[#This Row],[Insumo]],INDIRECT(SUBSTITUTE(B156," ","_")&amp;"[Stock]"))</f>
        <v>3</v>
      </c>
      <c r="I156" s="69" t="str">
        <f ca="1">IF((Insumos_a_comprar[[#This Row],[Stock actual]]-Insumos_a_comprar[[#This Row],[Stock mínimo]])&lt;0,"Si","No")</f>
        <v>No</v>
      </c>
      <c r="J156" s="67" t="str">
        <f ca="1">INDEX(Table12[Acción],MATCH(Insumos_a_comprar[[#This Row],[Planilla]],Table12[Planilla],0))</f>
        <v>Vigente</v>
      </c>
      <c r="K156" s="71">
        <v>4</v>
      </c>
      <c r="L15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6" s="65"/>
      <c r="N156" s="65"/>
      <c r="O156" s="65"/>
      <c r="P156" s="178"/>
      <c r="Q156" s="1"/>
      <c r="R156" s="1"/>
    </row>
    <row r="157" spans="1:18" ht="31.5" x14ac:dyDescent="0.25">
      <c r="A157" s="10" t="s">
        <v>124</v>
      </c>
      <c r="B157" s="11" t="s">
        <v>398</v>
      </c>
      <c r="C157" s="61" t="str">
        <f>HYPERLINK("#'"&amp;Insumos_a_comprar[[#This Row],[Planilla]]&amp;"'!D1","Ir")</f>
        <v>Ir</v>
      </c>
      <c r="D157" s="11" t="s">
        <v>463</v>
      </c>
      <c r="E157" s="66" t="s">
        <v>851</v>
      </c>
      <c r="F157" s="67">
        <v>1</v>
      </c>
      <c r="G157" s="68" t="s">
        <v>399</v>
      </c>
      <c r="H157" s="72">
        <f ca="1">SUMIF(INDIRECT(SUBSTITUTE(B157," ","_")&amp;"[Insumo]"),Insumos_a_comprar[[#This Row],[Insumo]],INDIRECT(SUBSTITUTE(B157," ","_")&amp;"[Stock]"))</f>
        <v>2</v>
      </c>
      <c r="I157" s="69" t="str">
        <f ca="1">IF((Insumos_a_comprar[[#This Row],[Stock actual]]-Insumos_a_comprar[[#This Row],[Stock mínimo]])&lt;0,"Si","No")</f>
        <v>No</v>
      </c>
      <c r="J157" s="67" t="str">
        <f ca="1">INDEX(Table12[Acción],MATCH(Insumos_a_comprar[[#This Row],[Planilla]],Table12[Planilla],0))</f>
        <v>Vigente</v>
      </c>
      <c r="K157" s="71">
        <v>2</v>
      </c>
      <c r="L15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7" s="65"/>
      <c r="N157" s="65"/>
      <c r="O157" s="65"/>
      <c r="P157" s="178"/>
      <c r="Q157" s="1"/>
      <c r="R157" s="1"/>
    </row>
    <row r="158" spans="1:18" x14ac:dyDescent="0.25">
      <c r="A158" s="10" t="s">
        <v>22</v>
      </c>
      <c r="B158" s="11" t="s">
        <v>60</v>
      </c>
      <c r="C158" s="61" t="str">
        <f>HYPERLINK("#'"&amp;Insumos_a_comprar[[#This Row],[Planilla]]&amp;"'!D1","Ir")</f>
        <v>Ir</v>
      </c>
      <c r="D158" s="11" t="s">
        <v>463</v>
      </c>
      <c r="E158" s="66" t="s">
        <v>825</v>
      </c>
      <c r="F158" s="67">
        <v>250</v>
      </c>
      <c r="G158" s="68" t="s">
        <v>7</v>
      </c>
      <c r="H158" s="66">
        <f ca="1">SUMIF(INDIRECT(SUBSTITUTE(B158," ","_")&amp;"[Insumo]"),Insumos_a_comprar[[#This Row],[Insumo]],INDIRECT(SUBSTITUTE(B158," ","_")&amp;"[Stock]"))</f>
        <v>1050</v>
      </c>
      <c r="I158" s="69" t="str">
        <f ca="1">IF((Insumos_a_comprar[[#This Row],[Stock actual]]-Insumos_a_comprar[[#This Row],[Stock mínimo]])&lt;0,"Si","No")</f>
        <v>No</v>
      </c>
      <c r="J158" s="67" t="str">
        <f ca="1">INDEX(Table12[Acción],MATCH(Insumos_a_comprar[[#This Row],[Planilla]],Table12[Planilla],0))</f>
        <v>Vigente</v>
      </c>
      <c r="K158" s="71">
        <v>250</v>
      </c>
      <c r="L15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8" s="65"/>
      <c r="N158" s="65"/>
      <c r="O158" s="65">
        <v>44179</v>
      </c>
      <c r="P158" s="178"/>
      <c r="Q158" s="1"/>
      <c r="R158" s="1"/>
    </row>
    <row r="159" spans="1:18" x14ac:dyDescent="0.25">
      <c r="A159" s="22" t="s">
        <v>505</v>
      </c>
      <c r="B159" s="23" t="s">
        <v>440</v>
      </c>
      <c r="C159" s="61" t="str">
        <f>HYPERLINK("#'"&amp;Insumos_a_comprar[[#This Row],[Planilla]]&amp;"'!D1","Ir")</f>
        <v>Ir</v>
      </c>
      <c r="D159" s="11" t="s">
        <v>397</v>
      </c>
      <c r="E159" s="73" t="s">
        <v>397</v>
      </c>
      <c r="F159" s="74">
        <v>1</v>
      </c>
      <c r="G159" s="75" t="s">
        <v>65</v>
      </c>
      <c r="H159" s="76">
        <f ca="1">SUMIF(INDIRECT(SUBSTITUTE(B159," ","_")&amp;"[Insumo]"),Insumos_a_comprar[[#This Row],[Insumo]],INDIRECT(SUBSTITUTE(B159," ","_")&amp;"[Stock]"))</f>
        <v>1</v>
      </c>
      <c r="I159" s="69" t="str">
        <f ca="1">IF((Insumos_a_comprar[[#This Row],[Stock actual]]-Insumos_a_comprar[[#This Row],[Stock mínimo]])&lt;0,"Si","No")</f>
        <v>No</v>
      </c>
      <c r="J159" s="67" t="str">
        <f ca="1">INDEX(Table12[Acción],MATCH(Insumos_a_comprar[[#This Row],[Planilla]],Table12[Planilla],0))</f>
        <v>Constante</v>
      </c>
      <c r="K159" s="77">
        <v>1</v>
      </c>
      <c r="L15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59" s="206"/>
      <c r="N159" s="206"/>
      <c r="O159" s="206">
        <v>44326</v>
      </c>
      <c r="P159" s="179"/>
      <c r="Q159" s="1"/>
      <c r="R159" s="1"/>
    </row>
    <row r="160" spans="1:18" x14ac:dyDescent="0.25">
      <c r="A160" s="22" t="s">
        <v>504</v>
      </c>
      <c r="B160" s="23" t="s">
        <v>440</v>
      </c>
      <c r="C160" s="61" t="str">
        <f>HYPERLINK("#'"&amp;Insumos_a_comprar[[#This Row],[Planilla]]&amp;"'!D1","Ir")</f>
        <v>Ir</v>
      </c>
      <c r="D160" s="11" t="s">
        <v>397</v>
      </c>
      <c r="E160" s="73" t="s">
        <v>397</v>
      </c>
      <c r="F160" s="74">
        <v>1</v>
      </c>
      <c r="G160" s="75" t="s">
        <v>65</v>
      </c>
      <c r="H160" s="76">
        <f ca="1">SUMIF(INDIRECT(SUBSTITUTE(B160," ","_")&amp;"[Insumo]"),Insumos_a_comprar[[#This Row],[Insumo]],INDIRECT(SUBSTITUTE(B160," ","_")&amp;"[Stock]"))</f>
        <v>2</v>
      </c>
      <c r="I160" s="69" t="str">
        <f ca="1">IF((Insumos_a_comprar[[#This Row],[Stock actual]]-Insumos_a_comprar[[#This Row],[Stock mínimo]])&lt;0,"Si","No")</f>
        <v>No</v>
      </c>
      <c r="J160" s="67" t="str">
        <f ca="1">INDEX(Table12[Acción],MATCH(Insumos_a_comprar[[#This Row],[Planilla]],Table12[Planilla],0))</f>
        <v>Constante</v>
      </c>
      <c r="K160" s="77">
        <v>1</v>
      </c>
      <c r="L16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0" s="206"/>
      <c r="N160" s="206"/>
      <c r="O160" s="206"/>
      <c r="P160" s="179"/>
      <c r="Q160" s="1"/>
      <c r="R160" s="1"/>
    </row>
    <row r="161" spans="1:18" x14ac:dyDescent="0.25">
      <c r="A161" s="22" t="s">
        <v>500</v>
      </c>
      <c r="B161" s="23" t="s">
        <v>440</v>
      </c>
      <c r="C161" s="61" t="str">
        <f>HYPERLINK("#'"&amp;Insumos_a_comprar[[#This Row],[Planilla]]&amp;"'!D1","Ir")</f>
        <v>Ir</v>
      </c>
      <c r="D161" s="11" t="s">
        <v>397</v>
      </c>
      <c r="E161" s="73" t="s">
        <v>397</v>
      </c>
      <c r="F161" s="74">
        <v>5</v>
      </c>
      <c r="G161" s="75" t="s">
        <v>65</v>
      </c>
      <c r="H161" s="76">
        <f ca="1">SUMIF(INDIRECT(SUBSTITUTE(B161," ","_")&amp;"[Insumo]"),Insumos_a_comprar[[#This Row],[Insumo]],INDIRECT(SUBSTITUTE(B161," ","_")&amp;"[Stock]"))</f>
        <v>10</v>
      </c>
      <c r="I161" s="69" t="str">
        <f ca="1">IF((Insumos_a_comprar[[#This Row],[Stock actual]]-Insumos_a_comprar[[#This Row],[Stock mínimo]])&lt;0,"Si","No")</f>
        <v>No</v>
      </c>
      <c r="J161" s="67" t="str">
        <f ca="1">INDEX(Table12[Acción],MATCH(Insumos_a_comprar[[#This Row],[Planilla]],Table12[Planilla],0))</f>
        <v>Constante</v>
      </c>
      <c r="K161" s="77">
        <v>5</v>
      </c>
      <c r="L16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1" s="206"/>
      <c r="N161" s="206"/>
      <c r="O161" s="206"/>
      <c r="P161" s="179"/>
      <c r="Q161" s="1"/>
      <c r="R161" s="1"/>
    </row>
    <row r="162" spans="1:18" x14ac:dyDescent="0.25">
      <c r="A162" s="22" t="s">
        <v>498</v>
      </c>
      <c r="B162" s="23" t="s">
        <v>440</v>
      </c>
      <c r="C162" s="61" t="str">
        <f>HYPERLINK("#'"&amp;Insumos_a_comprar[[#This Row],[Planilla]]&amp;"'!D1","Ir")</f>
        <v>Ir</v>
      </c>
      <c r="D162" s="11" t="s">
        <v>397</v>
      </c>
      <c r="E162" s="73" t="s">
        <v>397</v>
      </c>
      <c r="F162" s="74">
        <v>1</v>
      </c>
      <c r="G162" s="75" t="s">
        <v>65</v>
      </c>
      <c r="H162" s="76">
        <f ca="1">SUMIF(INDIRECT(SUBSTITUTE(B162," ","_")&amp;"[Insumo]"),Insumos_a_comprar[[#This Row],[Insumo]],INDIRECT(SUBSTITUTE(B162," ","_")&amp;"[Stock]"))</f>
        <v>5</v>
      </c>
      <c r="I162" s="69" t="str">
        <f ca="1">IF((Insumos_a_comprar[[#This Row],[Stock actual]]-Insumos_a_comprar[[#This Row],[Stock mínimo]])&lt;0,"Si","No")</f>
        <v>No</v>
      </c>
      <c r="J162" s="67" t="str">
        <f ca="1">INDEX(Table12[Acción],MATCH(Insumos_a_comprar[[#This Row],[Planilla]],Table12[Planilla],0))</f>
        <v>Constante</v>
      </c>
      <c r="K162" s="77">
        <v>5</v>
      </c>
      <c r="L16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2" s="206"/>
      <c r="N162" s="206"/>
      <c r="O162" s="206"/>
      <c r="P162" s="179"/>
      <c r="Q162" s="1"/>
      <c r="R162" s="1"/>
    </row>
    <row r="163" spans="1:18" x14ac:dyDescent="0.25">
      <c r="A163" s="22" t="s">
        <v>499</v>
      </c>
      <c r="B163" s="23" t="s">
        <v>440</v>
      </c>
      <c r="C163" s="61" t="str">
        <f>HYPERLINK("#'"&amp;Insumos_a_comprar[[#This Row],[Planilla]]&amp;"'!D1","Ir")</f>
        <v>Ir</v>
      </c>
      <c r="D163" s="11" t="s">
        <v>397</v>
      </c>
      <c r="E163" s="73" t="s">
        <v>397</v>
      </c>
      <c r="F163" s="74">
        <v>10</v>
      </c>
      <c r="G163" s="75" t="s">
        <v>65</v>
      </c>
      <c r="H163" s="76">
        <f ca="1">SUMIF(INDIRECT(SUBSTITUTE(B163," ","_")&amp;"[Insumo]"),Insumos_a_comprar[[#This Row],[Insumo]],INDIRECT(SUBSTITUTE(B163," ","_")&amp;"[Stock]"))</f>
        <v>10</v>
      </c>
      <c r="I163" s="69" t="str">
        <f ca="1">IF((Insumos_a_comprar[[#This Row],[Stock actual]]-Insumos_a_comprar[[#This Row],[Stock mínimo]])&lt;0,"Si","No")</f>
        <v>No</v>
      </c>
      <c r="J163" s="67" t="str">
        <f ca="1">INDEX(Table12[Acción],MATCH(Insumos_a_comprar[[#This Row],[Planilla]],Table12[Planilla],0))</f>
        <v>Constante</v>
      </c>
      <c r="K163" s="77">
        <v>5</v>
      </c>
      <c r="L16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3" s="206"/>
      <c r="N163" s="206"/>
      <c r="O163" s="206">
        <v>44326</v>
      </c>
      <c r="P163" s="179"/>
      <c r="Q163" s="1"/>
      <c r="R163" s="1"/>
    </row>
    <row r="164" spans="1:18" x14ac:dyDescent="0.25">
      <c r="A164" s="22" t="s">
        <v>503</v>
      </c>
      <c r="B164" s="23" t="s">
        <v>440</v>
      </c>
      <c r="C164" s="61" t="str">
        <f>HYPERLINK("#'"&amp;Insumos_a_comprar[[#This Row],[Planilla]]&amp;"'!D1","Ir")</f>
        <v>Ir</v>
      </c>
      <c r="D164" s="11" t="s">
        <v>397</v>
      </c>
      <c r="E164" s="73" t="s">
        <v>397</v>
      </c>
      <c r="F164" s="74">
        <v>2</v>
      </c>
      <c r="G164" s="75" t="s">
        <v>65</v>
      </c>
      <c r="H164" s="76">
        <f ca="1">SUMIF(INDIRECT(SUBSTITUTE(B164," ","_")&amp;"[Insumo]"),Insumos_a_comprar[[#This Row],[Insumo]],INDIRECT(SUBSTITUTE(B164," ","_")&amp;"[Stock]"))</f>
        <v>1</v>
      </c>
      <c r="I164" s="69" t="str">
        <f ca="1">IF((Insumos_a_comprar[[#This Row],[Stock actual]]-Insumos_a_comprar[[#This Row],[Stock mínimo]])&lt;0,"Si","No")</f>
        <v>Si</v>
      </c>
      <c r="J164" s="67" t="str">
        <f ca="1">INDEX(Table12[Acción],MATCH(Insumos_a_comprar[[#This Row],[Planilla]],Table12[Planilla],0))</f>
        <v>Constante</v>
      </c>
      <c r="K164" s="77">
        <v>5</v>
      </c>
      <c r="L16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164" s="206">
        <v>44245</v>
      </c>
      <c r="N164" s="206"/>
      <c r="O164" s="206"/>
      <c r="P164" s="179"/>
      <c r="Q164" s="1"/>
      <c r="R164" s="1"/>
    </row>
    <row r="165" spans="1:18" x14ac:dyDescent="0.25">
      <c r="A165" s="22" t="s">
        <v>501</v>
      </c>
      <c r="B165" s="23" t="s">
        <v>440</v>
      </c>
      <c r="C165" s="61" t="str">
        <f>HYPERLINK("#'"&amp;Insumos_a_comprar[[#This Row],[Planilla]]&amp;"'!D1","Ir")</f>
        <v>Ir</v>
      </c>
      <c r="D165" s="11" t="s">
        <v>397</v>
      </c>
      <c r="E165" s="73" t="s">
        <v>397</v>
      </c>
      <c r="F165" s="74">
        <v>5</v>
      </c>
      <c r="G165" s="75" t="s">
        <v>65</v>
      </c>
      <c r="H165" s="76">
        <f ca="1">SUMIF(INDIRECT(SUBSTITUTE(B165," ","_")&amp;"[Insumo]"),Insumos_a_comprar[[#This Row],[Insumo]],INDIRECT(SUBSTITUTE(B165," ","_")&amp;"[Stock]"))</f>
        <v>15</v>
      </c>
      <c r="I165" s="69" t="str">
        <f ca="1">IF((Insumos_a_comprar[[#This Row],[Stock actual]]-Insumos_a_comprar[[#This Row],[Stock mínimo]])&lt;0,"Si","No")</f>
        <v>No</v>
      </c>
      <c r="J165" s="67" t="str">
        <f ca="1">INDEX(Table12[Acción],MATCH(Insumos_a_comprar[[#This Row],[Planilla]],Table12[Planilla],0))</f>
        <v>Constante</v>
      </c>
      <c r="K165" s="77">
        <v>5</v>
      </c>
      <c r="L16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5" s="206"/>
      <c r="N165" s="206"/>
      <c r="O165" s="206"/>
      <c r="P165" s="179"/>
      <c r="Q165" s="1"/>
      <c r="R165" s="1"/>
    </row>
    <row r="166" spans="1:18" x14ac:dyDescent="0.25">
      <c r="A166" s="22" t="s">
        <v>502</v>
      </c>
      <c r="B166" s="23" t="s">
        <v>440</v>
      </c>
      <c r="C166" s="61" t="str">
        <f>HYPERLINK("#'"&amp;Insumos_a_comprar[[#This Row],[Planilla]]&amp;"'!D1","Ir")</f>
        <v>Ir</v>
      </c>
      <c r="D166" s="11" t="s">
        <v>397</v>
      </c>
      <c r="E166" s="73" t="s">
        <v>397</v>
      </c>
      <c r="F166" s="74">
        <v>5</v>
      </c>
      <c r="G166" s="75" t="s">
        <v>65</v>
      </c>
      <c r="H166" s="76">
        <f ca="1">SUMIF(INDIRECT(SUBSTITUTE(B166," ","_")&amp;"[Insumo]"),Insumos_a_comprar[[#This Row],[Insumo]],INDIRECT(SUBSTITUTE(B166," ","_")&amp;"[Stock]"))</f>
        <v>6</v>
      </c>
      <c r="I166" s="69" t="str">
        <f ca="1">IF((Insumos_a_comprar[[#This Row],[Stock actual]]-Insumos_a_comprar[[#This Row],[Stock mínimo]])&lt;0,"Si","No")</f>
        <v>No</v>
      </c>
      <c r="J166" s="67" t="str">
        <f ca="1">INDEX(Table12[Acción],MATCH(Insumos_a_comprar[[#This Row],[Planilla]],Table12[Planilla],0))</f>
        <v>Constante</v>
      </c>
      <c r="K166" s="77">
        <v>5</v>
      </c>
      <c r="L16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6" s="367"/>
      <c r="N166" s="367"/>
      <c r="O166" s="367"/>
      <c r="P166" s="179"/>
      <c r="Q166" s="1"/>
      <c r="R166" s="1"/>
    </row>
    <row r="167" spans="1:18" x14ac:dyDescent="0.25">
      <c r="A167" s="13" t="s">
        <v>676</v>
      </c>
      <c r="B167" s="11" t="s">
        <v>392</v>
      </c>
      <c r="C167" s="61" t="str">
        <f>HYPERLINK("#'"&amp;Insumos_a_comprar[[#This Row],[Planilla]]&amp;"'!D1","Ir")</f>
        <v>Ir</v>
      </c>
      <c r="D167" s="11" t="s">
        <v>463</v>
      </c>
      <c r="E167" s="66"/>
      <c r="F167" s="67">
        <v>1</v>
      </c>
      <c r="G167" s="68" t="s">
        <v>7</v>
      </c>
      <c r="H167" s="72">
        <f ca="1">SUMIF(INDIRECT(SUBSTITUTE(B167," ","_")&amp;"[Insumo]"),Insumos_a_comprar[[#This Row],[Insumo]],INDIRECT(SUBSTITUTE(B167," ","_")&amp;"[Stock]"))</f>
        <v>2</v>
      </c>
      <c r="I167" s="69" t="str">
        <f ca="1">IF((Insumos_a_comprar[[#This Row],[Stock actual]]-Insumos_a_comprar[[#This Row],[Stock mínimo]])&lt;0,"Si","No")</f>
        <v>No</v>
      </c>
      <c r="J167" s="67" t="str">
        <f ca="1">INDEX(Table12[Acción],MATCH(Insumos_a_comprar[[#This Row],[Planilla]],Table12[Planilla],0))</f>
        <v>Vencido</v>
      </c>
      <c r="K167" s="71" t="s">
        <v>206</v>
      </c>
      <c r="L16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7" s="65"/>
      <c r="N167" s="65"/>
      <c r="O167" s="65"/>
      <c r="P167" s="178"/>
      <c r="Q167" s="1"/>
      <c r="R167" s="1"/>
    </row>
    <row r="168" spans="1:18" x14ac:dyDescent="0.25">
      <c r="A168" s="22" t="s">
        <v>571</v>
      </c>
      <c r="B168" s="23" t="s">
        <v>440</v>
      </c>
      <c r="C168" s="61" t="str">
        <f>HYPERLINK("#'"&amp;Insumos_a_comprar[[#This Row],[Planilla]]&amp;"'!D1","Ir")</f>
        <v>Ir</v>
      </c>
      <c r="D168" s="11" t="s">
        <v>397</v>
      </c>
      <c r="E168" s="73" t="s">
        <v>397</v>
      </c>
      <c r="F168" s="74">
        <v>1</v>
      </c>
      <c r="G168" s="75" t="s">
        <v>65</v>
      </c>
      <c r="H168" s="76">
        <f ca="1">SUMIF(INDIRECT(SUBSTITUTE(B168," ","_")&amp;"[Insumo]"),Insumos_a_comprar[[#This Row],[Insumo]],INDIRECT(SUBSTITUTE(B168," ","_")&amp;"[Stock]"))</f>
        <v>1</v>
      </c>
      <c r="I168" s="69" t="str">
        <f ca="1">IF((Insumos_a_comprar[[#This Row],[Stock actual]]-Insumos_a_comprar[[#This Row],[Stock mínimo]])&lt;0,"Si","No")</f>
        <v>No</v>
      </c>
      <c r="J168" s="67" t="str">
        <f ca="1">INDEX(Table12[Acción],MATCH(Insumos_a_comprar[[#This Row],[Planilla]],Table12[Planilla],0))</f>
        <v>Constante</v>
      </c>
      <c r="K168" s="77">
        <v>1</v>
      </c>
      <c r="L16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8" s="206"/>
      <c r="N168" s="206"/>
      <c r="O168" s="206"/>
      <c r="P168" s="179"/>
      <c r="Q168" s="1"/>
      <c r="R168" s="1"/>
    </row>
    <row r="169" spans="1:18" x14ac:dyDescent="0.25">
      <c r="A169" s="22" t="s">
        <v>569</v>
      </c>
      <c r="B169" s="23" t="s">
        <v>440</v>
      </c>
      <c r="C169" s="61" t="str">
        <f>HYPERLINK("#'"&amp;Insumos_a_comprar[[#This Row],[Planilla]]&amp;"'!D1","Ir")</f>
        <v>Ir</v>
      </c>
      <c r="D169" s="11" t="s">
        <v>397</v>
      </c>
      <c r="E169" s="73" t="s">
        <v>397</v>
      </c>
      <c r="F169" s="74">
        <v>1</v>
      </c>
      <c r="G169" s="75" t="s">
        <v>65</v>
      </c>
      <c r="H169" s="76">
        <f ca="1">SUMIF(INDIRECT(SUBSTITUTE(B169," ","_")&amp;"[Insumo]"),Insumos_a_comprar[[#This Row],[Insumo]],INDIRECT(SUBSTITUTE(B169," ","_")&amp;"[Stock]"))</f>
        <v>1</v>
      </c>
      <c r="I169" s="69" t="str">
        <f ca="1">IF((Insumos_a_comprar[[#This Row],[Stock actual]]-Insumos_a_comprar[[#This Row],[Stock mínimo]])&lt;0,"Si","No")</f>
        <v>No</v>
      </c>
      <c r="J169" s="67" t="str">
        <f ca="1">INDEX(Table12[Acción],MATCH(Insumos_a_comprar[[#This Row],[Planilla]],Table12[Planilla],0))</f>
        <v>Constante</v>
      </c>
      <c r="K169" s="77">
        <v>1</v>
      </c>
      <c r="L16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69" s="206"/>
      <c r="N169" s="206"/>
      <c r="O169" s="206"/>
      <c r="P169" s="179"/>
      <c r="Q169" s="1"/>
      <c r="R169" s="1"/>
    </row>
    <row r="170" spans="1:18" x14ac:dyDescent="0.25">
      <c r="A170" s="22" t="s">
        <v>570</v>
      </c>
      <c r="B170" s="23" t="s">
        <v>440</v>
      </c>
      <c r="C170" s="61" t="str">
        <f>HYPERLINK("#'"&amp;Insumos_a_comprar[[#This Row],[Planilla]]&amp;"'!D1","Ir")</f>
        <v>Ir</v>
      </c>
      <c r="D170" s="11" t="s">
        <v>397</v>
      </c>
      <c r="E170" s="73" t="s">
        <v>397</v>
      </c>
      <c r="F170" s="74">
        <v>1</v>
      </c>
      <c r="G170" s="75" t="s">
        <v>65</v>
      </c>
      <c r="H170" s="76">
        <f ca="1">SUMIF(INDIRECT(SUBSTITUTE(B170," ","_")&amp;"[Insumo]"),Insumos_a_comprar[[#This Row],[Insumo]],INDIRECT(SUBSTITUTE(B170," ","_")&amp;"[Stock]"))</f>
        <v>1</v>
      </c>
      <c r="I170" s="69" t="str">
        <f ca="1">IF((Insumos_a_comprar[[#This Row],[Stock actual]]-Insumos_a_comprar[[#This Row],[Stock mínimo]])&lt;0,"Si","No")</f>
        <v>No</v>
      </c>
      <c r="J170" s="67" t="str">
        <f ca="1">INDEX(Table12[Acción],MATCH(Insumos_a_comprar[[#This Row],[Planilla]],Table12[Planilla],0))</f>
        <v>Constante</v>
      </c>
      <c r="K170" s="77">
        <v>1</v>
      </c>
      <c r="L17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0" s="206"/>
      <c r="N170" s="206"/>
      <c r="O170" s="206"/>
      <c r="P170" s="179"/>
      <c r="Q170" s="1"/>
      <c r="R170" s="1"/>
    </row>
    <row r="171" spans="1:18" x14ac:dyDescent="0.25">
      <c r="A171" s="22" t="s">
        <v>506</v>
      </c>
      <c r="B171" s="23" t="s">
        <v>440</v>
      </c>
      <c r="C171" s="61" t="str">
        <f>HYPERLINK("#'"&amp;Insumos_a_comprar[[#This Row],[Planilla]]&amp;"'!D1","Ir")</f>
        <v>Ir</v>
      </c>
      <c r="D171" s="11" t="s">
        <v>397</v>
      </c>
      <c r="E171" s="73" t="s">
        <v>397</v>
      </c>
      <c r="F171" s="74">
        <v>4</v>
      </c>
      <c r="G171" s="75" t="s">
        <v>65</v>
      </c>
      <c r="H171" s="76">
        <f ca="1">SUMIF(INDIRECT(SUBSTITUTE(B171," ","_")&amp;"[Insumo]"),Insumos_a_comprar[[#This Row],[Insumo]],INDIRECT(SUBSTITUTE(B171," ","_")&amp;"[Stock]"))</f>
        <v>9</v>
      </c>
      <c r="I171" s="69" t="str">
        <f ca="1">IF((Insumos_a_comprar[[#This Row],[Stock actual]]-Insumos_a_comprar[[#This Row],[Stock mínimo]])&lt;0,"Si","No")</f>
        <v>No</v>
      </c>
      <c r="J171" s="67" t="str">
        <f ca="1">INDEX(Table12[Acción],MATCH(Insumos_a_comprar[[#This Row],[Planilla]],Table12[Planilla],0))</f>
        <v>Constante</v>
      </c>
      <c r="K171" s="77">
        <v>2</v>
      </c>
      <c r="L17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1" s="206"/>
      <c r="N171" s="206"/>
      <c r="O171" s="206"/>
      <c r="P171" s="179"/>
      <c r="Q171" s="1"/>
      <c r="R171" s="1"/>
    </row>
    <row r="172" spans="1:18" x14ac:dyDescent="0.25">
      <c r="A172" s="22" t="s">
        <v>496</v>
      </c>
      <c r="B172" s="23" t="s">
        <v>440</v>
      </c>
      <c r="C172" s="61" t="str">
        <f>HYPERLINK("#'"&amp;Insumos_a_comprar[[#This Row],[Planilla]]&amp;"'!D1","Ir")</f>
        <v>Ir</v>
      </c>
      <c r="D172" s="11" t="s">
        <v>397</v>
      </c>
      <c r="E172" s="73" t="s">
        <v>397</v>
      </c>
      <c r="F172" s="74">
        <v>2</v>
      </c>
      <c r="G172" s="75" t="s">
        <v>65</v>
      </c>
      <c r="H172" s="76">
        <f ca="1">SUMIF(INDIRECT(SUBSTITUTE(B172," ","_")&amp;"[Insumo]"),Insumos_a_comprar[[#This Row],[Insumo]],INDIRECT(SUBSTITUTE(B172," ","_")&amp;"[Stock]"))</f>
        <v>2</v>
      </c>
      <c r="I172" s="69" t="str">
        <f ca="1">IF((Insumos_a_comprar[[#This Row],[Stock actual]]-Insumos_a_comprar[[#This Row],[Stock mínimo]])&lt;0,"Si","No")</f>
        <v>No</v>
      </c>
      <c r="J172" s="67" t="str">
        <f ca="1">INDEX(Table12[Acción],MATCH(Insumos_a_comprar[[#This Row],[Planilla]],Table12[Planilla],0))</f>
        <v>Constante</v>
      </c>
      <c r="K172" s="77">
        <v>1</v>
      </c>
      <c r="L17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2" s="206"/>
      <c r="N172" s="206"/>
      <c r="O172" s="206"/>
      <c r="P172" s="179"/>
      <c r="Q172" s="1"/>
      <c r="R172" s="1"/>
    </row>
    <row r="173" spans="1:18" x14ac:dyDescent="0.25">
      <c r="A173" s="22" t="s">
        <v>495</v>
      </c>
      <c r="B173" s="23" t="s">
        <v>440</v>
      </c>
      <c r="C173" s="61" t="str">
        <f>HYPERLINK("#'"&amp;Insumos_a_comprar[[#This Row],[Planilla]]&amp;"'!D1","Ir")</f>
        <v>Ir</v>
      </c>
      <c r="D173" s="11" t="s">
        <v>397</v>
      </c>
      <c r="E173" s="73" t="s">
        <v>397</v>
      </c>
      <c r="F173" s="74">
        <v>2</v>
      </c>
      <c r="G173" s="75" t="s">
        <v>65</v>
      </c>
      <c r="H173" s="76">
        <f ca="1">SUMIF(INDIRECT(SUBSTITUTE(B173," ","_")&amp;"[Insumo]"),Insumos_a_comprar[[#This Row],[Insumo]],INDIRECT(SUBSTITUTE(B173," ","_")&amp;"[Stock]"))</f>
        <v>2</v>
      </c>
      <c r="I173" s="69" t="str">
        <f ca="1">IF((Insumos_a_comprar[[#This Row],[Stock actual]]-Insumos_a_comprar[[#This Row],[Stock mínimo]])&lt;0,"Si","No")</f>
        <v>No</v>
      </c>
      <c r="J173" s="67" t="str">
        <f ca="1">INDEX(Table12[Acción],MATCH(Insumos_a_comprar[[#This Row],[Planilla]],Table12[Planilla],0))</f>
        <v>Constante</v>
      </c>
      <c r="K173" s="77">
        <v>1</v>
      </c>
      <c r="L17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3" s="206"/>
      <c r="N173" s="206"/>
      <c r="O173" s="206"/>
      <c r="P173" s="179"/>
      <c r="Q173" s="1"/>
      <c r="R173" s="1"/>
    </row>
    <row r="174" spans="1:18" x14ac:dyDescent="0.25">
      <c r="A174" s="22" t="s">
        <v>497</v>
      </c>
      <c r="B174" s="23" t="s">
        <v>440</v>
      </c>
      <c r="C174" s="61" t="str">
        <f>HYPERLINK("#'"&amp;Insumos_a_comprar[[#This Row],[Planilla]]&amp;"'!D1","Ir")</f>
        <v>Ir</v>
      </c>
      <c r="D174" s="11" t="s">
        <v>397</v>
      </c>
      <c r="E174" s="73" t="s">
        <v>397</v>
      </c>
      <c r="F174" s="74">
        <v>2</v>
      </c>
      <c r="G174" s="75" t="s">
        <v>65</v>
      </c>
      <c r="H174" s="76">
        <f ca="1">SUMIF(INDIRECT(SUBSTITUTE(B174," ","_")&amp;"[Insumo]"),Insumos_a_comprar[[#This Row],[Insumo]],INDIRECT(SUBSTITUTE(B174," ","_")&amp;"[Stock]"))</f>
        <v>2</v>
      </c>
      <c r="I174" s="69" t="str">
        <f ca="1">IF((Insumos_a_comprar[[#This Row],[Stock actual]]-Insumos_a_comprar[[#This Row],[Stock mínimo]])&lt;0,"Si","No")</f>
        <v>No</v>
      </c>
      <c r="J174" s="67" t="str">
        <f ca="1">INDEX(Table12[Acción],MATCH(Insumos_a_comprar[[#This Row],[Planilla]],Table12[Planilla],0))</f>
        <v>Constante</v>
      </c>
      <c r="K174" s="77">
        <v>1</v>
      </c>
      <c r="L17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4" s="206"/>
      <c r="N174" s="206"/>
      <c r="O174" s="206"/>
      <c r="P174" s="179"/>
      <c r="Q174" s="1"/>
      <c r="R174" s="1"/>
    </row>
    <row r="175" spans="1:18" x14ac:dyDescent="0.25">
      <c r="A175" s="22" t="s">
        <v>510</v>
      </c>
      <c r="B175" s="23" t="s">
        <v>440</v>
      </c>
      <c r="C175" s="61" t="str">
        <f>HYPERLINK("#'"&amp;Insumos_a_comprar[[#This Row],[Planilla]]&amp;"'!D1","Ir")</f>
        <v>Ir</v>
      </c>
      <c r="D175" s="11" t="s">
        <v>397</v>
      </c>
      <c r="E175" s="73" t="s">
        <v>397</v>
      </c>
      <c r="F175" s="74">
        <v>1</v>
      </c>
      <c r="G175" s="75" t="s">
        <v>65</v>
      </c>
      <c r="H175" s="76">
        <f ca="1">SUMIF(INDIRECT(SUBSTITUTE(B175," ","_")&amp;"[Insumo]"),Insumos_a_comprar[[#This Row],[Insumo]],INDIRECT(SUBSTITUTE(B175," ","_")&amp;"[Stock]"))</f>
        <v>6</v>
      </c>
      <c r="I175" s="69" t="str">
        <f ca="1">IF((Insumos_a_comprar[[#This Row],[Stock actual]]-Insumos_a_comprar[[#This Row],[Stock mínimo]])&lt;0,"Si","No")</f>
        <v>No</v>
      </c>
      <c r="J175" s="67" t="str">
        <f ca="1">INDEX(Table12[Acción],MATCH(Insumos_a_comprar[[#This Row],[Planilla]],Table12[Planilla],0))</f>
        <v>Constante</v>
      </c>
      <c r="K175" s="77">
        <v>1</v>
      </c>
      <c r="L17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5" s="206"/>
      <c r="N175" s="206"/>
      <c r="O175" s="206"/>
      <c r="P175" s="179"/>
      <c r="Q175" s="1"/>
      <c r="R175" s="1"/>
    </row>
    <row r="176" spans="1:18" x14ac:dyDescent="0.25">
      <c r="A176" s="22" t="s">
        <v>509</v>
      </c>
      <c r="B176" s="23" t="s">
        <v>440</v>
      </c>
      <c r="C176" s="61" t="str">
        <f>HYPERLINK("#'"&amp;Insumos_a_comprar[[#This Row],[Planilla]]&amp;"'!D1","Ir")</f>
        <v>Ir</v>
      </c>
      <c r="D176" s="11" t="s">
        <v>397</v>
      </c>
      <c r="E176" s="73" t="s">
        <v>397</v>
      </c>
      <c r="F176" s="74">
        <v>10</v>
      </c>
      <c r="G176" s="75" t="s">
        <v>65</v>
      </c>
      <c r="H176" s="76">
        <f ca="1">SUMIF(INDIRECT(SUBSTITUTE(B176," ","_")&amp;"[Insumo]"),Insumos_a_comprar[[#This Row],[Insumo]],INDIRECT(SUBSTITUTE(B176," ","_")&amp;"[Stock]"))</f>
        <v>11</v>
      </c>
      <c r="I176" s="69" t="str">
        <f ca="1">IF((Insumos_a_comprar[[#This Row],[Stock actual]]-Insumos_a_comprar[[#This Row],[Stock mínimo]])&lt;0,"Si","No")</f>
        <v>No</v>
      </c>
      <c r="J176" s="67" t="str">
        <f ca="1">INDEX(Table12[Acción],MATCH(Insumos_a_comprar[[#This Row],[Planilla]],Table12[Planilla],0))</f>
        <v>Constante</v>
      </c>
      <c r="K176" s="77">
        <v>5</v>
      </c>
      <c r="L17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6" s="206"/>
      <c r="N176" s="206"/>
      <c r="O176" s="206"/>
      <c r="P176" s="179"/>
      <c r="Q176" s="1"/>
      <c r="R176" s="1"/>
    </row>
    <row r="177" spans="1:18" x14ac:dyDescent="0.25">
      <c r="A177" s="22" t="s">
        <v>508</v>
      </c>
      <c r="B177" s="23" t="s">
        <v>440</v>
      </c>
      <c r="C177" s="61" t="str">
        <f>HYPERLINK("#'"&amp;Insumos_a_comprar[[#This Row],[Planilla]]&amp;"'!D1","Ir")</f>
        <v>Ir</v>
      </c>
      <c r="D177" s="11" t="s">
        <v>397</v>
      </c>
      <c r="E177" s="73" t="s">
        <v>397</v>
      </c>
      <c r="F177" s="74">
        <v>4</v>
      </c>
      <c r="G177" s="75" t="s">
        <v>65</v>
      </c>
      <c r="H177" s="76">
        <f ca="1">SUMIF(INDIRECT(SUBSTITUTE(B177," ","_")&amp;"[Insumo]"),Insumos_a_comprar[[#This Row],[Insumo]],INDIRECT(SUBSTITUTE(B177," ","_")&amp;"[Stock]"))</f>
        <v>5</v>
      </c>
      <c r="I177" s="69" t="str">
        <f ca="1">IF((Insumos_a_comprar[[#This Row],[Stock actual]]-Insumos_a_comprar[[#This Row],[Stock mínimo]])&lt;0,"Si","No")</f>
        <v>No</v>
      </c>
      <c r="J177" s="67" t="str">
        <f ca="1">INDEX(Table12[Acción],MATCH(Insumos_a_comprar[[#This Row],[Planilla]],Table12[Planilla],0))</f>
        <v>Constante</v>
      </c>
      <c r="K177" s="77">
        <v>5</v>
      </c>
      <c r="L17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7" s="206"/>
      <c r="N177" s="206"/>
      <c r="O177" s="206"/>
      <c r="P177" s="179"/>
      <c r="Q177" s="1"/>
      <c r="R177" s="1"/>
    </row>
    <row r="178" spans="1:18" x14ac:dyDescent="0.25">
      <c r="A178" s="22" t="s">
        <v>507</v>
      </c>
      <c r="B178" s="23" t="s">
        <v>440</v>
      </c>
      <c r="C178" s="61" t="str">
        <f>HYPERLINK("#'"&amp;Insumos_a_comprar[[#This Row],[Planilla]]&amp;"'!D1","Ir")</f>
        <v>Ir</v>
      </c>
      <c r="D178" s="11" t="s">
        <v>397</v>
      </c>
      <c r="E178" s="73" t="s">
        <v>397</v>
      </c>
      <c r="F178" s="74">
        <v>1</v>
      </c>
      <c r="G178" s="75" t="s">
        <v>65</v>
      </c>
      <c r="H178" s="76">
        <f ca="1">SUMIF(INDIRECT(SUBSTITUTE(B178," ","_")&amp;"[Insumo]"),Insumos_a_comprar[[#This Row],[Insumo]],INDIRECT(SUBSTITUTE(B178," ","_")&amp;"[Stock]"))</f>
        <v>0</v>
      </c>
      <c r="I178" s="69" t="str">
        <f ca="1">IF((Insumos_a_comprar[[#This Row],[Stock actual]]-Insumos_a_comprar[[#This Row],[Stock mínimo]])&lt;0,"Si","No")</f>
        <v>Si</v>
      </c>
      <c r="J178" s="67" t="str">
        <f ca="1">INDEX(Table12[Acción],MATCH(Insumos_a_comprar[[#This Row],[Planilla]],Table12[Planilla],0))</f>
        <v>Constante</v>
      </c>
      <c r="K178" s="77">
        <v>2</v>
      </c>
      <c r="L17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178" s="206">
        <v>44245</v>
      </c>
      <c r="N178" s="206">
        <v>44042</v>
      </c>
      <c r="O178" s="206"/>
      <c r="P178" s="179" t="s">
        <v>1019</v>
      </c>
      <c r="Q178" s="1"/>
      <c r="R178" s="1"/>
    </row>
    <row r="179" spans="1:18" x14ac:dyDescent="0.25">
      <c r="A179" s="22" t="s">
        <v>514</v>
      </c>
      <c r="B179" s="23" t="s">
        <v>440</v>
      </c>
      <c r="C179" s="61" t="str">
        <f>HYPERLINK("#'"&amp;Insumos_a_comprar[[#This Row],[Planilla]]&amp;"'!D1","Ir")</f>
        <v>Ir</v>
      </c>
      <c r="D179" s="11" t="s">
        <v>397</v>
      </c>
      <c r="E179" s="73" t="s">
        <v>397</v>
      </c>
      <c r="F179" s="74">
        <v>2</v>
      </c>
      <c r="G179" s="75" t="s">
        <v>65</v>
      </c>
      <c r="H179" s="76">
        <f ca="1">SUMIF(INDIRECT(SUBSTITUTE(B179," ","_")&amp;"[Insumo]"),Insumos_a_comprar[[#This Row],[Insumo]],INDIRECT(SUBSTITUTE(B179," ","_")&amp;"[Stock]"))</f>
        <v>2</v>
      </c>
      <c r="I179" s="69" t="str">
        <f ca="1">IF((Insumos_a_comprar[[#This Row],[Stock actual]]-Insumos_a_comprar[[#This Row],[Stock mínimo]])&lt;0,"Si","No")</f>
        <v>No</v>
      </c>
      <c r="J179" s="67" t="str">
        <f ca="1">INDEX(Table12[Acción],MATCH(Insumos_a_comprar[[#This Row],[Planilla]],Table12[Planilla],0))</f>
        <v>Constante</v>
      </c>
      <c r="K179" s="77">
        <v>5</v>
      </c>
      <c r="L17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79" s="206"/>
      <c r="N179" s="206"/>
      <c r="O179" s="206"/>
      <c r="P179" s="179"/>
      <c r="Q179" s="1"/>
      <c r="R179" s="1"/>
    </row>
    <row r="180" spans="1:18" x14ac:dyDescent="0.25">
      <c r="A180" s="22" t="s">
        <v>513</v>
      </c>
      <c r="B180" s="23" t="s">
        <v>440</v>
      </c>
      <c r="C180" s="61" t="str">
        <f>HYPERLINK("#'"&amp;Insumos_a_comprar[[#This Row],[Planilla]]&amp;"'!D1","Ir")</f>
        <v>Ir</v>
      </c>
      <c r="D180" s="11" t="s">
        <v>397</v>
      </c>
      <c r="E180" s="73" t="s">
        <v>397</v>
      </c>
      <c r="F180" s="74">
        <v>2</v>
      </c>
      <c r="G180" s="75" t="s">
        <v>65</v>
      </c>
      <c r="H180" s="76">
        <f ca="1">SUMIF(INDIRECT(SUBSTITUTE(B180," ","_")&amp;"[Insumo]"),Insumos_a_comprar[[#This Row],[Insumo]],INDIRECT(SUBSTITUTE(B180," ","_")&amp;"[Stock]"))</f>
        <v>1</v>
      </c>
      <c r="I180" s="69" t="str">
        <f ca="1">IF((Insumos_a_comprar[[#This Row],[Stock actual]]-Insumos_a_comprar[[#This Row],[Stock mínimo]])&lt;0,"Si","No")</f>
        <v>Si</v>
      </c>
      <c r="J180" s="67" t="str">
        <f ca="1">INDEX(Table12[Acción],MATCH(Insumos_a_comprar[[#This Row],[Planilla]],Table12[Planilla],0))</f>
        <v>Constante</v>
      </c>
      <c r="K180" s="77">
        <v>5</v>
      </c>
      <c r="L18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180" s="206">
        <v>44245</v>
      </c>
      <c r="N180" s="206">
        <v>44042</v>
      </c>
      <c r="O180" s="206"/>
      <c r="P180" s="179" t="s">
        <v>1019</v>
      </c>
      <c r="Q180" s="1"/>
      <c r="R180" s="1"/>
    </row>
    <row r="181" spans="1:18" x14ac:dyDescent="0.25">
      <c r="A181" s="22" t="s">
        <v>512</v>
      </c>
      <c r="B181" s="23" t="s">
        <v>440</v>
      </c>
      <c r="C181" s="61" t="str">
        <f>HYPERLINK("#'"&amp;Insumos_a_comprar[[#This Row],[Planilla]]&amp;"'!D1","Ir")</f>
        <v>Ir</v>
      </c>
      <c r="D181" s="11" t="s">
        <v>397</v>
      </c>
      <c r="E181" s="73" t="s">
        <v>397</v>
      </c>
      <c r="F181" s="74">
        <v>4</v>
      </c>
      <c r="G181" s="75" t="s">
        <v>65</v>
      </c>
      <c r="H181" s="76">
        <f ca="1">SUMIF(INDIRECT(SUBSTITUTE(B181," ","_")&amp;"[Insumo]"),Insumos_a_comprar[[#This Row],[Insumo]],INDIRECT(SUBSTITUTE(B181," ","_")&amp;"[Stock]"))</f>
        <v>4</v>
      </c>
      <c r="I181" s="69" t="str">
        <f ca="1">IF((Insumos_a_comprar[[#This Row],[Stock actual]]-Insumos_a_comprar[[#This Row],[Stock mínimo]])&lt;0,"Si","No")</f>
        <v>No</v>
      </c>
      <c r="J181" s="67" t="str">
        <f ca="1">INDEX(Table12[Acción],MATCH(Insumos_a_comprar[[#This Row],[Planilla]],Table12[Planilla],0))</f>
        <v>Constante</v>
      </c>
      <c r="K181" s="77">
        <v>5</v>
      </c>
      <c r="L18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1" s="206"/>
      <c r="N181" s="206"/>
      <c r="O181" s="206"/>
      <c r="P181" s="179"/>
      <c r="Q181" s="1"/>
      <c r="R181" s="1"/>
    </row>
    <row r="182" spans="1:18" x14ac:dyDescent="0.25">
      <c r="A182" s="22" t="s">
        <v>511</v>
      </c>
      <c r="B182" s="23" t="s">
        <v>440</v>
      </c>
      <c r="C182" s="61" t="str">
        <f>HYPERLINK("#'"&amp;Insumos_a_comprar[[#This Row],[Planilla]]&amp;"'!D1","Ir")</f>
        <v>Ir</v>
      </c>
      <c r="D182" s="11" t="s">
        <v>397</v>
      </c>
      <c r="E182" s="73" t="s">
        <v>397</v>
      </c>
      <c r="F182" s="74">
        <v>4</v>
      </c>
      <c r="G182" s="75" t="s">
        <v>65</v>
      </c>
      <c r="H182" s="76">
        <f ca="1">SUMIF(INDIRECT(SUBSTITUTE(B182," ","_")&amp;"[Insumo]"),Insumos_a_comprar[[#This Row],[Insumo]],INDIRECT(SUBSTITUTE(B182," ","_")&amp;"[Stock]"))</f>
        <v>5</v>
      </c>
      <c r="I182" s="69" t="str">
        <f ca="1">IF((Insumos_a_comprar[[#This Row],[Stock actual]]-Insumos_a_comprar[[#This Row],[Stock mínimo]])&lt;0,"Si","No")</f>
        <v>No</v>
      </c>
      <c r="J182" s="67" t="str">
        <f ca="1">INDEX(Table12[Acción],MATCH(Insumos_a_comprar[[#This Row],[Planilla]],Table12[Planilla],0))</f>
        <v>Constante</v>
      </c>
      <c r="K182" s="77">
        <v>5</v>
      </c>
      <c r="L18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2" s="206"/>
      <c r="N182" s="206"/>
      <c r="O182" s="206"/>
      <c r="P182" s="179"/>
      <c r="Q182" s="1"/>
      <c r="R182" s="1"/>
    </row>
    <row r="183" spans="1:18" x14ac:dyDescent="0.25">
      <c r="A183" s="22" t="s">
        <v>581</v>
      </c>
      <c r="B183" s="23" t="s">
        <v>440</v>
      </c>
      <c r="C183" s="61" t="str">
        <f>HYPERLINK("#'"&amp;Insumos_a_comprar[[#This Row],[Planilla]]&amp;"'!D1","Ir")</f>
        <v>Ir</v>
      </c>
      <c r="D183" s="11" t="s">
        <v>397</v>
      </c>
      <c r="E183" s="73" t="s">
        <v>397</v>
      </c>
      <c r="F183" s="74">
        <v>2</v>
      </c>
      <c r="G183" s="75" t="s">
        <v>65</v>
      </c>
      <c r="H183" s="76">
        <f ca="1">SUMIF(INDIRECT(SUBSTITUTE(B183," ","_")&amp;"[Insumo]"),Insumos_a_comprar[[#This Row],[Insumo]],INDIRECT(SUBSTITUTE(B183," ","_")&amp;"[Stock]"))</f>
        <v>2</v>
      </c>
      <c r="I183" s="69" t="str">
        <f ca="1">IF((Insumos_a_comprar[[#This Row],[Stock actual]]-Insumos_a_comprar[[#This Row],[Stock mínimo]])&lt;0,"Si","No")</f>
        <v>No</v>
      </c>
      <c r="J183" s="67" t="str">
        <f ca="1">INDEX(Table12[Acción],MATCH(Insumos_a_comprar[[#This Row],[Planilla]],Table12[Planilla],0))</f>
        <v>Constante</v>
      </c>
      <c r="K183" s="77">
        <v>2</v>
      </c>
      <c r="L18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3" s="206"/>
      <c r="N183" s="206"/>
      <c r="O183" s="206"/>
      <c r="P183" s="179"/>
      <c r="Q183" s="1"/>
      <c r="R183" s="1"/>
    </row>
    <row r="184" spans="1:18" x14ac:dyDescent="0.25">
      <c r="A184" s="22" t="s">
        <v>580</v>
      </c>
      <c r="B184" s="23" t="s">
        <v>440</v>
      </c>
      <c r="C184" s="61" t="str">
        <f>HYPERLINK("#'"&amp;Insumos_a_comprar[[#This Row],[Planilla]]&amp;"'!D1","Ir")</f>
        <v>Ir</v>
      </c>
      <c r="D184" s="11" t="s">
        <v>397</v>
      </c>
      <c r="E184" s="73" t="s">
        <v>397</v>
      </c>
      <c r="F184" s="74">
        <v>2</v>
      </c>
      <c r="G184" s="75" t="s">
        <v>65</v>
      </c>
      <c r="H184" s="76">
        <f ca="1">SUMIF(INDIRECT(SUBSTITUTE(B184," ","_")&amp;"[Insumo]"),Insumos_a_comprar[[#This Row],[Insumo]],INDIRECT(SUBSTITUTE(B184," ","_")&amp;"[Stock]"))</f>
        <v>3</v>
      </c>
      <c r="I184" s="69" t="str">
        <f ca="1">IF((Insumos_a_comprar[[#This Row],[Stock actual]]-Insumos_a_comprar[[#This Row],[Stock mínimo]])&lt;0,"Si","No")</f>
        <v>No</v>
      </c>
      <c r="J184" s="67" t="str">
        <f ca="1">INDEX(Table12[Acción],MATCH(Insumos_a_comprar[[#This Row],[Planilla]],Table12[Planilla],0))</f>
        <v>Constante</v>
      </c>
      <c r="K184" s="77">
        <v>2</v>
      </c>
      <c r="L18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4" s="367"/>
      <c r="N184" s="367"/>
      <c r="O184" s="367"/>
      <c r="P184" s="179"/>
      <c r="Q184" s="1"/>
      <c r="R184" s="1"/>
    </row>
    <row r="185" spans="1:18" x14ac:dyDescent="0.25">
      <c r="A185" s="10" t="s">
        <v>23</v>
      </c>
      <c r="B185" s="11" t="s">
        <v>60</v>
      </c>
      <c r="C185" s="61" t="str">
        <f>HYPERLINK("#'"&amp;Insumos_a_comprar[[#This Row],[Planilla]]&amp;"'!D1","Ir")</f>
        <v>Ir</v>
      </c>
      <c r="D185" s="11" t="s">
        <v>463</v>
      </c>
      <c r="E185" s="66" t="s">
        <v>826</v>
      </c>
      <c r="F185" s="67">
        <v>250</v>
      </c>
      <c r="G185" s="68" t="s">
        <v>7</v>
      </c>
      <c r="H185" s="66">
        <f ca="1">SUMIF(INDIRECT(SUBSTITUTE(B185," ","_")&amp;"[Insumo]"),Insumos_a_comprar[[#This Row],[Insumo]],INDIRECT(SUBSTITUTE(B185," ","_")&amp;"[Stock]"))</f>
        <v>520</v>
      </c>
      <c r="I185" s="69" t="str">
        <f ca="1">IF((Insumos_a_comprar[[#This Row],[Stock actual]]-Insumos_a_comprar[[#This Row],[Stock mínimo]])&lt;0,"Si","No")</f>
        <v>No</v>
      </c>
      <c r="J185" s="67" t="str">
        <f ca="1">INDEX(Table12[Acción],MATCH(Insumos_a_comprar[[#This Row],[Planilla]],Table12[Planilla],0))</f>
        <v>Vigente</v>
      </c>
      <c r="K185" s="71">
        <v>250</v>
      </c>
      <c r="L18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5" s="65"/>
      <c r="N185" s="65"/>
      <c r="O185" s="65"/>
      <c r="P185" s="178"/>
      <c r="Q185" s="1"/>
      <c r="R185" s="1"/>
    </row>
    <row r="186" spans="1:18" x14ac:dyDescent="0.25">
      <c r="A186" s="22" t="s">
        <v>89</v>
      </c>
      <c r="B186" s="23" t="s">
        <v>594</v>
      </c>
      <c r="C186" s="61" t="str">
        <f>HYPERLINK("#'"&amp;Insumos_a_comprar[[#This Row],[Planilla]]&amp;"'!D1","Ir")</f>
        <v>Ir</v>
      </c>
      <c r="D186" s="11" t="s">
        <v>397</v>
      </c>
      <c r="E186" s="73" t="s">
        <v>397</v>
      </c>
      <c r="F186" s="74">
        <v>1</v>
      </c>
      <c r="G186" s="75" t="s">
        <v>65</v>
      </c>
      <c r="H186" s="76">
        <f ca="1">SUMIF(INDIRECT(SUBSTITUTE(B186," ","_")&amp;"[Insumo]"),Insumos_a_comprar[[#This Row],[Insumo]],INDIRECT(SUBSTITUTE(B186," ","_")&amp;"[Stock]"))</f>
        <v>1</v>
      </c>
      <c r="I186" s="69" t="str">
        <f ca="1">IF((Insumos_a_comprar[[#This Row],[Stock actual]]-Insumos_a_comprar[[#This Row],[Stock mínimo]])&lt;0,"Si","No")</f>
        <v>No</v>
      </c>
      <c r="J186" s="67" t="str">
        <f ca="1">INDEX(Table12[Acción],MATCH(Insumos_a_comprar[[#This Row],[Planilla]],Table12[Planilla],0))</f>
        <v>Constante</v>
      </c>
      <c r="K186" s="77">
        <v>1</v>
      </c>
      <c r="L18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6" s="367"/>
      <c r="N186" s="367"/>
      <c r="O186" s="367"/>
      <c r="P186" s="179"/>
      <c r="Q186" s="1"/>
      <c r="R186" s="1"/>
    </row>
    <row r="187" spans="1:18" x14ac:dyDescent="0.25">
      <c r="A187" s="416" t="s">
        <v>1077</v>
      </c>
      <c r="B187" s="23" t="s">
        <v>594</v>
      </c>
      <c r="C187" s="417" t="str">
        <f>HYPERLINK("#'"&amp;Insumos_a_comprar[[#This Row],[Planilla]]&amp;"'!D1","Ir")</f>
        <v>Ir</v>
      </c>
      <c r="D187" s="11" t="s">
        <v>397</v>
      </c>
      <c r="E187" s="73" t="s">
        <v>397</v>
      </c>
      <c r="F187" s="74">
        <v>1</v>
      </c>
      <c r="G187" s="75" t="s">
        <v>65</v>
      </c>
      <c r="H187" s="418">
        <f ca="1">SUMIF(INDIRECT(SUBSTITUTE(B187," ","_")&amp;"[Insumo]"),Insumos_a_comprar[[#This Row],[Insumo]],INDIRECT(SUBSTITUTE(B187," ","_")&amp;"[Stock]"))</f>
        <v>1</v>
      </c>
      <c r="I187" s="419" t="str">
        <f ca="1">IF((Insumos_a_comprar[[#This Row],[Stock actual]]-Insumos_a_comprar[[#This Row],[Stock mínimo]])&lt;0,"Si","No")</f>
        <v>No</v>
      </c>
      <c r="J187" s="420" t="str">
        <f ca="1">INDEX(Table12[Acción],MATCH(Insumos_a_comprar[[#This Row],[Planilla]],Table12[Planilla],0))</f>
        <v>Constante</v>
      </c>
      <c r="K187" s="420">
        <v>1</v>
      </c>
      <c r="L187" s="421"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7" s="422"/>
      <c r="N187" s="422"/>
      <c r="O187" s="423">
        <v>44376</v>
      </c>
      <c r="P187" s="424"/>
      <c r="Q187" s="1"/>
      <c r="R187" s="1"/>
    </row>
    <row r="188" spans="1:18" x14ac:dyDescent="0.25">
      <c r="A188" s="10" t="s">
        <v>125</v>
      </c>
      <c r="B188" s="11" t="s">
        <v>398</v>
      </c>
      <c r="C188" s="61" t="str">
        <f>HYPERLINK("#'"&amp;Insumos_a_comprar[[#This Row],[Planilla]]&amp;"'!D1","Ir")</f>
        <v>Ir</v>
      </c>
      <c r="D188" s="11" t="s">
        <v>465</v>
      </c>
      <c r="E188" s="66" t="s">
        <v>854</v>
      </c>
      <c r="F188" s="67">
        <v>1</v>
      </c>
      <c r="G188" s="68" t="s">
        <v>399</v>
      </c>
      <c r="H188" s="72">
        <f ca="1">SUMIF(INDIRECT(SUBSTITUTE(B188," ","_")&amp;"[Insumo]"),Insumos_a_comprar[[#This Row],[Insumo]],INDIRECT(SUBSTITUTE(B188," ","_")&amp;"[Stock]"))</f>
        <v>2.7</v>
      </c>
      <c r="I188" s="69" t="str">
        <f ca="1">IF((Insumos_a_comprar[[#This Row],[Stock actual]]-Insumos_a_comprar[[#This Row],[Stock mínimo]])&lt;0,"Si","No")</f>
        <v>No</v>
      </c>
      <c r="J188" s="67" t="str">
        <f ca="1">INDEX(Table12[Acción],MATCH(Insumos_a_comprar[[#This Row],[Planilla]],Table12[Planilla],0))</f>
        <v>Vigente</v>
      </c>
      <c r="K188" s="71">
        <v>4</v>
      </c>
      <c r="L18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8" s="65"/>
      <c r="N188" s="65"/>
      <c r="O188" s="65"/>
      <c r="P188" s="178"/>
      <c r="Q188" s="1"/>
      <c r="R188" s="1"/>
    </row>
    <row r="189" spans="1:18" x14ac:dyDescent="0.25">
      <c r="A189" s="10" t="s">
        <v>126</v>
      </c>
      <c r="B189" s="11" t="s">
        <v>398</v>
      </c>
      <c r="C189" s="61" t="str">
        <f>HYPERLINK("#'"&amp;Insumos_a_comprar[[#This Row],[Planilla]]&amp;"'!D1","Ir")</f>
        <v>Ir</v>
      </c>
      <c r="D189" s="11" t="s">
        <v>463</v>
      </c>
      <c r="E189" s="66"/>
      <c r="F189" s="67">
        <v>0.05</v>
      </c>
      <c r="G189" s="68" t="s">
        <v>399</v>
      </c>
      <c r="H189" s="72">
        <f ca="1">SUMIF(INDIRECT(SUBSTITUTE(B189," ","_")&amp;"[Insumo]"),Insumos_a_comprar[[#This Row],[Insumo]],INDIRECT(SUBSTITUTE(B189," ","_")&amp;"[Stock]"))</f>
        <v>1.9</v>
      </c>
      <c r="I189" s="69" t="str">
        <f ca="1">IF((Insumos_a_comprar[[#This Row],[Stock actual]]-Insumos_a_comprar[[#This Row],[Stock mínimo]])&lt;0,"Si","No")</f>
        <v>No</v>
      </c>
      <c r="J189" s="67" t="str">
        <f ca="1">INDEX(Table12[Acción],MATCH(Insumos_a_comprar[[#This Row],[Planilla]],Table12[Planilla],0))</f>
        <v>Vigente</v>
      </c>
      <c r="K189" s="71">
        <v>1</v>
      </c>
      <c r="L18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89" s="65"/>
      <c r="N189" s="65"/>
      <c r="O189" s="65"/>
      <c r="P189" s="178"/>
      <c r="Q189" s="1"/>
      <c r="R189" s="1"/>
    </row>
    <row r="190" spans="1:18" x14ac:dyDescent="0.25">
      <c r="A190" s="10" t="s">
        <v>128</v>
      </c>
      <c r="B190" s="11" t="s">
        <v>398</v>
      </c>
      <c r="C190" s="61" t="str">
        <f>HYPERLINK("#'"&amp;Insumos_a_comprar[[#This Row],[Planilla]]&amp;"'!D1","Ir")</f>
        <v>Ir</v>
      </c>
      <c r="D190" s="11" t="s">
        <v>465</v>
      </c>
      <c r="E190" s="66" t="s">
        <v>854</v>
      </c>
      <c r="F190" s="67">
        <v>0.05</v>
      </c>
      <c r="G190" s="68" t="s">
        <v>399</v>
      </c>
      <c r="H190" s="72">
        <f ca="1">SUMIF(INDIRECT(SUBSTITUTE(B190," ","_")&amp;"[Insumo]"),Insumos_a_comprar[[#This Row],[Insumo]],INDIRECT(SUBSTITUTE(B190," ","_")&amp;"[Stock]"))</f>
        <v>0.25</v>
      </c>
      <c r="I190" s="69" t="str">
        <f ca="1">IF((Insumos_a_comprar[[#This Row],[Stock actual]]-Insumos_a_comprar[[#This Row],[Stock mínimo]])&lt;0,"Si","No")</f>
        <v>No</v>
      </c>
      <c r="J190" s="67" t="str">
        <f ca="1">INDEX(Table12[Acción],MATCH(Insumos_a_comprar[[#This Row],[Planilla]],Table12[Planilla],0))</f>
        <v>Vigente</v>
      </c>
      <c r="K190" s="71">
        <v>0.5</v>
      </c>
      <c r="L19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0" s="65"/>
      <c r="N190" s="65"/>
      <c r="O190" s="65"/>
      <c r="P190" s="178"/>
      <c r="Q190" s="1"/>
      <c r="R190" s="1"/>
    </row>
    <row r="191" spans="1:18" x14ac:dyDescent="0.25">
      <c r="A191" s="10" t="s">
        <v>129</v>
      </c>
      <c r="B191" s="11" t="s">
        <v>398</v>
      </c>
      <c r="C191" s="61" t="str">
        <f>HYPERLINK("#'"&amp;Insumos_a_comprar[[#This Row],[Planilla]]&amp;"'!D1","Ir")</f>
        <v>Ir</v>
      </c>
      <c r="D191" s="11" t="s">
        <v>465</v>
      </c>
      <c r="E191" s="66" t="s">
        <v>854</v>
      </c>
      <c r="F191" s="67">
        <v>0.1</v>
      </c>
      <c r="G191" s="68" t="s">
        <v>399</v>
      </c>
      <c r="H191" s="72">
        <f ca="1">SUMIF(INDIRECT(SUBSTITUTE(B191," ","_")&amp;"[Insumo]"),Insumos_a_comprar[[#This Row],[Insumo]],INDIRECT(SUBSTITUTE(B191," ","_")&amp;"[Stock]"))</f>
        <v>1</v>
      </c>
      <c r="I191" s="69" t="str">
        <f ca="1">IF((Insumos_a_comprar[[#This Row],[Stock actual]]-Insumos_a_comprar[[#This Row],[Stock mínimo]])&lt;0,"Si","No")</f>
        <v>No</v>
      </c>
      <c r="J191" s="67" t="str">
        <f ca="1">INDEX(Table12[Acción],MATCH(Insumos_a_comprar[[#This Row],[Planilla]],Table12[Planilla],0))</f>
        <v>Vigente</v>
      </c>
      <c r="K191" s="71">
        <v>1</v>
      </c>
      <c r="L19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1" s="65"/>
      <c r="N191" s="65"/>
      <c r="O191" s="65"/>
      <c r="P191" s="178"/>
      <c r="Q191" s="1"/>
      <c r="R191" s="1"/>
    </row>
    <row r="192" spans="1:18" x14ac:dyDescent="0.25">
      <c r="A192" s="10" t="s">
        <v>24</v>
      </c>
      <c r="B192" s="11" t="s">
        <v>60</v>
      </c>
      <c r="C192" s="61" t="str">
        <f>HYPERLINK("#'"&amp;Insumos_a_comprar[[#This Row],[Planilla]]&amp;"'!D1","Ir")</f>
        <v>Ir</v>
      </c>
      <c r="D192" s="11" t="s">
        <v>463</v>
      </c>
      <c r="E192" s="66" t="s">
        <v>827</v>
      </c>
      <c r="F192" s="67">
        <v>20</v>
      </c>
      <c r="G192" s="68" t="s">
        <v>7</v>
      </c>
      <c r="H192" s="66">
        <f ca="1">SUMIF(INDIRECT(SUBSTITUTE(B192," ","_")&amp;"[Insumo]"),Insumos_a_comprar[[#This Row],[Insumo]],INDIRECT(SUBSTITUTE(B192," ","_")&amp;"[Stock]"))</f>
        <v>70</v>
      </c>
      <c r="I192" s="69" t="str">
        <f ca="1">IF((Insumos_a_comprar[[#This Row],[Stock actual]]-Insumos_a_comprar[[#This Row],[Stock mínimo]])&lt;0,"Si","No")</f>
        <v>No</v>
      </c>
      <c r="J192" s="67" t="str">
        <f ca="1">INDEX(Table12[Acción],MATCH(Insumos_a_comprar[[#This Row],[Planilla]],Table12[Planilla],0))</f>
        <v>Vigente</v>
      </c>
      <c r="K192" s="71">
        <v>250</v>
      </c>
      <c r="L19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2" s="65"/>
      <c r="N192" s="65"/>
      <c r="O192" s="65">
        <v>44369</v>
      </c>
      <c r="P192" s="178"/>
      <c r="Q192" s="1"/>
      <c r="R192" s="1"/>
    </row>
    <row r="193" spans="1:18" x14ac:dyDescent="0.25">
      <c r="A193" s="13" t="s">
        <v>217</v>
      </c>
      <c r="B193" s="11" t="s">
        <v>392</v>
      </c>
      <c r="C193" s="61" t="str">
        <f>HYPERLINK("#'"&amp;Insumos_a_comprar[[#This Row],[Planilla]]&amp;"'!D1","Ir")</f>
        <v>Ir</v>
      </c>
      <c r="D193" s="11" t="s">
        <v>463</v>
      </c>
      <c r="E193" s="66"/>
      <c r="F193" s="67">
        <v>10</v>
      </c>
      <c r="G193" s="68" t="s">
        <v>7</v>
      </c>
      <c r="H193" s="72">
        <f ca="1">SUMIF(INDIRECT(SUBSTITUTE(B193," ","_")&amp;"[Insumo]"),Insumos_a_comprar[[#This Row],[Insumo]],INDIRECT(SUBSTITUTE(B193," ","_")&amp;"[Stock]"))</f>
        <v>400</v>
      </c>
      <c r="I193" s="69" t="str">
        <f ca="1">IF((Insumos_a_comprar[[#This Row],[Stock actual]]-Insumos_a_comprar[[#This Row],[Stock mínimo]])&lt;0,"Si","No")</f>
        <v>No</v>
      </c>
      <c r="J193" s="67" t="str">
        <f ca="1">INDEX(Table12[Acción],MATCH(Insumos_a_comprar[[#This Row],[Planilla]],Table12[Planilla],0))</f>
        <v>Vencido</v>
      </c>
      <c r="K193" s="71">
        <v>250</v>
      </c>
      <c r="L19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3" s="65"/>
      <c r="N193" s="65"/>
      <c r="O193" s="65"/>
      <c r="P193" s="178"/>
      <c r="Q193" s="1"/>
      <c r="R193" s="1"/>
    </row>
    <row r="194" spans="1:18" x14ac:dyDescent="0.25">
      <c r="A194" s="22" t="s">
        <v>954</v>
      </c>
      <c r="B194" s="23" t="s">
        <v>63</v>
      </c>
      <c r="C194" s="193" t="str">
        <f>HYPERLINK("#'"&amp;Insumos_a_comprar[[#This Row],[Planilla]]&amp;"'!D1","Ir")</f>
        <v>Ir</v>
      </c>
      <c r="D194" s="23" t="s">
        <v>397</v>
      </c>
      <c r="E194" s="73"/>
      <c r="F194" s="74">
        <v>8</v>
      </c>
      <c r="G194" s="75" t="s">
        <v>65</v>
      </c>
      <c r="H194" s="76">
        <f ca="1">SUMIF(INDIRECT(SUBSTITUTE(B194," ","_")&amp;"[Insumo]"),Insumos_a_comprar[[#This Row],[Insumo]],INDIRECT(SUBSTITUTE(B194," ","_")&amp;"[Stock]"))</f>
        <v>17</v>
      </c>
      <c r="I194" s="194" t="str">
        <f ca="1">IF((Insumos_a_comprar[[#This Row],[Stock actual]]-Insumos_a_comprar[[#This Row],[Stock mínimo]])&lt;0,"Si","No")</f>
        <v>No</v>
      </c>
      <c r="J194" s="77" t="str">
        <f ca="1">INDEX(Table12[Acción],MATCH(Insumos_a_comprar[[#This Row],[Planilla]],Table12[Planilla],0))</f>
        <v>Constante</v>
      </c>
      <c r="K194" s="77">
        <v>10</v>
      </c>
      <c r="L19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4" s="206"/>
      <c r="N194" s="206"/>
      <c r="O194" s="206"/>
      <c r="P194" s="179"/>
      <c r="Q194" s="1"/>
      <c r="R194" s="1"/>
    </row>
    <row r="195" spans="1:18" x14ac:dyDescent="0.25">
      <c r="A195" s="22" t="s">
        <v>956</v>
      </c>
      <c r="B195" s="23" t="s">
        <v>63</v>
      </c>
      <c r="C195" s="193" t="str">
        <f>HYPERLINK("#'"&amp;Insumos_a_comprar[[#This Row],[Planilla]]&amp;"'!D1","Ir")</f>
        <v>Ir</v>
      </c>
      <c r="D195" s="23" t="s">
        <v>397</v>
      </c>
      <c r="E195" s="73"/>
      <c r="F195" s="74">
        <v>4</v>
      </c>
      <c r="G195" s="75" t="s">
        <v>65</v>
      </c>
      <c r="H195" s="76">
        <f ca="1">SUMIF(INDIRECT(SUBSTITUTE(B195," ","_")&amp;"[Insumo]"),Insumos_a_comprar[[#This Row],[Insumo]],INDIRECT(SUBSTITUTE(B195," ","_")&amp;"[Stock]"))</f>
        <v>5</v>
      </c>
      <c r="I195" s="194" t="str">
        <f ca="1">IF((Insumos_a_comprar[[#This Row],[Stock actual]]-Insumos_a_comprar[[#This Row],[Stock mínimo]])&lt;0,"Si","No")</f>
        <v>No</v>
      </c>
      <c r="J195" s="77" t="str">
        <f ca="1">INDEX(Table12[Acción],MATCH(Insumos_a_comprar[[#This Row],[Planilla]],Table12[Planilla],0))</f>
        <v>Constante</v>
      </c>
      <c r="K195" s="77">
        <v>10</v>
      </c>
      <c r="L19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5" s="206"/>
      <c r="N195" s="206"/>
      <c r="O195" s="206"/>
      <c r="P195" s="179"/>
      <c r="Q195" s="1"/>
      <c r="R195" s="1"/>
    </row>
    <row r="196" spans="1:18" x14ac:dyDescent="0.25">
      <c r="A196" s="22" t="s">
        <v>955</v>
      </c>
      <c r="B196" s="23" t="s">
        <v>63</v>
      </c>
      <c r="C196" s="193" t="str">
        <f>HYPERLINK("#'"&amp;Insumos_a_comprar[[#This Row],[Planilla]]&amp;"'!D1","Ir")</f>
        <v>Ir</v>
      </c>
      <c r="D196" s="23" t="s">
        <v>397</v>
      </c>
      <c r="E196" s="73"/>
      <c r="F196" s="74">
        <v>10</v>
      </c>
      <c r="G196" s="75" t="s">
        <v>65</v>
      </c>
      <c r="H196" s="76">
        <f ca="1">SUMIF(INDIRECT(SUBSTITUTE(B196," ","_")&amp;"[Insumo]"),Insumos_a_comprar[[#This Row],[Insumo]],INDIRECT(SUBSTITUTE(B196," ","_")&amp;"[Stock]"))</f>
        <v>21</v>
      </c>
      <c r="I196" s="194" t="str">
        <f ca="1">IF((Insumos_a_comprar[[#This Row],[Stock actual]]-Insumos_a_comprar[[#This Row],[Stock mínimo]])&lt;0,"Si","No")</f>
        <v>No</v>
      </c>
      <c r="J196" s="77" t="str">
        <f ca="1">INDEX(Table12[Acción],MATCH(Insumos_a_comprar[[#This Row],[Planilla]],Table12[Planilla],0))</f>
        <v>Constante</v>
      </c>
      <c r="K196" s="77"/>
      <c r="L19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6" s="206"/>
      <c r="N196" s="206"/>
      <c r="O196" s="206">
        <v>44277</v>
      </c>
      <c r="P196" s="179"/>
      <c r="Q196" s="1"/>
      <c r="R196" s="1"/>
    </row>
    <row r="197" spans="1:18" x14ac:dyDescent="0.25">
      <c r="A197" s="22" t="s">
        <v>957</v>
      </c>
      <c r="B197" s="23" t="s">
        <v>63</v>
      </c>
      <c r="C197" s="193" t="str">
        <f>HYPERLINK("#'"&amp;Insumos_a_comprar[[#This Row],[Planilla]]&amp;"'!D1","Ir")</f>
        <v>Ir</v>
      </c>
      <c r="D197" s="23" t="s">
        <v>397</v>
      </c>
      <c r="E197" s="73"/>
      <c r="F197" s="74">
        <v>1</v>
      </c>
      <c r="G197" s="75" t="s">
        <v>65</v>
      </c>
      <c r="H197" s="76">
        <f ca="1">SUMIF(INDIRECT(SUBSTITUTE(B197," ","_")&amp;"[Insumo]"),Insumos_a_comprar[[#This Row],[Insumo]],INDIRECT(SUBSTITUTE(B197," ","_")&amp;"[Stock]"))</f>
        <v>1</v>
      </c>
      <c r="I197" s="194" t="str">
        <f ca="1">IF((Insumos_a_comprar[[#This Row],[Stock actual]]-Insumos_a_comprar[[#This Row],[Stock mínimo]])&lt;0,"Si","No")</f>
        <v>No</v>
      </c>
      <c r="J197" s="77" t="str">
        <f ca="1">INDEX(Table12[Acción],MATCH(Insumos_a_comprar[[#This Row],[Planilla]],Table12[Planilla],0))</f>
        <v>Constante</v>
      </c>
      <c r="K197" s="77">
        <v>1</v>
      </c>
      <c r="L19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7" s="206"/>
      <c r="N197" s="206"/>
      <c r="O197" s="206">
        <v>44273</v>
      </c>
      <c r="P197" s="179"/>
      <c r="Q197" s="1"/>
      <c r="R197" s="1"/>
    </row>
    <row r="198" spans="1:18" x14ac:dyDescent="0.25">
      <c r="A198" s="22" t="s">
        <v>959</v>
      </c>
      <c r="B198" s="23" t="s">
        <v>63</v>
      </c>
      <c r="C198" s="193" t="str">
        <f>HYPERLINK("#'"&amp;Insumos_a_comprar[[#This Row],[Planilla]]&amp;"'!D1","Ir")</f>
        <v>Ir</v>
      </c>
      <c r="D198" s="23" t="s">
        <v>397</v>
      </c>
      <c r="E198" s="73"/>
      <c r="F198" s="74">
        <v>1</v>
      </c>
      <c r="G198" s="75" t="s">
        <v>65</v>
      </c>
      <c r="H198" s="76">
        <f ca="1">SUMIF(INDIRECT(SUBSTITUTE(B198," ","_")&amp;"[Insumo]"),Insumos_a_comprar[[#This Row],[Insumo]],INDIRECT(SUBSTITUTE(B198," ","_")&amp;"[Stock]"))</f>
        <v>1</v>
      </c>
      <c r="I198" s="194" t="str">
        <f ca="1">IF((Insumos_a_comprar[[#This Row],[Stock actual]]-Insumos_a_comprar[[#This Row],[Stock mínimo]])&lt;0,"Si","No")</f>
        <v>No</v>
      </c>
      <c r="J198" s="77" t="str">
        <f ca="1">INDEX(Table12[Acción],MATCH(Insumos_a_comprar[[#This Row],[Planilla]],Table12[Planilla],0))</f>
        <v>Constante</v>
      </c>
      <c r="K198" s="77"/>
      <c r="L19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8" s="206"/>
      <c r="N198" s="206"/>
      <c r="O198" s="206"/>
      <c r="P198" s="179"/>
      <c r="Q198" s="1"/>
      <c r="R198" s="1"/>
    </row>
    <row r="199" spans="1:18" x14ac:dyDescent="0.25">
      <c r="A199" s="22" t="s">
        <v>958</v>
      </c>
      <c r="B199" s="23" t="s">
        <v>63</v>
      </c>
      <c r="C199" s="193" t="str">
        <f>HYPERLINK("#'"&amp;Insumos_a_comprar[[#This Row],[Planilla]]&amp;"'!D1","Ir")</f>
        <v>Ir</v>
      </c>
      <c r="D199" s="23" t="s">
        <v>397</v>
      </c>
      <c r="E199" s="73"/>
      <c r="F199" s="74">
        <v>1</v>
      </c>
      <c r="G199" s="75" t="s">
        <v>65</v>
      </c>
      <c r="H199" s="76">
        <f ca="1">SUMIF(INDIRECT(SUBSTITUTE(B199," ","_")&amp;"[Insumo]"),Insumos_a_comprar[[#This Row],[Insumo]],INDIRECT(SUBSTITUTE(B199," ","_")&amp;"[Stock]"))</f>
        <v>1</v>
      </c>
      <c r="I199" s="194" t="str">
        <f ca="1">IF((Insumos_a_comprar[[#This Row],[Stock actual]]-Insumos_a_comprar[[#This Row],[Stock mínimo]])&lt;0,"Si","No")</f>
        <v>No</v>
      </c>
      <c r="J199" s="77" t="str">
        <f ca="1">INDEX(Table12[Acción],MATCH(Insumos_a_comprar[[#This Row],[Planilla]],Table12[Planilla],0))</f>
        <v>Constante</v>
      </c>
      <c r="K199" s="77"/>
      <c r="L19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199" s="206"/>
      <c r="N199" s="206"/>
      <c r="O199" s="206"/>
      <c r="P199" s="179"/>
      <c r="Q199" s="1"/>
      <c r="R199" s="1"/>
    </row>
    <row r="200" spans="1:18" x14ac:dyDescent="0.25">
      <c r="A200" s="22" t="s">
        <v>960</v>
      </c>
      <c r="B200" s="23" t="s">
        <v>63</v>
      </c>
      <c r="C200" s="193" t="str">
        <f>HYPERLINK("#'"&amp;Insumos_a_comprar[[#This Row],[Planilla]]&amp;"'!D1","Ir")</f>
        <v>Ir</v>
      </c>
      <c r="D200" s="23" t="s">
        <v>397</v>
      </c>
      <c r="E200" s="73"/>
      <c r="F200" s="74">
        <v>1</v>
      </c>
      <c r="G200" s="75" t="s">
        <v>65</v>
      </c>
      <c r="H200" s="76">
        <f ca="1">SUMIF(INDIRECT(SUBSTITUTE(B200," ","_")&amp;"[Insumo]"),Insumos_a_comprar[[#This Row],[Insumo]],INDIRECT(SUBSTITUTE(B200," ","_")&amp;"[Stock]"))</f>
        <v>1</v>
      </c>
      <c r="I200" s="194" t="str">
        <f ca="1">IF((Insumos_a_comprar[[#This Row],[Stock actual]]-Insumos_a_comprar[[#This Row],[Stock mínimo]])&lt;0,"Si","No")</f>
        <v>No</v>
      </c>
      <c r="J200" s="77" t="str">
        <f ca="1">INDEX(Table12[Acción],MATCH(Insumos_a_comprar[[#This Row],[Planilla]],Table12[Planilla],0))</f>
        <v>Constante</v>
      </c>
      <c r="K200" s="77"/>
      <c r="L20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0" s="206"/>
      <c r="N200" s="206"/>
      <c r="O200" s="206"/>
      <c r="P200" s="179"/>
      <c r="Q200" s="1"/>
      <c r="R200" s="1"/>
    </row>
    <row r="201" spans="1:18" x14ac:dyDescent="0.25">
      <c r="A201" s="22" t="s">
        <v>600</v>
      </c>
      <c r="B201" s="23" t="s">
        <v>597</v>
      </c>
      <c r="C201" s="61" t="str">
        <f>HYPERLINK("#'"&amp;Insumos_a_comprar[[#This Row],[Planilla]]&amp;"'!D1","Ir")</f>
        <v>Ir</v>
      </c>
      <c r="D201" s="11" t="s">
        <v>397</v>
      </c>
      <c r="E201" s="73" t="s">
        <v>397</v>
      </c>
      <c r="F201" s="74">
        <v>10</v>
      </c>
      <c r="G201" s="75" t="s">
        <v>65</v>
      </c>
      <c r="H201" s="76">
        <f ca="1">SUMIF(INDIRECT(SUBSTITUTE(B201," ","_")&amp;"[Insumo]"),Insumos_a_comprar[[#This Row],[Insumo]],INDIRECT(SUBSTITUTE(B201," ","_")&amp;"[Stock]"))</f>
        <v>7</v>
      </c>
      <c r="I201" s="69" t="str">
        <f ca="1">IF((Insumos_a_comprar[[#This Row],[Stock actual]]-Insumos_a_comprar[[#This Row],[Stock mínimo]])&lt;0,"Si","No")</f>
        <v>Si</v>
      </c>
      <c r="J201" s="77" t="str">
        <f ca="1">INDEX(Table12[Acción],MATCH(Insumos_a_comprar[[#This Row],[Planilla]],Table12[Planilla],0))</f>
        <v>Vencido</v>
      </c>
      <c r="K201" s="77">
        <v>10</v>
      </c>
      <c r="L20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01" s="206">
        <v>44245</v>
      </c>
      <c r="N201" s="206"/>
      <c r="O201" s="206"/>
      <c r="P201" s="179"/>
      <c r="Q201" s="1"/>
      <c r="R201" s="1"/>
    </row>
    <row r="202" spans="1:18" x14ac:dyDescent="0.25">
      <c r="A202" s="22" t="s">
        <v>601</v>
      </c>
      <c r="B202" s="23" t="s">
        <v>597</v>
      </c>
      <c r="C202" s="61" t="str">
        <f>HYPERLINK("#'"&amp;Insumos_a_comprar[[#This Row],[Planilla]]&amp;"'!D1","Ir")</f>
        <v>Ir</v>
      </c>
      <c r="D202" s="11" t="s">
        <v>397</v>
      </c>
      <c r="E202" s="73" t="s">
        <v>397</v>
      </c>
      <c r="F202" s="74">
        <v>5</v>
      </c>
      <c r="G202" s="75" t="s">
        <v>65</v>
      </c>
      <c r="H202" s="76">
        <f ca="1">SUMIF(INDIRECT(SUBSTITUTE(B202," ","_")&amp;"[Insumo]"),Insumos_a_comprar[[#This Row],[Insumo]],INDIRECT(SUBSTITUTE(B202," ","_")&amp;"[Stock]"))</f>
        <v>3</v>
      </c>
      <c r="I202" s="69" t="str">
        <f ca="1">IF((Insumos_a_comprar[[#This Row],[Stock actual]]-Insumos_a_comprar[[#This Row],[Stock mínimo]])&lt;0,"Si","No")</f>
        <v>Si</v>
      </c>
      <c r="J202" s="77" t="str">
        <f ca="1">INDEX(Table12[Acción],MATCH(Insumos_a_comprar[[#This Row],[Planilla]],Table12[Planilla],0))</f>
        <v>Vencido</v>
      </c>
      <c r="K202" s="77">
        <v>5</v>
      </c>
      <c r="L20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02" s="367">
        <v>44245</v>
      </c>
      <c r="N202" s="367"/>
      <c r="O202" s="367"/>
      <c r="P202" s="179"/>
      <c r="Q202" s="1"/>
      <c r="R202" s="1"/>
    </row>
    <row r="203" spans="1:18" x14ac:dyDescent="0.25">
      <c r="A203" s="22" t="s">
        <v>660</v>
      </c>
      <c r="B203" s="23" t="s">
        <v>597</v>
      </c>
      <c r="C203" s="61" t="str">
        <f>HYPERLINK("#'"&amp;Insumos_a_comprar[[#This Row],[Planilla]]&amp;"'!D1","Ir")</f>
        <v>Ir</v>
      </c>
      <c r="D203" s="11" t="s">
        <v>397</v>
      </c>
      <c r="E203" s="73" t="s">
        <v>397</v>
      </c>
      <c r="F203" s="74">
        <v>10</v>
      </c>
      <c r="G203" s="75" t="s">
        <v>65</v>
      </c>
      <c r="H203" s="76">
        <f ca="1">SUMIF(INDIRECT(SUBSTITUTE(B203," ","_")&amp;"[Insumo]"),Insumos_a_comprar[[#This Row],[Insumo]],INDIRECT(SUBSTITUTE(B203," ","_")&amp;"[Stock]"))</f>
        <v>48</v>
      </c>
      <c r="I203" s="69" t="str">
        <f ca="1">IF((Insumos_a_comprar[[#This Row],[Stock actual]]-Insumos_a_comprar[[#This Row],[Stock mínimo]])&lt;0,"Si","No")</f>
        <v>No</v>
      </c>
      <c r="J203" s="77" t="str">
        <f ca="1">INDEX(Table12[Acción],MATCH(Insumos_a_comprar[[#This Row],[Planilla]],Table12[Planilla],0))</f>
        <v>Vencido</v>
      </c>
      <c r="K203" s="77">
        <v>100</v>
      </c>
      <c r="L20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3" s="367"/>
      <c r="N203" s="367"/>
      <c r="O203" s="367"/>
      <c r="P203" s="179"/>
      <c r="Q203" s="1"/>
      <c r="R203" s="1"/>
    </row>
    <row r="204" spans="1:18" x14ac:dyDescent="0.25">
      <c r="A204" s="10" t="s">
        <v>179</v>
      </c>
      <c r="B204" s="11" t="s">
        <v>400</v>
      </c>
      <c r="C204" s="61" t="str">
        <f>HYPERLINK("#'"&amp;Insumos_a_comprar[[#This Row],[Planilla]]&amp;"'!D1","Ir")</f>
        <v>Ir</v>
      </c>
      <c r="D204" s="11" t="s">
        <v>397</v>
      </c>
      <c r="E204" s="66" t="s">
        <v>828</v>
      </c>
      <c r="F204" s="67">
        <v>250</v>
      </c>
      <c r="G204" s="68" t="s">
        <v>149</v>
      </c>
      <c r="H204" s="72">
        <f ca="1">SUMIF(INDIRECT(SUBSTITUTE(B204," ","_")&amp;"[Insumo]"),Insumos_a_comprar[[#This Row],[Insumo]],INDIRECT(SUBSTITUTE(B204," ","_")&amp;"[Stock]"))</f>
        <v>450</v>
      </c>
      <c r="I204" s="69" t="str">
        <f ca="1">IF((Insumos_a_comprar[[#This Row],[Stock actual]]-Insumos_a_comprar[[#This Row],[Stock mínimo]])&lt;0,"Si","No")</f>
        <v>No</v>
      </c>
      <c r="J204" s="67" t="str">
        <f ca="1">INDEX(Table12[Acción],MATCH(Insumos_a_comprar[[#This Row],[Planilla]],Table12[Planilla],0))</f>
        <v>Vencido</v>
      </c>
      <c r="K204" s="71"/>
      <c r="L20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4" s="65"/>
      <c r="N204" s="65"/>
      <c r="O204" s="65">
        <v>44222</v>
      </c>
      <c r="P204" s="178"/>
      <c r="Q204" s="1"/>
      <c r="R204" s="1"/>
    </row>
    <row r="205" spans="1:18" x14ac:dyDescent="0.25">
      <c r="A205" s="10" t="s">
        <v>196</v>
      </c>
      <c r="B205" s="11" t="s">
        <v>398</v>
      </c>
      <c r="C205" s="61" t="str">
        <f>HYPERLINK("#'"&amp;Insumos_a_comprar[[#This Row],[Planilla]]&amp;"'!D1","Ir")</f>
        <v>Ir</v>
      </c>
      <c r="D205" s="11" t="s">
        <v>464</v>
      </c>
      <c r="E205" s="66" t="s">
        <v>803</v>
      </c>
      <c r="F205" s="67">
        <v>0.5</v>
      </c>
      <c r="G205" s="68" t="s">
        <v>399</v>
      </c>
      <c r="H205" s="72">
        <f ca="1">SUMIF(INDIRECT(SUBSTITUTE(B205," ","_")&amp;"[Insumo]"),Insumos_a_comprar[[#This Row],[Insumo]],INDIRECT(SUBSTITUTE(B205," ","_")&amp;"[Stock]"))</f>
        <v>1.6</v>
      </c>
      <c r="I205" s="69" t="str">
        <f ca="1">IF((Insumos_a_comprar[[#This Row],[Stock actual]]-Insumos_a_comprar[[#This Row],[Stock mínimo]])&lt;0,"Si","No")</f>
        <v>No</v>
      </c>
      <c r="J205" s="67" t="str">
        <f ca="1">INDEX(Table12[Acción],MATCH(Insumos_a_comprar[[#This Row],[Planilla]],Table12[Planilla],0))</f>
        <v>Vigente</v>
      </c>
      <c r="K205" s="71">
        <v>1</v>
      </c>
      <c r="L20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5" s="65"/>
      <c r="N205" s="65"/>
      <c r="O205" s="65"/>
      <c r="P205" s="178" t="s">
        <v>829</v>
      </c>
      <c r="Q205" s="1"/>
      <c r="R205" s="1"/>
    </row>
    <row r="206" spans="1:18" x14ac:dyDescent="0.25">
      <c r="A206" s="10" t="s">
        <v>166</v>
      </c>
      <c r="B206" s="11" t="s">
        <v>400</v>
      </c>
      <c r="C206" s="61" t="str">
        <f>HYPERLINK("#'"&amp;Insumos_a_comprar[[#This Row],[Planilla]]&amp;"'!D1","Ir")</f>
        <v>Ir</v>
      </c>
      <c r="D206" s="11" t="s">
        <v>397</v>
      </c>
      <c r="E206" s="66" t="s">
        <v>830</v>
      </c>
      <c r="F206" s="67">
        <v>100</v>
      </c>
      <c r="G206" s="68" t="s">
        <v>152</v>
      </c>
      <c r="H206" s="72">
        <f ca="1">SUMIF(INDIRECT(SUBSTITUTE(B206," ","_")&amp;"[Insumo]"),Insumos_a_comprar[[#This Row],[Insumo]],INDIRECT(SUBSTITUTE(B206," ","_")&amp;"[Stock]"))</f>
        <v>116</v>
      </c>
      <c r="I206" s="69" t="str">
        <f ca="1">IF((Insumos_a_comprar[[#This Row],[Stock actual]]-Insumos_a_comprar[[#This Row],[Stock mínimo]])&lt;0,"Si","No")</f>
        <v>No</v>
      </c>
      <c r="J206" s="67" t="str">
        <f ca="1">INDEX(Table12[Acción],MATCH(Insumos_a_comprar[[#This Row],[Planilla]],Table12[Planilla],0))</f>
        <v>Vencido</v>
      </c>
      <c r="K206" s="71"/>
      <c r="L20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6" s="65"/>
      <c r="N206" s="65"/>
      <c r="O206" s="65">
        <v>44153</v>
      </c>
      <c r="P206" s="178"/>
      <c r="Q206" s="1"/>
      <c r="R206" s="1"/>
    </row>
    <row r="207" spans="1:18" x14ac:dyDescent="0.25">
      <c r="A207" s="22" t="s">
        <v>708</v>
      </c>
      <c r="B207" s="23" t="s">
        <v>739</v>
      </c>
      <c r="C207" s="61" t="str">
        <f>HYPERLINK("#'"&amp;Insumos_a_comprar[[#This Row],[Planilla]]&amp;"'!D1","Ir")</f>
        <v>Ir</v>
      </c>
      <c r="D207" s="11" t="s">
        <v>397</v>
      </c>
      <c r="E207" s="73" t="s">
        <v>397</v>
      </c>
      <c r="F207" s="74">
        <v>10</v>
      </c>
      <c r="G207" s="75" t="s">
        <v>152</v>
      </c>
      <c r="H207" s="76">
        <f ca="1">SUMIF(INDIRECT(SUBSTITUTE(B207," ","_")&amp;"[Insumo]"),Insumos_a_comprar[[#This Row],[Insumo]],INDIRECT(SUBSTITUTE(B207," ","_")&amp;"[Stock]"))</f>
        <v>11</v>
      </c>
      <c r="I207" s="69" t="str">
        <f ca="1">IF((Insumos_a_comprar[[#This Row],[Stock actual]]-Insumos_a_comprar[[#This Row],[Stock mínimo]])&lt;0,"Si","No")</f>
        <v>No</v>
      </c>
      <c r="J207" s="77" t="str">
        <f ca="1">INDEX(Table12[Acción],MATCH(Insumos_a_comprar[[#This Row],[Planilla]],Table12[Planilla],0))</f>
        <v>Vencido</v>
      </c>
      <c r="K207" s="77">
        <v>10</v>
      </c>
      <c r="L20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7" s="367"/>
      <c r="N207" s="367"/>
      <c r="O207" s="367"/>
      <c r="P207" s="179"/>
      <c r="Q207" s="1"/>
      <c r="R207" s="1"/>
    </row>
    <row r="208" spans="1:18" x14ac:dyDescent="0.25">
      <c r="A208" s="10" t="s">
        <v>682</v>
      </c>
      <c r="B208" s="11" t="s">
        <v>398</v>
      </c>
      <c r="C208" s="61" t="str">
        <f>HYPERLINK("#'"&amp;Insumos_a_comprar[[#This Row],[Planilla]]&amp;"'!D1","Ir")</f>
        <v>Ir</v>
      </c>
      <c r="D208" s="11" t="s">
        <v>463</v>
      </c>
      <c r="E208" s="66"/>
      <c r="F208" s="67">
        <v>0.5</v>
      </c>
      <c r="G208" s="68" t="s">
        <v>399</v>
      </c>
      <c r="H208" s="72">
        <f ca="1">SUMIF(INDIRECT(SUBSTITUTE(B208," ","_")&amp;"[Insumo]"),Insumos_a_comprar[[#This Row],[Insumo]],INDIRECT(SUBSTITUTE(B208," ","_")&amp;"[Stock]"))</f>
        <v>0.6</v>
      </c>
      <c r="I208" s="69" t="str">
        <f ca="1">IF((Insumos_a_comprar[[#This Row],[Stock actual]]-Insumos_a_comprar[[#This Row],[Stock mínimo]])&lt;0,"Si","No")</f>
        <v>No</v>
      </c>
      <c r="J208" s="67" t="str">
        <f ca="1">INDEX(Table12[Acción],MATCH(Insumos_a_comprar[[#This Row],[Planilla]],Table12[Planilla],0))</f>
        <v>Vigente</v>
      </c>
      <c r="K208" s="71">
        <v>1</v>
      </c>
      <c r="L20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8" s="65"/>
      <c r="N208" s="65"/>
      <c r="O208" s="65"/>
      <c r="P208" s="178"/>
      <c r="Q208" s="1"/>
      <c r="R208" s="1"/>
    </row>
    <row r="209" spans="1:18" x14ac:dyDescent="0.25">
      <c r="A209" s="13" t="s">
        <v>677</v>
      </c>
      <c r="B209" s="11" t="s">
        <v>392</v>
      </c>
      <c r="C209" s="61" t="str">
        <f>HYPERLINK("#'"&amp;Insumos_a_comprar[[#This Row],[Planilla]]&amp;"'!D1","Ir")</f>
        <v>Ir</v>
      </c>
      <c r="D209" s="11" t="s">
        <v>463</v>
      </c>
      <c r="E209" s="66"/>
      <c r="F209" s="67">
        <v>10</v>
      </c>
      <c r="G209" s="68" t="s">
        <v>7</v>
      </c>
      <c r="H209" s="72">
        <f ca="1">SUMIF(INDIRECT(SUBSTITUTE(B209," ","_")&amp;"[Insumo]"),Insumos_a_comprar[[#This Row],[Insumo]],INDIRECT(SUBSTITUTE(B209," ","_")&amp;"[Stock]"))</f>
        <v>450</v>
      </c>
      <c r="I209" s="69" t="str">
        <f ca="1">IF((Insumos_a_comprar[[#This Row],[Stock actual]]-Insumos_a_comprar[[#This Row],[Stock mínimo]])&lt;0,"Si","No")</f>
        <v>No</v>
      </c>
      <c r="J209" s="67" t="str">
        <f ca="1">INDEX(Table12[Acción],MATCH(Insumos_a_comprar[[#This Row],[Planilla]],Table12[Planilla],0))</f>
        <v>Vencido</v>
      </c>
      <c r="K209" s="71">
        <v>250</v>
      </c>
      <c r="L20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09" s="65"/>
      <c r="N209" s="65"/>
      <c r="O209" s="65"/>
      <c r="P209" s="178"/>
      <c r="Q209" s="1"/>
      <c r="R209" s="1"/>
    </row>
    <row r="210" spans="1:18" x14ac:dyDescent="0.25">
      <c r="A210" s="22" t="s">
        <v>648</v>
      </c>
      <c r="B210" s="23" t="s">
        <v>597</v>
      </c>
      <c r="C210" s="61" t="str">
        <f>HYPERLINK("#'"&amp;Insumos_a_comprar[[#This Row],[Planilla]]&amp;"'!D1","Ir")</f>
        <v>Ir</v>
      </c>
      <c r="D210" s="11" t="s">
        <v>397</v>
      </c>
      <c r="E210" s="73" t="s">
        <v>397</v>
      </c>
      <c r="F210" s="74">
        <v>50</v>
      </c>
      <c r="G210" s="75" t="s">
        <v>7</v>
      </c>
      <c r="H210" s="76">
        <f ca="1">SUMIF(INDIRECT(SUBSTITUTE(B210," ","_")&amp;"[Insumo]"),Insumos_a_comprar[[#This Row],[Insumo]],INDIRECT(SUBSTITUTE(B210," ","_")&amp;"[Stock]"))</f>
        <v>170</v>
      </c>
      <c r="I210" s="69" t="str">
        <f ca="1">IF((Insumos_a_comprar[[#This Row],[Stock actual]]-Insumos_a_comprar[[#This Row],[Stock mínimo]])&lt;0,"Si","No")</f>
        <v>No</v>
      </c>
      <c r="J210" s="77" t="str">
        <f ca="1">INDEX(Table12[Acción],MATCH(Insumos_a_comprar[[#This Row],[Planilla]],Table12[Planilla],0))</f>
        <v>Vencido</v>
      </c>
      <c r="K210" s="77">
        <v>200</v>
      </c>
      <c r="L21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10" s="206"/>
      <c r="N210" s="206"/>
      <c r="O210" s="206"/>
      <c r="P210" s="179"/>
      <c r="Q210" s="1"/>
      <c r="R210" s="1"/>
    </row>
    <row r="211" spans="1:18" x14ac:dyDescent="0.25">
      <c r="A211" s="22" t="s">
        <v>645</v>
      </c>
      <c r="B211" s="23" t="s">
        <v>597</v>
      </c>
      <c r="C211" s="61" t="str">
        <f>HYPERLINK("#'"&amp;Insumos_a_comprar[[#This Row],[Planilla]]&amp;"'!D1","Ir")</f>
        <v>Ir</v>
      </c>
      <c r="D211" s="11" t="s">
        <v>397</v>
      </c>
      <c r="E211" s="73" t="s">
        <v>397</v>
      </c>
      <c r="F211" s="74">
        <v>50</v>
      </c>
      <c r="G211" s="75" t="s">
        <v>65</v>
      </c>
      <c r="H211" s="76">
        <f ca="1">SUMIF(INDIRECT(SUBSTITUTE(B211," ","_")&amp;"[Insumo]"),Insumos_a_comprar[[#This Row],[Insumo]],INDIRECT(SUBSTITUTE(B211," ","_")&amp;"[Stock]"))</f>
        <v>0</v>
      </c>
      <c r="I211" s="69" t="str">
        <f ca="1">IF((Insumos_a_comprar[[#This Row],[Stock actual]]-Insumos_a_comprar[[#This Row],[Stock mínimo]])&lt;0,"Si","No")</f>
        <v>Si</v>
      </c>
      <c r="J211" s="77" t="str">
        <f ca="1">INDEX(Table12[Acción],MATCH(Insumos_a_comprar[[#This Row],[Planilla]],Table12[Planilla],0))</f>
        <v>Vencido</v>
      </c>
      <c r="K211" s="77">
        <v>200</v>
      </c>
      <c r="L21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11" s="206">
        <v>44245</v>
      </c>
      <c r="N211" s="206"/>
      <c r="O211" s="206"/>
      <c r="P211" s="179" t="s">
        <v>1065</v>
      </c>
      <c r="Q211" s="1"/>
      <c r="R211" s="1"/>
    </row>
    <row r="212" spans="1:18" x14ac:dyDescent="0.25">
      <c r="A212" s="22" t="s">
        <v>644</v>
      </c>
      <c r="B212" s="23" t="s">
        <v>597</v>
      </c>
      <c r="C212" s="61" t="str">
        <f>HYPERLINK("#'"&amp;Insumos_a_comprar[[#This Row],[Planilla]]&amp;"'!D1","Ir")</f>
        <v>Ir</v>
      </c>
      <c r="D212" s="11" t="s">
        <v>397</v>
      </c>
      <c r="E212" s="73" t="s">
        <v>397</v>
      </c>
      <c r="F212" s="74">
        <v>300</v>
      </c>
      <c r="G212" s="75" t="s">
        <v>65</v>
      </c>
      <c r="H212" s="76">
        <f ca="1">SUMIF(INDIRECT(SUBSTITUTE(B212," ","_")&amp;"[Insumo]"),Insumos_a_comprar[[#This Row],[Insumo]],INDIRECT(SUBSTITUTE(B212," ","_")&amp;"[Stock]"))</f>
        <v>0</v>
      </c>
      <c r="I212" s="69" t="str">
        <f ca="1">IF((Insumos_a_comprar[[#This Row],[Stock actual]]-Insumos_a_comprar[[#This Row],[Stock mínimo]])&lt;0,"Si","No")</f>
        <v>Si</v>
      </c>
      <c r="J212" s="77" t="str">
        <f ca="1">INDEX(Table12[Acción],MATCH(Insumos_a_comprar[[#This Row],[Planilla]],Table12[Planilla],0))</f>
        <v>Vencido</v>
      </c>
      <c r="K212" s="77">
        <v>500</v>
      </c>
      <c r="L21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12" s="206">
        <v>44245</v>
      </c>
      <c r="N212" s="206"/>
      <c r="O212" s="206">
        <v>44154</v>
      </c>
      <c r="P212" s="179"/>
      <c r="Q212" s="1"/>
      <c r="R212" s="1"/>
    </row>
    <row r="213" spans="1:18" x14ac:dyDescent="0.25">
      <c r="A213" s="22" t="s">
        <v>643</v>
      </c>
      <c r="B213" s="23" t="s">
        <v>597</v>
      </c>
      <c r="C213" s="61" t="str">
        <f>HYPERLINK("#'"&amp;Insumos_a_comprar[[#This Row],[Planilla]]&amp;"'!D1","Ir")</f>
        <v>Ir</v>
      </c>
      <c r="D213" s="11" t="s">
        <v>397</v>
      </c>
      <c r="E213" s="73" t="s">
        <v>397</v>
      </c>
      <c r="F213" s="74">
        <v>300</v>
      </c>
      <c r="G213" s="75" t="s">
        <v>65</v>
      </c>
      <c r="H213" s="76">
        <f ca="1">SUMIF(INDIRECT(SUBSTITUTE(B213," ","_")&amp;"[Insumo]"),Insumos_a_comprar[[#This Row],[Insumo]],INDIRECT(SUBSTITUTE(B213," ","_")&amp;"[Stock]"))</f>
        <v>350</v>
      </c>
      <c r="I213" s="69" t="str">
        <f ca="1">IF((Insumos_a_comprar[[#This Row],[Stock actual]]-Insumos_a_comprar[[#This Row],[Stock mínimo]])&lt;0,"Si","No")</f>
        <v>No</v>
      </c>
      <c r="J213" s="77" t="str">
        <f ca="1">INDEX(Table12[Acción],MATCH(Insumos_a_comprar[[#This Row],[Planilla]],Table12[Planilla],0))</f>
        <v>Vencido</v>
      </c>
      <c r="K213" s="77">
        <v>500</v>
      </c>
      <c r="L21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13" s="206"/>
      <c r="N213" s="206"/>
      <c r="O213" s="206">
        <v>44276</v>
      </c>
      <c r="P213" s="179"/>
      <c r="Q213" s="1"/>
      <c r="R213" s="1"/>
    </row>
    <row r="214" spans="1:18" x14ac:dyDescent="0.25">
      <c r="A214" s="22" t="s">
        <v>642</v>
      </c>
      <c r="B214" s="23" t="s">
        <v>597</v>
      </c>
      <c r="C214" s="61" t="str">
        <f>HYPERLINK("#'"&amp;Insumos_a_comprar[[#This Row],[Planilla]]&amp;"'!D1","Ir")</f>
        <v>Ir</v>
      </c>
      <c r="D214" s="11" t="s">
        <v>397</v>
      </c>
      <c r="E214" s="73" t="s">
        <v>397</v>
      </c>
      <c r="F214" s="74">
        <v>300</v>
      </c>
      <c r="G214" s="75" t="s">
        <v>65</v>
      </c>
      <c r="H214" s="76">
        <f ca="1">SUMIF(INDIRECT(SUBSTITUTE(B214," ","_")&amp;"[Insumo]"),Insumos_a_comprar[[#This Row],[Insumo]],INDIRECT(SUBSTITUTE(B214," ","_")&amp;"[Stock]"))</f>
        <v>0</v>
      </c>
      <c r="I214" s="69" t="str">
        <f ca="1">IF((Insumos_a_comprar[[#This Row],[Stock actual]]-Insumos_a_comprar[[#This Row],[Stock mínimo]])&lt;0,"Si","No")</f>
        <v>Si</v>
      </c>
      <c r="J214" s="77" t="str">
        <f ca="1">INDEX(Table12[Acción],MATCH(Insumos_a_comprar[[#This Row],[Planilla]],Table12[Planilla],0))</f>
        <v>Vencido</v>
      </c>
      <c r="K214" s="77">
        <v>500</v>
      </c>
      <c r="L21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14" s="206">
        <v>44245</v>
      </c>
      <c r="N214" s="206"/>
      <c r="O214" s="206"/>
      <c r="P214" s="179"/>
      <c r="Q214" s="1"/>
      <c r="R214" s="1"/>
    </row>
    <row r="215" spans="1:18" x14ac:dyDescent="0.25">
      <c r="A215" s="22" t="s">
        <v>641</v>
      </c>
      <c r="B215" s="23" t="s">
        <v>597</v>
      </c>
      <c r="C215" s="61" t="str">
        <f>HYPERLINK("#'"&amp;Insumos_a_comprar[[#This Row],[Planilla]]&amp;"'!D1","Ir")</f>
        <v>Ir</v>
      </c>
      <c r="D215" s="11" t="s">
        <v>397</v>
      </c>
      <c r="E215" s="73" t="s">
        <v>397</v>
      </c>
      <c r="F215" s="74">
        <v>200</v>
      </c>
      <c r="G215" s="75" t="s">
        <v>65</v>
      </c>
      <c r="H215" s="76">
        <f ca="1">SUMIF(INDIRECT(SUBSTITUTE(B215," ","_")&amp;"[Insumo]"),Insumos_a_comprar[[#This Row],[Insumo]],INDIRECT(SUBSTITUTE(B215," ","_")&amp;"[Stock]"))</f>
        <v>0</v>
      </c>
      <c r="I215" s="69" t="str">
        <f ca="1">IF((Insumos_a_comprar[[#This Row],[Stock actual]]-Insumos_a_comprar[[#This Row],[Stock mínimo]])&lt;0,"Si","No")</f>
        <v>Si</v>
      </c>
      <c r="J215" s="77" t="str">
        <f ca="1">INDEX(Table12[Acción],MATCH(Insumos_a_comprar[[#This Row],[Planilla]],Table12[Planilla],0))</f>
        <v>Vencido</v>
      </c>
      <c r="K215" s="77">
        <v>500</v>
      </c>
      <c r="L21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15" s="206">
        <v>44245</v>
      </c>
      <c r="N215" s="206"/>
      <c r="O215" s="206">
        <v>44154</v>
      </c>
      <c r="P215" s="179"/>
      <c r="Q215" s="1"/>
      <c r="R215" s="1"/>
    </row>
    <row r="216" spans="1:18" x14ac:dyDescent="0.25">
      <c r="A216" s="22" t="s">
        <v>640</v>
      </c>
      <c r="B216" s="23" t="s">
        <v>597</v>
      </c>
      <c r="C216" s="61" t="str">
        <f>HYPERLINK("#'"&amp;Insumos_a_comprar[[#This Row],[Planilla]]&amp;"'!D1","Ir")</f>
        <v>Ir</v>
      </c>
      <c r="D216" s="11" t="s">
        <v>397</v>
      </c>
      <c r="E216" s="73" t="s">
        <v>397</v>
      </c>
      <c r="F216" s="74">
        <v>200</v>
      </c>
      <c r="G216" s="75" t="s">
        <v>65</v>
      </c>
      <c r="H216" s="76">
        <f ca="1">SUMIF(INDIRECT(SUBSTITUTE(B216," ","_")&amp;"[Insumo]"),Insumos_a_comprar[[#This Row],[Insumo]],INDIRECT(SUBSTITUTE(B216," ","_")&amp;"[Stock]"))</f>
        <v>710</v>
      </c>
      <c r="I216" s="69" t="str">
        <f ca="1">IF((Insumos_a_comprar[[#This Row],[Stock actual]]-Insumos_a_comprar[[#This Row],[Stock mínimo]])&lt;0,"Si","No")</f>
        <v>No</v>
      </c>
      <c r="J216" s="77" t="str">
        <f ca="1">INDEX(Table12[Acción],MATCH(Insumos_a_comprar[[#This Row],[Planilla]],Table12[Planilla],0))</f>
        <v>Vencido</v>
      </c>
      <c r="K216" s="77">
        <v>500</v>
      </c>
      <c r="L21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16" s="367"/>
      <c r="N216" s="367"/>
      <c r="O216" s="367">
        <v>44276</v>
      </c>
      <c r="P216" s="179"/>
      <c r="Q216" s="1"/>
      <c r="R216" s="1"/>
    </row>
    <row r="217" spans="1:18" x14ac:dyDescent="0.25">
      <c r="A217" s="22" t="s">
        <v>639</v>
      </c>
      <c r="B217" s="23" t="s">
        <v>597</v>
      </c>
      <c r="C217" s="61" t="str">
        <f>HYPERLINK("#'"&amp;Insumos_a_comprar[[#This Row],[Planilla]]&amp;"'!D1","Ir")</f>
        <v>Ir</v>
      </c>
      <c r="D217" s="11" t="s">
        <v>397</v>
      </c>
      <c r="E217" s="73" t="s">
        <v>397</v>
      </c>
      <c r="F217" s="74">
        <v>200</v>
      </c>
      <c r="G217" s="75" t="s">
        <v>65</v>
      </c>
      <c r="H217" s="76">
        <f ca="1">SUMIF(INDIRECT(SUBSTITUTE(B217," ","_")&amp;"[Insumo]"),Insumos_a_comprar[[#This Row],[Insumo]],INDIRECT(SUBSTITUTE(B217," ","_")&amp;"[Stock]"))</f>
        <v>0</v>
      </c>
      <c r="I217" s="69" t="str">
        <f ca="1">IF((Insumos_a_comprar[[#This Row],[Stock actual]]-Insumos_a_comprar[[#This Row],[Stock mínimo]])&lt;0,"Si","No")</f>
        <v>Si</v>
      </c>
      <c r="J217" s="77" t="str">
        <f ca="1">INDEX(Table12[Acción],MATCH(Insumos_a_comprar[[#This Row],[Planilla]],Table12[Planilla],0))</f>
        <v>Vencido</v>
      </c>
      <c r="K217" s="77">
        <v>500</v>
      </c>
      <c r="L21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17" s="367">
        <v>44356</v>
      </c>
      <c r="N217" s="367"/>
      <c r="O217" s="367">
        <v>44154</v>
      </c>
      <c r="P217" s="179"/>
      <c r="Q217" s="1"/>
      <c r="R217" s="1"/>
    </row>
    <row r="218" spans="1:18" x14ac:dyDescent="0.25">
      <c r="A218" s="296" t="s">
        <v>1047</v>
      </c>
      <c r="B218" s="290" t="s">
        <v>597</v>
      </c>
      <c r="C218" s="297" t="str">
        <f>HYPERLINK("#'"&amp;Insumos_a_comprar[[#This Row],[Planilla]]&amp;"'!D1","Ir")</f>
        <v>Ir</v>
      </c>
      <c r="D218" s="11" t="s">
        <v>397</v>
      </c>
      <c r="E218" s="73" t="s">
        <v>397</v>
      </c>
      <c r="F218" s="291">
        <v>100</v>
      </c>
      <c r="G218" s="75" t="s">
        <v>65</v>
      </c>
      <c r="H218" s="292">
        <f ca="1">SUMIF(INDIRECT(SUBSTITUTE(B218," ","_")&amp;"[Insumo]"),Insumos_a_comprar[[#This Row],[Insumo]],INDIRECT(SUBSTITUTE(B218," ","_")&amp;"[Stock]"))</f>
        <v>100</v>
      </c>
      <c r="I218" s="293" t="str">
        <f ca="1">IF((Insumos_a_comprar[[#This Row],[Stock actual]]-Insumos_a_comprar[[#This Row],[Stock mínimo]])&lt;0,"Si","No")</f>
        <v>No</v>
      </c>
      <c r="J218" s="294" t="str">
        <f ca="1">INDEX(Table12[Acción],MATCH(Insumos_a_comprar[[#This Row],[Planilla]],Table12[Planilla],0))</f>
        <v>Vencido</v>
      </c>
      <c r="K218" s="294">
        <v>200</v>
      </c>
      <c r="L218" s="314"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18" s="315"/>
      <c r="N218" s="315"/>
      <c r="O218" s="315">
        <v>44154</v>
      </c>
      <c r="P218" s="295"/>
      <c r="Q218" s="1"/>
      <c r="R218" s="1"/>
    </row>
    <row r="219" spans="1:18" x14ac:dyDescent="0.25">
      <c r="A219" s="22" t="s">
        <v>638</v>
      </c>
      <c r="B219" s="23" t="s">
        <v>597</v>
      </c>
      <c r="C219" s="61" t="str">
        <f>HYPERLINK("#'"&amp;Insumos_a_comprar[[#This Row],[Planilla]]&amp;"'!D1","Ir")</f>
        <v>Ir</v>
      </c>
      <c r="D219" s="11" t="s">
        <v>397</v>
      </c>
      <c r="E219" s="73" t="s">
        <v>397</v>
      </c>
      <c r="F219" s="74">
        <v>200</v>
      </c>
      <c r="G219" s="75" t="s">
        <v>65</v>
      </c>
      <c r="H219" s="76">
        <f ca="1">SUMIF(INDIRECT(SUBSTITUTE(B219," ","_")&amp;"[Insumo]"),Insumos_a_comprar[[#This Row],[Insumo]],INDIRECT(SUBSTITUTE(B219," ","_")&amp;"[Stock]"))</f>
        <v>750</v>
      </c>
      <c r="I219" s="69" t="str">
        <f ca="1">IF((Insumos_a_comprar[[#This Row],[Stock actual]]-Insumos_a_comprar[[#This Row],[Stock mínimo]])&lt;0,"Si","No")</f>
        <v>No</v>
      </c>
      <c r="J219" s="77" t="str">
        <f ca="1">INDEX(Table12[Acción],MATCH(Insumos_a_comprar[[#This Row],[Planilla]],Table12[Planilla],0))</f>
        <v>Vencido</v>
      </c>
      <c r="K219" s="77">
        <v>500</v>
      </c>
      <c r="L21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19" s="206"/>
      <c r="N219" s="206"/>
      <c r="O219" s="206">
        <v>44154</v>
      </c>
      <c r="P219" s="179"/>
      <c r="Q219" s="1"/>
      <c r="R219" s="1"/>
    </row>
    <row r="220" spans="1:18" x14ac:dyDescent="0.25">
      <c r="A220" s="22" t="s">
        <v>637</v>
      </c>
      <c r="B220" s="23" t="s">
        <v>597</v>
      </c>
      <c r="C220" s="61" t="str">
        <f>HYPERLINK("#'"&amp;Insumos_a_comprar[[#This Row],[Planilla]]&amp;"'!D1","Ir")</f>
        <v>Ir</v>
      </c>
      <c r="D220" s="11" t="s">
        <v>397</v>
      </c>
      <c r="E220" s="73" t="s">
        <v>397</v>
      </c>
      <c r="F220" s="74">
        <v>200</v>
      </c>
      <c r="G220" s="75" t="s">
        <v>65</v>
      </c>
      <c r="H220" s="76">
        <f ca="1">SUMIF(INDIRECT(SUBSTITUTE(B220," ","_")&amp;"[Insumo]"),Insumos_a_comprar[[#This Row],[Insumo]],INDIRECT(SUBSTITUTE(B220," ","_")&amp;"[Stock]"))</f>
        <v>0</v>
      </c>
      <c r="I220" s="69" t="str">
        <f ca="1">IF((Insumos_a_comprar[[#This Row],[Stock actual]]-Insumos_a_comprar[[#This Row],[Stock mínimo]])&lt;0,"Si","No")</f>
        <v>Si</v>
      </c>
      <c r="J220" s="77" t="str">
        <f ca="1">INDEX(Table12[Acción],MATCH(Insumos_a_comprar[[#This Row],[Planilla]],Table12[Planilla],0))</f>
        <v>Vencido</v>
      </c>
      <c r="K220" s="77">
        <v>500</v>
      </c>
      <c r="L22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20" s="367">
        <v>44245</v>
      </c>
      <c r="N220" s="367">
        <v>44042</v>
      </c>
      <c r="O220" s="367"/>
      <c r="P220" s="179"/>
      <c r="Q220" s="1"/>
      <c r="R220" s="1"/>
    </row>
    <row r="221" spans="1:18" x14ac:dyDescent="0.25">
      <c r="A221" s="22" t="s">
        <v>770</v>
      </c>
      <c r="B221" s="23" t="s">
        <v>597</v>
      </c>
      <c r="C221" s="61" t="str">
        <f>HYPERLINK("#'"&amp;Insumos_a_comprar[[#This Row],[Planilla]]&amp;"'!D1","Ir")</f>
        <v>Ir</v>
      </c>
      <c r="D221" s="11" t="s">
        <v>397</v>
      </c>
      <c r="E221" s="73" t="s">
        <v>397</v>
      </c>
      <c r="F221" s="74">
        <v>50</v>
      </c>
      <c r="G221" s="75" t="s">
        <v>65</v>
      </c>
      <c r="H221" s="76">
        <f ca="1">SUMIF(INDIRECT(SUBSTITUTE(B221," ","_")&amp;"[Insumo]"),Insumos_a_comprar[[#This Row],[Insumo]],INDIRECT(SUBSTITUTE(B221," ","_")&amp;"[Stock]"))</f>
        <v>0</v>
      </c>
      <c r="I221" s="69" t="str">
        <f ca="1">IF((Insumos_a_comprar[[#This Row],[Stock actual]]-Insumos_a_comprar[[#This Row],[Stock mínimo]])&lt;0,"Si","No")</f>
        <v>Si</v>
      </c>
      <c r="J221" s="77" t="str">
        <f ca="1">INDEX(Table12[Acción],MATCH(Insumos_a_comprar[[#This Row],[Planilla]],Table12[Planilla],0))</f>
        <v>Vencido</v>
      </c>
      <c r="K221" s="77">
        <v>100</v>
      </c>
      <c r="L22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21" s="367">
        <v>44245</v>
      </c>
      <c r="N221" s="367">
        <v>44042</v>
      </c>
      <c r="O221" s="367"/>
      <c r="P221" s="179"/>
      <c r="Q221" s="1"/>
      <c r="R221" s="1"/>
    </row>
    <row r="222" spans="1:18" x14ac:dyDescent="0.25">
      <c r="A222" s="10" t="s">
        <v>258</v>
      </c>
      <c r="B222" s="11" t="s">
        <v>410</v>
      </c>
      <c r="C222" s="61" t="str">
        <f>HYPERLINK("#'"&amp;Insumos_a_comprar[[#This Row],[Planilla]]&amp;"'!D1","Ir")</f>
        <v>Ir</v>
      </c>
      <c r="D222" s="11" t="s">
        <v>397</v>
      </c>
      <c r="E222" s="66" t="s">
        <v>415</v>
      </c>
      <c r="F222" s="67">
        <v>400</v>
      </c>
      <c r="G222" s="68" t="s">
        <v>252</v>
      </c>
      <c r="H222" s="72">
        <f ca="1">SUMIF(INDIRECT(SUBSTITUTE(B222," ","_")&amp;"[Insumo]"),Insumos_a_comprar[[#This Row],[Insumo]],INDIRECT(SUBSTITUTE(B222," ","_")&amp;"[Stock]"))</f>
        <v>0</v>
      </c>
      <c r="I222" s="69" t="str">
        <f ca="1">IF((Insumos_a_comprar[[#This Row],[Stock actual]]-Insumos_a_comprar[[#This Row],[Stock mínimo]])&lt;0,"Si","No")</f>
        <v>Si</v>
      </c>
      <c r="J222" s="67" t="str">
        <f ca="1">INDEX(Table12[Acción],MATCH(Insumos_a_comprar[[#This Row],[Planilla]],Table12[Planilla],0))</f>
        <v>Vencido</v>
      </c>
      <c r="K222" s="71"/>
      <c r="L22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Pedir</v>
      </c>
      <c r="M222" s="65"/>
      <c r="N222" s="65"/>
      <c r="O222" s="65"/>
      <c r="P222" s="178"/>
      <c r="Q222" s="1"/>
      <c r="R222" s="1"/>
    </row>
    <row r="223" spans="1:18" x14ac:dyDescent="0.25">
      <c r="A223" s="10" t="s">
        <v>131</v>
      </c>
      <c r="B223" s="11" t="s">
        <v>398</v>
      </c>
      <c r="C223" s="61" t="str">
        <f>HYPERLINK("#'"&amp;Insumos_a_comprar[[#This Row],[Planilla]]&amp;"'!D1","Ir")</f>
        <v>Ir</v>
      </c>
      <c r="D223" s="11" t="s">
        <v>463</v>
      </c>
      <c r="E223" s="66"/>
      <c r="F223" s="67">
        <v>0.01</v>
      </c>
      <c r="G223" s="68" t="s">
        <v>399</v>
      </c>
      <c r="H223" s="72">
        <f ca="1">SUMIF(INDIRECT(SUBSTITUTE(B223," ","_")&amp;"[Insumo]"),Insumos_a_comprar[[#This Row],[Insumo]],INDIRECT(SUBSTITUTE(B223," ","_")&amp;"[Stock]"))</f>
        <v>0.75</v>
      </c>
      <c r="I223" s="69" t="str">
        <f ca="1">IF((Insumos_a_comprar[[#This Row],[Stock actual]]-Insumos_a_comprar[[#This Row],[Stock mínimo]])&lt;0,"Si","No")</f>
        <v>No</v>
      </c>
      <c r="J223" s="67" t="str">
        <f ca="1">INDEX(Table12[Acción],MATCH(Insumos_a_comprar[[#This Row],[Planilla]],Table12[Planilla],0))</f>
        <v>Vigente</v>
      </c>
      <c r="K223" s="71">
        <v>0.5</v>
      </c>
      <c r="L22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23" s="65"/>
      <c r="N223" s="65"/>
      <c r="O223" s="65"/>
      <c r="P223" s="178"/>
      <c r="Q223" s="1"/>
      <c r="R223" s="1"/>
    </row>
    <row r="224" spans="1:18" x14ac:dyDescent="0.25">
      <c r="A224" s="13" t="s">
        <v>678</v>
      </c>
      <c r="B224" s="11" t="s">
        <v>392</v>
      </c>
      <c r="C224" s="61" t="str">
        <f>HYPERLINK("#'"&amp;Insumos_a_comprar[[#This Row],[Planilla]]&amp;"'!D1","Ir")</f>
        <v>Ir</v>
      </c>
      <c r="D224" s="11" t="s">
        <v>463</v>
      </c>
      <c r="E224" s="66"/>
      <c r="F224" s="67">
        <v>10</v>
      </c>
      <c r="G224" s="68" t="s">
        <v>7</v>
      </c>
      <c r="H224" s="72">
        <f ca="1">SUMIF(INDIRECT(SUBSTITUTE(B224," ","_")&amp;"[Insumo]"),Insumos_a_comprar[[#This Row],[Insumo]],INDIRECT(SUBSTITUTE(B224," ","_")&amp;"[Stock]"))</f>
        <v>300</v>
      </c>
      <c r="I224" s="69" t="str">
        <f ca="1">IF((Insumos_a_comprar[[#This Row],[Stock actual]]-Insumos_a_comprar[[#This Row],[Stock mínimo]])&lt;0,"Si","No")</f>
        <v>No</v>
      </c>
      <c r="J224" s="67" t="str">
        <f ca="1">INDEX(Table12[Acción],MATCH(Insumos_a_comprar[[#This Row],[Planilla]],Table12[Planilla],0))</f>
        <v>Vencido</v>
      </c>
      <c r="K224" s="71">
        <v>250</v>
      </c>
      <c r="L22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24" s="65"/>
      <c r="N224" s="65"/>
      <c r="O224" s="65"/>
      <c r="P224" s="178"/>
      <c r="Q224" s="1"/>
      <c r="R224" s="1"/>
    </row>
    <row r="225" spans="1:18" x14ac:dyDescent="0.25">
      <c r="A225" s="13" t="s">
        <v>219</v>
      </c>
      <c r="B225" s="11" t="s">
        <v>392</v>
      </c>
      <c r="C225" s="61" t="str">
        <f>HYPERLINK("#'"&amp;Insumos_a_comprar[[#This Row],[Planilla]]&amp;"'!D1","Ir")</f>
        <v>Ir</v>
      </c>
      <c r="D225" s="11" t="s">
        <v>463</v>
      </c>
      <c r="E225" s="66"/>
      <c r="F225" s="67">
        <v>10</v>
      </c>
      <c r="G225" s="68" t="s">
        <v>7</v>
      </c>
      <c r="H225" s="72">
        <f ca="1">SUMIF(INDIRECT(SUBSTITUTE(B225," ","_")&amp;"[Insumo]"),Insumos_a_comprar[[#This Row],[Insumo]],INDIRECT(SUBSTITUTE(B225," ","_")&amp;"[Stock]"))</f>
        <v>0</v>
      </c>
      <c r="I225" s="69" t="str">
        <f ca="1">IF((Insumos_a_comprar[[#This Row],[Stock actual]]-Insumos_a_comprar[[#This Row],[Stock mínimo]])&lt;0,"Si","No")</f>
        <v>Si</v>
      </c>
      <c r="J225" s="67" t="str">
        <f ca="1">INDEX(Table12[Acción],MATCH(Insumos_a_comprar[[#This Row],[Planilla]],Table12[Planilla],0))</f>
        <v>Vencido</v>
      </c>
      <c r="K225" s="71">
        <v>250</v>
      </c>
      <c r="L22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25" s="65">
        <v>44245</v>
      </c>
      <c r="N225" s="65">
        <v>44042</v>
      </c>
      <c r="O225" s="65"/>
      <c r="P225" s="178" t="s">
        <v>1020</v>
      </c>
      <c r="Q225" s="1"/>
      <c r="R225" s="1"/>
    </row>
    <row r="226" spans="1:18" x14ac:dyDescent="0.25">
      <c r="A226" s="10" t="s">
        <v>251</v>
      </c>
      <c r="B226" s="11" t="s">
        <v>410</v>
      </c>
      <c r="C226" s="61" t="str">
        <f>HYPERLINK("#'"&amp;Insumos_a_comprar[[#This Row],[Planilla]]&amp;"'!D1","Ir")</f>
        <v>Ir</v>
      </c>
      <c r="D226" s="11" t="s">
        <v>397</v>
      </c>
      <c r="E226" s="66" t="s">
        <v>418</v>
      </c>
      <c r="F226" s="67">
        <v>400</v>
      </c>
      <c r="G226" s="68" t="s">
        <v>252</v>
      </c>
      <c r="H226" s="72">
        <f ca="1">SUMIF(INDIRECT(SUBSTITUTE(B226," ","_")&amp;"[Insumo]"),Insumos_a_comprar[[#This Row],[Insumo]],INDIRECT(SUBSTITUTE(B226," ","_")&amp;"[Stock]"))</f>
        <v>700</v>
      </c>
      <c r="I226" s="69" t="str">
        <f ca="1">IF((Insumos_a_comprar[[#This Row],[Stock actual]]-Insumos_a_comprar[[#This Row],[Stock mínimo]])&lt;0,"Si","No")</f>
        <v>No</v>
      </c>
      <c r="J226" s="67" t="str">
        <f ca="1">INDEX(Table12[Acción],MATCH(Insumos_a_comprar[[#This Row],[Planilla]],Table12[Planilla],0))</f>
        <v>Vencido</v>
      </c>
      <c r="K226" s="71"/>
      <c r="L22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26" s="65"/>
      <c r="N226" s="65"/>
      <c r="O226" s="65"/>
      <c r="P226" s="178"/>
      <c r="Q226" s="1"/>
      <c r="R226" s="1"/>
    </row>
    <row r="227" spans="1:18" x14ac:dyDescent="0.25">
      <c r="A227" s="13" t="s">
        <v>688</v>
      </c>
      <c r="B227" s="11" t="s">
        <v>392</v>
      </c>
      <c r="C227" s="61" t="str">
        <f>HYPERLINK("#'"&amp;Insumos_a_comprar[[#This Row],[Planilla]]&amp;"'!D1","Ir")</f>
        <v>Ir</v>
      </c>
      <c r="D227" s="11" t="s">
        <v>463</v>
      </c>
      <c r="E227" s="66" t="s">
        <v>84</v>
      </c>
      <c r="F227" s="67">
        <v>10</v>
      </c>
      <c r="G227" s="68" t="s">
        <v>7</v>
      </c>
      <c r="H227" s="72">
        <f ca="1">SUMIF(INDIRECT(SUBSTITUTE(B227," ","_")&amp;"[Insumo]"),Insumos_a_comprar[[#This Row],[Insumo]],INDIRECT(SUBSTITUTE(B227," ","_")&amp;"[Stock]"))</f>
        <v>125</v>
      </c>
      <c r="I227" s="69" t="str">
        <f ca="1">IF((Insumos_a_comprar[[#This Row],[Stock actual]]-Insumos_a_comprar[[#This Row],[Stock mínimo]])&lt;0,"Si","No")</f>
        <v>No</v>
      </c>
      <c r="J227" s="67" t="str">
        <f ca="1">INDEX(Table12[Acción],MATCH(Insumos_a_comprar[[#This Row],[Planilla]],Table12[Planilla],0))</f>
        <v>Vencido</v>
      </c>
      <c r="K227" s="71">
        <v>250</v>
      </c>
      <c r="L22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27" s="65"/>
      <c r="N227" s="65"/>
      <c r="O227" s="65"/>
      <c r="P227" s="178"/>
      <c r="Q227" s="1"/>
      <c r="R227" s="1"/>
    </row>
    <row r="228" spans="1:18" x14ac:dyDescent="0.25">
      <c r="A228" s="22" t="s">
        <v>88</v>
      </c>
      <c r="B228" s="23" t="s">
        <v>594</v>
      </c>
      <c r="C228" s="61" t="str">
        <f>HYPERLINK("#'"&amp;Insumos_a_comprar[[#This Row],[Planilla]]&amp;"'!D1","Ir")</f>
        <v>Ir</v>
      </c>
      <c r="D228" s="11" t="s">
        <v>397</v>
      </c>
      <c r="E228" s="73" t="s">
        <v>397</v>
      </c>
      <c r="F228" s="74">
        <v>1</v>
      </c>
      <c r="G228" s="75" t="s">
        <v>65</v>
      </c>
      <c r="H228" s="76">
        <f ca="1">SUMIF(INDIRECT(SUBSTITUTE(B228," ","_")&amp;"[Insumo]"),Insumos_a_comprar[[#This Row],[Insumo]],INDIRECT(SUBSTITUTE(B228," ","_")&amp;"[Stock]"))</f>
        <v>1.6</v>
      </c>
      <c r="I228" s="69" t="str">
        <f ca="1">IF((Insumos_a_comprar[[#This Row],[Stock actual]]-Insumos_a_comprar[[#This Row],[Stock mínimo]])&lt;0,"Si","No")</f>
        <v>No</v>
      </c>
      <c r="J228" s="67" t="str">
        <f ca="1">INDEX(Table12[Acción],MATCH(Insumos_a_comprar[[#This Row],[Planilla]],Table12[Planilla],0))</f>
        <v>Constante</v>
      </c>
      <c r="K228" s="77">
        <v>1</v>
      </c>
      <c r="L22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28" s="65"/>
      <c r="N228" s="65"/>
      <c r="O228" s="65">
        <v>44376</v>
      </c>
      <c r="P228" s="178"/>
      <c r="Q228" s="1"/>
      <c r="R228" s="1"/>
    </row>
    <row r="229" spans="1:18" x14ac:dyDescent="0.25">
      <c r="A229" s="13" t="s">
        <v>221</v>
      </c>
      <c r="B229" s="11" t="s">
        <v>392</v>
      </c>
      <c r="C229" s="61" t="str">
        <f>HYPERLINK("#'"&amp;Insumos_a_comprar[[#This Row],[Planilla]]&amp;"'!D1","Ir")</f>
        <v>Ir</v>
      </c>
      <c r="D229" s="11" t="s">
        <v>463</v>
      </c>
      <c r="E229" s="66"/>
      <c r="F229" s="67">
        <v>10</v>
      </c>
      <c r="G229" s="68" t="s">
        <v>7</v>
      </c>
      <c r="H229" s="72">
        <f ca="1">SUMIF(INDIRECT(SUBSTITUTE(B229," ","_")&amp;"[Insumo]"),Insumos_a_comprar[[#This Row],[Insumo]],INDIRECT(SUBSTITUTE(B229," ","_")&amp;"[Stock]"))</f>
        <v>400</v>
      </c>
      <c r="I229" s="69" t="str">
        <f ca="1">IF((Insumos_a_comprar[[#This Row],[Stock actual]]-Insumos_a_comprar[[#This Row],[Stock mínimo]])&lt;0,"Si","No")</f>
        <v>No</v>
      </c>
      <c r="J229" s="67" t="str">
        <f ca="1">INDEX(Table12[Acción],MATCH(Insumos_a_comprar[[#This Row],[Planilla]],Table12[Planilla],0))</f>
        <v>Vencido</v>
      </c>
      <c r="K229" s="71">
        <v>250</v>
      </c>
      <c r="L22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29" s="65"/>
      <c r="N229" s="65"/>
      <c r="O229" s="65"/>
      <c r="P229" s="178"/>
      <c r="Q229" s="1"/>
      <c r="R229" s="1"/>
    </row>
    <row r="230" spans="1:18" ht="31.5" x14ac:dyDescent="0.25">
      <c r="A230" s="13" t="s">
        <v>223</v>
      </c>
      <c r="B230" s="11" t="s">
        <v>392</v>
      </c>
      <c r="C230" s="61" t="str">
        <f>HYPERLINK("#'"&amp;Insumos_a_comprar[[#This Row],[Planilla]]&amp;"'!D1","Ir")</f>
        <v>Ir</v>
      </c>
      <c r="D230" s="11" t="s">
        <v>463</v>
      </c>
      <c r="E230" s="66"/>
      <c r="F230" s="67">
        <v>10</v>
      </c>
      <c r="G230" s="68" t="s">
        <v>7</v>
      </c>
      <c r="H230" s="72">
        <f ca="1">SUMIF(INDIRECT(SUBSTITUTE(B230," ","_")&amp;"[Insumo]"),Insumos_a_comprar[[#This Row],[Insumo]],INDIRECT(SUBSTITUTE(B230," ","_")&amp;"[Stock]"))</f>
        <v>250</v>
      </c>
      <c r="I230" s="69" t="str">
        <f ca="1">IF((Insumos_a_comprar[[#This Row],[Stock actual]]-Insumos_a_comprar[[#This Row],[Stock mínimo]])&lt;0,"Si","No")</f>
        <v>No</v>
      </c>
      <c r="J230" s="67" t="str">
        <f ca="1">INDEX(Table12[Acción],MATCH(Insumos_a_comprar[[#This Row],[Planilla]],Table12[Planilla],0))</f>
        <v>Vencido</v>
      </c>
      <c r="K230" s="71">
        <v>250</v>
      </c>
      <c r="L23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0" s="65"/>
      <c r="N230" s="65"/>
      <c r="O230" s="65"/>
      <c r="P230" s="178"/>
      <c r="Q230" s="1"/>
      <c r="R230" s="1"/>
    </row>
    <row r="231" spans="1:18" x14ac:dyDescent="0.25">
      <c r="A231" s="13" t="s">
        <v>222</v>
      </c>
      <c r="B231" s="11" t="s">
        <v>392</v>
      </c>
      <c r="C231" s="61" t="str">
        <f>HYPERLINK("#'"&amp;Insumos_a_comprar[[#This Row],[Planilla]]&amp;"'!D1","Ir")</f>
        <v>Ir</v>
      </c>
      <c r="D231" s="11" t="s">
        <v>463</v>
      </c>
      <c r="E231" s="66"/>
      <c r="F231" s="67">
        <v>10</v>
      </c>
      <c r="G231" s="68" t="s">
        <v>7</v>
      </c>
      <c r="H231" s="72">
        <f ca="1">SUMIF(INDIRECT(SUBSTITUTE(B231," ","_")&amp;"[Insumo]"),Insumos_a_comprar[[#This Row],[Insumo]],INDIRECT(SUBSTITUTE(B231," ","_")&amp;"[Stock]"))</f>
        <v>20</v>
      </c>
      <c r="I231" s="69" t="str">
        <f ca="1">IF((Insumos_a_comprar[[#This Row],[Stock actual]]-Insumos_a_comprar[[#This Row],[Stock mínimo]])&lt;0,"Si","No")</f>
        <v>No</v>
      </c>
      <c r="J231" s="67" t="str">
        <f ca="1">INDEX(Table12[Acción],MATCH(Insumos_a_comprar[[#This Row],[Planilla]],Table12[Planilla],0))</f>
        <v>Vencido</v>
      </c>
      <c r="K231" s="71">
        <v>250</v>
      </c>
      <c r="L23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1" s="65"/>
      <c r="N231" s="65"/>
      <c r="O231" s="65"/>
      <c r="P231" s="178"/>
      <c r="Q231" s="1"/>
      <c r="R231" s="1"/>
    </row>
    <row r="232" spans="1:18" x14ac:dyDescent="0.25">
      <c r="A232" s="13" t="s">
        <v>220</v>
      </c>
      <c r="B232" s="11" t="s">
        <v>392</v>
      </c>
      <c r="C232" s="61" t="str">
        <f>HYPERLINK("#'"&amp;Insumos_a_comprar[[#This Row],[Planilla]]&amp;"'!D1","Ir")</f>
        <v>Ir</v>
      </c>
      <c r="D232" s="11" t="s">
        <v>463</v>
      </c>
      <c r="E232" s="66"/>
      <c r="F232" s="67">
        <v>10</v>
      </c>
      <c r="G232" s="68" t="s">
        <v>7</v>
      </c>
      <c r="H232" s="72">
        <f ca="1">SUMIF(INDIRECT(SUBSTITUTE(B232," ","_")&amp;"[Insumo]"),Insumos_a_comprar[[#This Row],[Insumo]],INDIRECT(SUBSTITUTE(B232," ","_")&amp;"[Stock]"))</f>
        <v>20</v>
      </c>
      <c r="I232" s="69" t="str">
        <f ca="1">IF((Insumos_a_comprar[[#This Row],[Stock actual]]-Insumos_a_comprar[[#This Row],[Stock mínimo]])&lt;0,"Si","No")</f>
        <v>No</v>
      </c>
      <c r="J232" s="67" t="str">
        <f ca="1">INDEX(Table12[Acción],MATCH(Insumos_a_comprar[[#This Row],[Planilla]],Table12[Planilla],0))</f>
        <v>Vencido</v>
      </c>
      <c r="K232" s="71">
        <v>250</v>
      </c>
      <c r="L23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2" s="65"/>
      <c r="N232" s="65"/>
      <c r="O232" s="65"/>
      <c r="P232" s="178"/>
      <c r="Q232" s="1"/>
      <c r="R232" s="1"/>
    </row>
    <row r="233" spans="1:18" x14ac:dyDescent="0.25">
      <c r="A233" s="10" t="s">
        <v>25</v>
      </c>
      <c r="B233" s="11" t="s">
        <v>60</v>
      </c>
      <c r="C233" s="61" t="str">
        <f>HYPERLINK("#'"&amp;Insumos_a_comprar[[#This Row],[Planilla]]&amp;"'!D1","Ir")</f>
        <v>Ir</v>
      </c>
      <c r="D233" s="11" t="s">
        <v>463</v>
      </c>
      <c r="E233" s="66" t="s">
        <v>812</v>
      </c>
      <c r="F233" s="67">
        <v>250</v>
      </c>
      <c r="G233" s="68" t="s">
        <v>7</v>
      </c>
      <c r="H233" s="66">
        <f ca="1">SUMIF(INDIRECT(SUBSTITUTE(B233," ","_")&amp;"[Insumo]"),Insumos_a_comprar[[#This Row],[Insumo]],INDIRECT(SUBSTITUTE(B233," ","_")&amp;"[Stock]"))</f>
        <v>350</v>
      </c>
      <c r="I233" s="69" t="str">
        <f ca="1">IF((Insumos_a_comprar[[#This Row],[Stock actual]]-Insumos_a_comprar[[#This Row],[Stock mínimo]])&lt;0,"Si","No")</f>
        <v>No</v>
      </c>
      <c r="J233" s="67" t="str">
        <f ca="1">INDEX(Table12[Acción],MATCH(Insumos_a_comprar[[#This Row],[Planilla]],Table12[Planilla],0))</f>
        <v>Vigente</v>
      </c>
      <c r="K233" s="71">
        <v>250</v>
      </c>
      <c r="L23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3" s="65"/>
      <c r="N233" s="65"/>
      <c r="O233" s="65"/>
      <c r="P233" s="178"/>
      <c r="Q233" s="1"/>
      <c r="R233" s="1"/>
    </row>
    <row r="234" spans="1:18" x14ac:dyDescent="0.25">
      <c r="A234" s="22" t="s">
        <v>709</v>
      </c>
      <c r="B234" s="23" t="s">
        <v>739</v>
      </c>
      <c r="C234" s="61" t="str">
        <f>HYPERLINK("#'"&amp;Insumos_a_comprar[[#This Row],[Planilla]]&amp;"'!D1","Ir")</f>
        <v>Ir</v>
      </c>
      <c r="D234" s="11" t="s">
        <v>397</v>
      </c>
      <c r="E234" s="73" t="s">
        <v>397</v>
      </c>
      <c r="F234" s="74">
        <v>10</v>
      </c>
      <c r="G234" s="75" t="s">
        <v>702</v>
      </c>
      <c r="H234" s="76">
        <f ca="1">SUMIF(INDIRECT(SUBSTITUTE(B234," ","_")&amp;"[Insumo]"),Insumos_a_comprar[[#This Row],[Insumo]],INDIRECT(SUBSTITUTE(B234," ","_")&amp;"[Stock]"))</f>
        <v>28</v>
      </c>
      <c r="I234" s="69" t="str">
        <f ca="1">IF((Insumos_a_comprar[[#This Row],[Stock actual]]-Insumos_a_comprar[[#This Row],[Stock mínimo]])&lt;0,"Si","No")</f>
        <v>No</v>
      </c>
      <c r="J234" s="77" t="str">
        <f ca="1">INDEX(Table12[Acción],MATCH(Insumos_a_comprar[[#This Row],[Planilla]],Table12[Planilla],0))</f>
        <v>Vencido</v>
      </c>
      <c r="K234" s="77">
        <v>10</v>
      </c>
      <c r="L23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4" s="367"/>
      <c r="N234" s="367"/>
      <c r="O234" s="367"/>
      <c r="P234" s="179"/>
      <c r="Q234" s="1"/>
      <c r="R234" s="1"/>
    </row>
    <row r="235" spans="1:18" x14ac:dyDescent="0.25">
      <c r="A235" s="13" t="s">
        <v>232</v>
      </c>
      <c r="B235" s="11" t="s">
        <v>392</v>
      </c>
      <c r="C235" s="61" t="str">
        <f>HYPERLINK("#'"&amp;Insumos_a_comprar[[#This Row],[Planilla]]&amp;"'!D1","Ir")</f>
        <v>Ir</v>
      </c>
      <c r="D235" s="11" t="s">
        <v>463</v>
      </c>
      <c r="E235" s="66"/>
      <c r="F235" s="67">
        <v>10</v>
      </c>
      <c r="G235" s="68" t="s">
        <v>7</v>
      </c>
      <c r="H235" s="72">
        <f ca="1">SUMIF(INDIRECT(SUBSTITUTE(B235," ","_")&amp;"[Insumo]"),Insumos_a_comprar[[#This Row],[Insumo]],INDIRECT(SUBSTITUTE(B235," ","_")&amp;"[Stock]"))</f>
        <v>50</v>
      </c>
      <c r="I235" s="69" t="str">
        <f ca="1">IF((Insumos_a_comprar[[#This Row],[Stock actual]]-Insumos_a_comprar[[#This Row],[Stock mínimo]])&lt;0,"Si","No")</f>
        <v>No</v>
      </c>
      <c r="J235" s="67" t="str">
        <f ca="1">INDEX(Table12[Acción],MATCH(Insumos_a_comprar[[#This Row],[Planilla]],Table12[Planilla],0))</f>
        <v>Vencido</v>
      </c>
      <c r="K235" s="71">
        <v>250</v>
      </c>
      <c r="L23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5" s="65"/>
      <c r="N235" s="65"/>
      <c r="O235" s="65"/>
      <c r="P235" s="178"/>
      <c r="Q235" s="1"/>
      <c r="R235" s="1"/>
    </row>
    <row r="236" spans="1:18" x14ac:dyDescent="0.25">
      <c r="A236" s="13" t="s">
        <v>224</v>
      </c>
      <c r="B236" s="11" t="s">
        <v>392</v>
      </c>
      <c r="C236" s="61" t="str">
        <f>HYPERLINK("#'"&amp;Insumos_a_comprar[[#This Row],[Planilla]]&amp;"'!D1","Ir")</f>
        <v>Ir</v>
      </c>
      <c r="D236" s="11" t="s">
        <v>463</v>
      </c>
      <c r="E236" s="66"/>
      <c r="F236" s="67">
        <v>10</v>
      </c>
      <c r="G236" s="68" t="s">
        <v>7</v>
      </c>
      <c r="H236" s="72">
        <f ca="1">SUMIF(INDIRECT(SUBSTITUTE(B236," ","_")&amp;"[Insumo]"),Insumos_a_comprar[[#This Row],[Insumo]],INDIRECT(SUBSTITUTE(B236," ","_")&amp;"[Stock]"))</f>
        <v>25</v>
      </c>
      <c r="I236" s="69" t="str">
        <f ca="1">IF((Insumos_a_comprar[[#This Row],[Stock actual]]-Insumos_a_comprar[[#This Row],[Stock mínimo]])&lt;0,"Si","No")</f>
        <v>No</v>
      </c>
      <c r="J236" s="67" t="str">
        <f ca="1">INDEX(Table12[Acción],MATCH(Insumos_a_comprar[[#This Row],[Planilla]],Table12[Planilla],0))</f>
        <v>Vencido</v>
      </c>
      <c r="K236" s="71">
        <v>250</v>
      </c>
      <c r="L23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6" s="65"/>
      <c r="N236" s="65"/>
      <c r="O236" s="65"/>
      <c r="P236" s="178"/>
      <c r="Q236" s="1"/>
      <c r="R236" s="1"/>
    </row>
    <row r="237" spans="1:18" x14ac:dyDescent="0.25">
      <c r="A237" s="13" t="s">
        <v>225</v>
      </c>
      <c r="B237" s="11" t="s">
        <v>392</v>
      </c>
      <c r="C237" s="61" t="str">
        <f>HYPERLINK("#'"&amp;Insumos_a_comprar[[#This Row],[Planilla]]&amp;"'!D1","Ir")</f>
        <v>Ir</v>
      </c>
      <c r="D237" s="11" t="s">
        <v>464</v>
      </c>
      <c r="E237" s="66" t="s">
        <v>930</v>
      </c>
      <c r="F237" s="67">
        <v>50</v>
      </c>
      <c r="G237" s="68" t="s">
        <v>7</v>
      </c>
      <c r="H237" s="72">
        <f ca="1">SUMIF(INDIRECT(SUBSTITUTE(B237," ","_")&amp;"[Insumo]"),Insumos_a_comprar[[#This Row],[Insumo]],INDIRECT(SUBSTITUTE(B237," ","_")&amp;"[Stock]"))</f>
        <v>300</v>
      </c>
      <c r="I237" s="69" t="str">
        <f ca="1">IF((Insumos_a_comprar[[#This Row],[Stock actual]]-Insumos_a_comprar[[#This Row],[Stock mínimo]])&lt;0,"Si","No")</f>
        <v>No</v>
      </c>
      <c r="J237" s="67" t="str">
        <f ca="1">INDEX(Table12[Acción],MATCH(Insumos_a_comprar[[#This Row],[Planilla]],Table12[Planilla],0))</f>
        <v>Vencido</v>
      </c>
      <c r="K237" s="71">
        <v>250</v>
      </c>
      <c r="L23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7" s="65"/>
      <c r="N237" s="65"/>
      <c r="O237" s="65"/>
      <c r="P237" s="178"/>
      <c r="Q237" s="1"/>
      <c r="R237" s="1"/>
    </row>
    <row r="238" spans="1:18" x14ac:dyDescent="0.25">
      <c r="A238" s="22" t="s">
        <v>777</v>
      </c>
      <c r="B238" s="23" t="s">
        <v>739</v>
      </c>
      <c r="C238" s="61" t="str">
        <f>HYPERLINK("#'"&amp;Insumos_a_comprar[[#This Row],[Planilla]]&amp;"'!D1","Ir")</f>
        <v>Ir</v>
      </c>
      <c r="D238" s="11" t="s">
        <v>397</v>
      </c>
      <c r="E238" s="73" t="s">
        <v>397</v>
      </c>
      <c r="F238" s="74">
        <v>0.5</v>
      </c>
      <c r="G238" s="75"/>
      <c r="H238" s="76">
        <f ca="1">SUMIF(INDIRECT(SUBSTITUTE(B238," ","_")&amp;"[Insumo]"),Insumos_a_comprar[[#This Row],[Insumo]],INDIRECT(SUBSTITUTE(B238," ","_")&amp;"[Stock]"))</f>
        <v>2</v>
      </c>
      <c r="I238" s="69" t="str">
        <f ca="1">IF((Insumos_a_comprar[[#This Row],[Stock actual]]-Insumos_a_comprar[[#This Row],[Stock mínimo]])&lt;0,"Si","No")</f>
        <v>No</v>
      </c>
      <c r="J238" s="77" t="str">
        <f ca="1">INDEX(Table12[Acción],MATCH(Insumos_a_comprar[[#This Row],[Planilla]],Table12[Planilla],0))</f>
        <v>Vencido</v>
      </c>
      <c r="K238" s="77">
        <v>1</v>
      </c>
      <c r="L23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8" s="367"/>
      <c r="N238" s="367"/>
      <c r="O238" s="367"/>
      <c r="P238" s="179"/>
      <c r="Q238" s="1"/>
      <c r="R238" s="1"/>
    </row>
    <row r="239" spans="1:18" x14ac:dyDescent="0.25">
      <c r="A239" s="10" t="s">
        <v>171</v>
      </c>
      <c r="B239" s="11" t="s">
        <v>400</v>
      </c>
      <c r="C239" s="61" t="str">
        <f>HYPERLINK("#'"&amp;Insumos_a_comprar[[#This Row],[Planilla]]&amp;"'!D1","Ir")</f>
        <v>Ir</v>
      </c>
      <c r="D239" s="11" t="s">
        <v>397</v>
      </c>
      <c r="E239" s="66" t="s">
        <v>173</v>
      </c>
      <c r="F239" s="67">
        <v>100</v>
      </c>
      <c r="G239" s="68" t="s">
        <v>149</v>
      </c>
      <c r="H239" s="72">
        <f ca="1">SUMIF(INDIRECT(SUBSTITUTE(B239," ","_")&amp;"[Insumo]"),Insumos_a_comprar[[#This Row],[Insumo]],INDIRECT(SUBSTITUTE(B239," ","_")&amp;"[Stock]"))</f>
        <v>325</v>
      </c>
      <c r="I239" s="69" t="str">
        <f ca="1">IF((Insumos_a_comprar[[#This Row],[Stock actual]]-Insumos_a_comprar[[#This Row],[Stock mínimo]])&lt;0,"Si","No")</f>
        <v>No</v>
      </c>
      <c r="J239" s="67" t="str">
        <f ca="1">INDEX(Table12[Acción],MATCH(Insumos_a_comprar[[#This Row],[Planilla]],Table12[Planilla],0))</f>
        <v>Vencido</v>
      </c>
      <c r="K239" s="71"/>
      <c r="L23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39" s="65"/>
      <c r="N239" s="65"/>
      <c r="O239" s="65"/>
      <c r="P239" s="178"/>
      <c r="Q239" s="1"/>
      <c r="R239" s="1"/>
    </row>
    <row r="240" spans="1:18" x14ac:dyDescent="0.25">
      <c r="A240" s="10" t="s">
        <v>132</v>
      </c>
      <c r="B240" s="11" t="s">
        <v>398</v>
      </c>
      <c r="C240" s="61" t="str">
        <f>HYPERLINK("#'"&amp;Insumos_a_comprar[[#This Row],[Planilla]]&amp;"'!D1","Ir")</f>
        <v>Ir</v>
      </c>
      <c r="D240" s="11" t="s">
        <v>463</v>
      </c>
      <c r="E240" s="66" t="s">
        <v>854</v>
      </c>
      <c r="F240" s="67">
        <v>0.5</v>
      </c>
      <c r="G240" s="68" t="s">
        <v>399</v>
      </c>
      <c r="H240" s="72">
        <f ca="1">SUMIF(INDIRECT(SUBSTITUTE(B240," ","_")&amp;"[Insumo]"),Insumos_a_comprar[[#This Row],[Insumo]],INDIRECT(SUBSTITUTE(B240," ","_")&amp;"[Stock]"))</f>
        <v>1</v>
      </c>
      <c r="I240" s="69" t="str">
        <f ca="1">IF((Insumos_a_comprar[[#This Row],[Stock actual]]-Insumos_a_comprar[[#This Row],[Stock mínimo]])&lt;0,"Si","No")</f>
        <v>No</v>
      </c>
      <c r="J240" s="67" t="str">
        <f ca="1">INDEX(Table12[Acción],MATCH(Insumos_a_comprar[[#This Row],[Planilla]],Table12[Planilla],0))</f>
        <v>Vigente</v>
      </c>
      <c r="K240" s="71">
        <v>0.5</v>
      </c>
      <c r="L24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0" s="65"/>
      <c r="N240" s="65"/>
      <c r="O240" s="65"/>
      <c r="P240" s="178"/>
      <c r="Q240" s="1"/>
      <c r="R240" s="1"/>
    </row>
    <row r="241" spans="1:18" x14ac:dyDescent="0.25">
      <c r="A241" s="10" t="s">
        <v>133</v>
      </c>
      <c r="B241" s="11" t="s">
        <v>398</v>
      </c>
      <c r="C241" s="61" t="str">
        <f>HYPERLINK("#'"&amp;Insumos_a_comprar[[#This Row],[Planilla]]&amp;"'!D1","Ir")</f>
        <v>Ir</v>
      </c>
      <c r="D241" s="11" t="s">
        <v>463</v>
      </c>
      <c r="E241" s="66" t="s">
        <v>854</v>
      </c>
      <c r="F241" s="67">
        <v>0.05</v>
      </c>
      <c r="G241" s="68" t="s">
        <v>399</v>
      </c>
      <c r="H241" s="72">
        <f ca="1">SUMIF(INDIRECT(SUBSTITUTE(B241," ","_")&amp;"[Insumo]"),Insumos_a_comprar[[#This Row],[Insumo]],INDIRECT(SUBSTITUTE(B241," ","_")&amp;"[Stock]"))</f>
        <v>2</v>
      </c>
      <c r="I241" s="69" t="str">
        <f ca="1">IF((Insumos_a_comprar[[#This Row],[Stock actual]]-Insumos_a_comprar[[#This Row],[Stock mínimo]])&lt;0,"Si","No")</f>
        <v>No</v>
      </c>
      <c r="J241" s="67" t="str">
        <f ca="1">INDEX(Table12[Acción],MATCH(Insumos_a_comprar[[#This Row],[Planilla]],Table12[Planilla],0))</f>
        <v>Vigente</v>
      </c>
      <c r="K241" s="71">
        <v>0.5</v>
      </c>
      <c r="L24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1" s="65"/>
      <c r="N241" s="65"/>
      <c r="O241" s="65"/>
      <c r="P241" s="178"/>
      <c r="Q241" s="1"/>
      <c r="R241" s="1"/>
    </row>
    <row r="242" spans="1:18" x14ac:dyDescent="0.25">
      <c r="A242" s="10" t="s">
        <v>134</v>
      </c>
      <c r="B242" s="11" t="s">
        <v>398</v>
      </c>
      <c r="C242" s="61" t="str">
        <f>HYPERLINK("#'"&amp;Insumos_a_comprar[[#This Row],[Planilla]]&amp;"'!D1","Ir")</f>
        <v>Ir</v>
      </c>
      <c r="D242" s="11" t="s">
        <v>463</v>
      </c>
      <c r="E242" s="66" t="s">
        <v>854</v>
      </c>
      <c r="F242" s="67">
        <v>0.05</v>
      </c>
      <c r="G242" s="68" t="s">
        <v>399</v>
      </c>
      <c r="H242" s="72">
        <f ca="1">SUMIF(INDIRECT(SUBSTITUTE(B242," ","_")&amp;"[Insumo]"),Insumos_a_comprar[[#This Row],[Insumo]],INDIRECT(SUBSTITUTE(B242," ","_")&amp;"[Stock]"))</f>
        <v>0.25</v>
      </c>
      <c r="I242" s="69" t="str">
        <f ca="1">IF((Insumos_a_comprar[[#This Row],[Stock actual]]-Insumos_a_comprar[[#This Row],[Stock mínimo]])&lt;0,"Si","No")</f>
        <v>No</v>
      </c>
      <c r="J242" s="67" t="str">
        <f ca="1">INDEX(Table12[Acción],MATCH(Insumos_a_comprar[[#This Row],[Planilla]],Table12[Planilla],0))</f>
        <v>Vigente</v>
      </c>
      <c r="K242" s="71">
        <v>0.5</v>
      </c>
      <c r="L24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2" s="65"/>
      <c r="N242" s="65"/>
      <c r="O242" s="65"/>
      <c r="P242" s="178"/>
      <c r="Q242" s="1"/>
      <c r="R242" s="1"/>
    </row>
    <row r="243" spans="1:18" x14ac:dyDescent="0.25">
      <c r="A243" s="22" t="s">
        <v>963</v>
      </c>
      <c r="B243" s="23" t="s">
        <v>63</v>
      </c>
      <c r="C243" s="193" t="str">
        <f>HYPERLINK("#'"&amp;Insumos_a_comprar[[#This Row],[Planilla]]&amp;"'!D1","Ir")</f>
        <v>Ir</v>
      </c>
      <c r="D243" s="23" t="s">
        <v>397</v>
      </c>
      <c r="E243" s="73"/>
      <c r="F243" s="74">
        <v>2</v>
      </c>
      <c r="G243" s="75" t="s">
        <v>65</v>
      </c>
      <c r="H243" s="76">
        <f ca="1">SUMIF(INDIRECT(SUBSTITUTE(B243," ","_")&amp;"[Insumo]"),Insumos_a_comprar[[#This Row],[Insumo]],INDIRECT(SUBSTITUTE(B243," ","_")&amp;"[Stock]"))</f>
        <v>1</v>
      </c>
      <c r="I243" s="194" t="str">
        <f ca="1">IF((Insumos_a_comprar[[#This Row],[Stock actual]]-Insumos_a_comprar[[#This Row],[Stock mínimo]])&lt;0,"Si","No")</f>
        <v>Si</v>
      </c>
      <c r="J243" s="77" t="str">
        <f ca="1">INDEX(Table12[Acción],MATCH(Insumos_a_comprar[[#This Row],[Planilla]],Table12[Planilla],0))</f>
        <v>Constante</v>
      </c>
      <c r="K243" s="77">
        <v>1</v>
      </c>
      <c r="L24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43" s="206">
        <v>44356</v>
      </c>
      <c r="N243" s="206"/>
      <c r="O243" s="206">
        <v>44273</v>
      </c>
      <c r="P243" s="179" t="s">
        <v>1021</v>
      </c>
      <c r="Q243" s="1"/>
      <c r="R243" s="1"/>
    </row>
    <row r="244" spans="1:18" x14ac:dyDescent="0.25">
      <c r="A244" s="22" t="s">
        <v>964</v>
      </c>
      <c r="B244" s="23" t="s">
        <v>63</v>
      </c>
      <c r="C244" s="193" t="str">
        <f>HYPERLINK("#'"&amp;Insumos_a_comprar[[#This Row],[Planilla]]&amp;"'!D1","Ir")</f>
        <v>Ir</v>
      </c>
      <c r="D244" s="23" t="s">
        <v>397</v>
      </c>
      <c r="E244" s="73"/>
      <c r="F244" s="74">
        <v>1</v>
      </c>
      <c r="G244" s="75" t="s">
        <v>65</v>
      </c>
      <c r="H244" s="76">
        <f ca="1">SUMIF(INDIRECT(SUBSTITUTE(B244," ","_")&amp;"[Insumo]"),Insumos_a_comprar[[#This Row],[Insumo]],INDIRECT(SUBSTITUTE(B244," ","_")&amp;"[Stock]"))</f>
        <v>1</v>
      </c>
      <c r="I244" s="194" t="str">
        <f ca="1">IF((Insumos_a_comprar[[#This Row],[Stock actual]]-Insumos_a_comprar[[#This Row],[Stock mínimo]])&lt;0,"Si","No")</f>
        <v>No</v>
      </c>
      <c r="J244" s="77" t="str">
        <f ca="1">INDEX(Table12[Acción],MATCH(Insumos_a_comprar[[#This Row],[Planilla]],Table12[Planilla],0))</f>
        <v>Constante</v>
      </c>
      <c r="K244" s="77"/>
      <c r="L24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4" s="206"/>
      <c r="N244" s="206"/>
      <c r="O244" s="206"/>
      <c r="P244" s="179"/>
      <c r="Q244" s="1"/>
      <c r="R244" s="1"/>
    </row>
    <row r="245" spans="1:18" x14ac:dyDescent="0.25">
      <c r="A245" s="22" t="s">
        <v>962</v>
      </c>
      <c r="B245" s="23" t="s">
        <v>63</v>
      </c>
      <c r="C245" s="193" t="str">
        <f>HYPERLINK("#'"&amp;Insumos_a_comprar[[#This Row],[Planilla]]&amp;"'!D1","Ir")</f>
        <v>Ir</v>
      </c>
      <c r="D245" s="23" t="s">
        <v>397</v>
      </c>
      <c r="E245" s="73"/>
      <c r="F245" s="74">
        <v>2</v>
      </c>
      <c r="G245" s="75" t="s">
        <v>65</v>
      </c>
      <c r="H245" s="76">
        <f ca="1">SUMIF(INDIRECT(SUBSTITUTE(B245," ","_")&amp;"[Insumo]"),Insumos_a_comprar[[#This Row],[Insumo]],INDIRECT(SUBSTITUTE(B245," ","_")&amp;"[Stock]"))</f>
        <v>2</v>
      </c>
      <c r="I245" s="194" t="str">
        <f ca="1">IF((Insumos_a_comprar[[#This Row],[Stock actual]]-Insumos_a_comprar[[#This Row],[Stock mínimo]])&lt;0,"Si","No")</f>
        <v>No</v>
      </c>
      <c r="J245" s="77" t="str">
        <f ca="1">INDEX(Table12[Acción],MATCH(Insumos_a_comprar[[#This Row],[Planilla]],Table12[Planilla],0))</f>
        <v>Constante</v>
      </c>
      <c r="K245" s="77">
        <v>1</v>
      </c>
      <c r="L24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5" s="206"/>
      <c r="N245" s="206"/>
      <c r="O245" s="206"/>
      <c r="P245" s="179"/>
      <c r="Q245" s="1"/>
      <c r="R245" s="1"/>
    </row>
    <row r="246" spans="1:18" x14ac:dyDescent="0.25">
      <c r="A246" s="22" t="s">
        <v>965</v>
      </c>
      <c r="B246" s="23" t="s">
        <v>63</v>
      </c>
      <c r="C246" s="193" t="str">
        <f>HYPERLINK("#'"&amp;Insumos_a_comprar[[#This Row],[Planilla]]&amp;"'!D1","Ir")</f>
        <v>Ir</v>
      </c>
      <c r="D246" s="23" t="s">
        <v>397</v>
      </c>
      <c r="E246" s="73"/>
      <c r="F246" s="74">
        <v>1</v>
      </c>
      <c r="G246" s="75" t="s">
        <v>65</v>
      </c>
      <c r="H246" s="76">
        <f ca="1">SUMIF(INDIRECT(SUBSTITUTE(B246," ","_")&amp;"[Insumo]"),Insumos_a_comprar[[#This Row],[Insumo]],INDIRECT(SUBSTITUTE(B246," ","_")&amp;"[Stock]"))</f>
        <v>1</v>
      </c>
      <c r="I246" s="194" t="str">
        <f ca="1">IF((Insumos_a_comprar[[#This Row],[Stock actual]]-Insumos_a_comprar[[#This Row],[Stock mínimo]])&lt;0,"Si","No")</f>
        <v>No</v>
      </c>
      <c r="J246" s="77" t="str">
        <f ca="1">INDEX(Table12[Acción],MATCH(Insumos_a_comprar[[#This Row],[Planilla]],Table12[Planilla],0))</f>
        <v>Constante</v>
      </c>
      <c r="K246" s="77">
        <v>1</v>
      </c>
      <c r="L24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6" s="206"/>
      <c r="N246" s="206"/>
      <c r="O246" s="206"/>
      <c r="P246" s="179"/>
      <c r="Q246" s="1"/>
      <c r="R246" s="1"/>
    </row>
    <row r="247" spans="1:18" x14ac:dyDescent="0.25">
      <c r="A247" s="22" t="s">
        <v>966</v>
      </c>
      <c r="B247" s="23" t="s">
        <v>63</v>
      </c>
      <c r="C247" s="193" t="str">
        <f>HYPERLINK("#'"&amp;Insumos_a_comprar[[#This Row],[Planilla]]&amp;"'!D1","Ir")</f>
        <v>Ir</v>
      </c>
      <c r="D247" s="23" t="s">
        <v>397</v>
      </c>
      <c r="E247" s="73"/>
      <c r="F247" s="74">
        <v>1</v>
      </c>
      <c r="G247" s="75" t="s">
        <v>65</v>
      </c>
      <c r="H247" s="76">
        <f ca="1">SUMIF(INDIRECT(SUBSTITUTE(B247," ","_")&amp;"[Insumo]"),Insumos_a_comprar[[#This Row],[Insumo]],INDIRECT(SUBSTITUTE(B247," ","_")&amp;"[Stock]"))</f>
        <v>1</v>
      </c>
      <c r="I247" s="194" t="str">
        <f ca="1">IF((Insumos_a_comprar[[#This Row],[Stock actual]]-Insumos_a_comprar[[#This Row],[Stock mínimo]])&lt;0,"Si","No")</f>
        <v>No</v>
      </c>
      <c r="J247" s="77" t="str">
        <f ca="1">INDEX(Table12[Acción],MATCH(Insumos_a_comprar[[#This Row],[Planilla]],Table12[Planilla],0))</f>
        <v>Constante</v>
      </c>
      <c r="K247" s="77">
        <v>1</v>
      </c>
      <c r="L24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7" s="367"/>
      <c r="N247" s="367"/>
      <c r="O247" s="367"/>
      <c r="P247" s="179"/>
      <c r="Q247" s="1"/>
      <c r="R247" s="1"/>
    </row>
    <row r="248" spans="1:18" x14ac:dyDescent="0.25">
      <c r="A248" s="22" t="s">
        <v>967</v>
      </c>
      <c r="B248" s="23" t="s">
        <v>63</v>
      </c>
      <c r="C248" s="193" t="str">
        <f>HYPERLINK("#'"&amp;Insumos_a_comprar[[#This Row],[Planilla]]&amp;"'!D1","Ir")</f>
        <v>Ir</v>
      </c>
      <c r="D248" s="23" t="s">
        <v>397</v>
      </c>
      <c r="E248" s="73"/>
      <c r="F248" s="74">
        <v>0</v>
      </c>
      <c r="G248" s="75" t="s">
        <v>65</v>
      </c>
      <c r="H248" s="76">
        <f ca="1">SUMIF(INDIRECT(SUBSTITUTE(B248," ","_")&amp;"[Insumo]"),Insumos_a_comprar[[#This Row],[Insumo]],INDIRECT(SUBSTITUTE(B248," ","_")&amp;"[Stock]"))</f>
        <v>1</v>
      </c>
      <c r="I248" s="194" t="str">
        <f ca="1">IF((Insumos_a_comprar[[#This Row],[Stock actual]]-Insumos_a_comprar[[#This Row],[Stock mínimo]])&lt;0,"Si","No")</f>
        <v>No</v>
      </c>
      <c r="J248" s="77" t="str">
        <f ca="1">INDEX(Table12[Acción],MATCH(Insumos_a_comprar[[#This Row],[Planilla]],Table12[Planilla],0))</f>
        <v>Constante</v>
      </c>
      <c r="K248" s="77"/>
      <c r="L24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8" s="206"/>
      <c r="N248" s="206"/>
      <c r="O248" s="206"/>
      <c r="P248" s="179"/>
      <c r="Q248" s="1"/>
      <c r="R248" s="1"/>
    </row>
    <row r="249" spans="1:18" x14ac:dyDescent="0.25">
      <c r="A249" s="13" t="s">
        <v>680</v>
      </c>
      <c r="B249" s="11" t="s">
        <v>393</v>
      </c>
      <c r="C249" s="61" t="str">
        <f>HYPERLINK("#'"&amp;Insumos_a_comprar[[#This Row],[Planilla]]&amp;"'!D1","Ir")</f>
        <v>Ir</v>
      </c>
      <c r="D249" s="11" t="s">
        <v>463</v>
      </c>
      <c r="E249" s="66" t="s">
        <v>852</v>
      </c>
      <c r="F249" s="67">
        <v>1</v>
      </c>
      <c r="G249" s="68" t="s">
        <v>65</v>
      </c>
      <c r="H249" s="72">
        <f ca="1">SUMIF(INDIRECT(SUBSTITUTE(B249," ","_")&amp;"[Insumo]"),Insumos_a_comprar[[#This Row],[Insumo]],INDIRECT(SUBSTITUTE(B249," ","_")&amp;"[Stock]"))</f>
        <v>20</v>
      </c>
      <c r="I249" s="69" t="str">
        <f ca="1">IF((Insumos_a_comprar[[#This Row],[Stock actual]]-Insumos_a_comprar[[#This Row],[Stock mínimo]])&lt;0,"Si","No")</f>
        <v>No</v>
      </c>
      <c r="J249" s="67" t="str">
        <f ca="1">INDEX(Table12[Acción],MATCH(Insumos_a_comprar[[#This Row],[Planilla]],Table12[Planilla],0))</f>
        <v>Vencido</v>
      </c>
      <c r="K249" s="71">
        <v>1</v>
      </c>
      <c r="L24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49" s="65"/>
      <c r="N249" s="65"/>
      <c r="O249" s="65"/>
      <c r="P249" s="178"/>
      <c r="Q249" s="1"/>
      <c r="R249" s="1"/>
    </row>
    <row r="250" spans="1:18" x14ac:dyDescent="0.25">
      <c r="A250" s="22" t="s">
        <v>516</v>
      </c>
      <c r="B250" s="23" t="s">
        <v>440</v>
      </c>
      <c r="C250" s="61" t="str">
        <f>HYPERLINK("#'"&amp;Insumos_a_comprar[[#This Row],[Planilla]]&amp;"'!D1","Ir")</f>
        <v>Ir</v>
      </c>
      <c r="D250" s="11" t="s">
        <v>397</v>
      </c>
      <c r="E250" s="73" t="s">
        <v>397</v>
      </c>
      <c r="F250" s="74">
        <v>1</v>
      </c>
      <c r="G250" s="75" t="s">
        <v>65</v>
      </c>
      <c r="H250" s="76">
        <f ca="1">SUMIF(INDIRECT(SUBSTITUTE(B250," ","_")&amp;"[Insumo]"),Insumos_a_comprar[[#This Row],[Insumo]],INDIRECT(SUBSTITUTE(B250," ","_")&amp;"[Stock]"))</f>
        <v>0</v>
      </c>
      <c r="I250" s="69" t="str">
        <f ca="1">IF((Insumos_a_comprar[[#This Row],[Stock actual]]-Insumos_a_comprar[[#This Row],[Stock mínimo]])&lt;0,"Si","No")</f>
        <v>Si</v>
      </c>
      <c r="J250" s="67" t="str">
        <f ca="1">INDEX(Table12[Acción],MATCH(Insumos_a_comprar[[#This Row],[Planilla]],Table12[Planilla],0))</f>
        <v>Constante</v>
      </c>
      <c r="K250" s="77">
        <v>1</v>
      </c>
      <c r="L25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50" s="206">
        <v>44245</v>
      </c>
      <c r="N250" s="206">
        <v>44042</v>
      </c>
      <c r="O250" s="206"/>
      <c r="P250" s="179"/>
      <c r="Q250" s="1"/>
      <c r="R250" s="1"/>
    </row>
    <row r="251" spans="1:18" x14ac:dyDescent="0.25">
      <c r="A251" s="22" t="s">
        <v>515</v>
      </c>
      <c r="B251" s="23" t="s">
        <v>440</v>
      </c>
      <c r="C251" s="61" t="str">
        <f>HYPERLINK("#'"&amp;Insumos_a_comprar[[#This Row],[Planilla]]&amp;"'!D1","Ir")</f>
        <v>Ir</v>
      </c>
      <c r="D251" s="11" t="s">
        <v>397</v>
      </c>
      <c r="E251" s="73" t="s">
        <v>397</v>
      </c>
      <c r="F251" s="74">
        <v>1</v>
      </c>
      <c r="G251" s="75" t="s">
        <v>65</v>
      </c>
      <c r="H251" s="76">
        <f ca="1">SUMIF(INDIRECT(SUBSTITUTE(B251," ","_")&amp;"[Insumo]"),Insumos_a_comprar[[#This Row],[Insumo]],INDIRECT(SUBSTITUTE(B251," ","_")&amp;"[Stock]"))</f>
        <v>1</v>
      </c>
      <c r="I251" s="69" t="str">
        <f ca="1">IF((Insumos_a_comprar[[#This Row],[Stock actual]]-Insumos_a_comprar[[#This Row],[Stock mínimo]])&lt;0,"Si","No")</f>
        <v>No</v>
      </c>
      <c r="J251" s="67" t="str">
        <f ca="1">INDEX(Table12[Acción],MATCH(Insumos_a_comprar[[#This Row],[Planilla]],Table12[Planilla],0))</f>
        <v>Constante</v>
      </c>
      <c r="K251" s="77">
        <v>1</v>
      </c>
      <c r="L25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51" s="367"/>
      <c r="N251" s="367"/>
      <c r="O251" s="367"/>
      <c r="P251" s="179"/>
      <c r="Q251" s="1"/>
      <c r="R251" s="1"/>
    </row>
    <row r="252" spans="1:18" x14ac:dyDescent="0.25">
      <c r="A252" s="22" t="s">
        <v>968</v>
      </c>
      <c r="B252" s="23" t="s">
        <v>63</v>
      </c>
      <c r="C252" s="193" t="str">
        <f>HYPERLINK("#'"&amp;Insumos_a_comprar[[#This Row],[Planilla]]&amp;"'!D1","Ir")</f>
        <v>Ir</v>
      </c>
      <c r="D252" s="23" t="s">
        <v>397</v>
      </c>
      <c r="E252" s="73"/>
      <c r="F252" s="74">
        <v>1</v>
      </c>
      <c r="G252" s="75" t="s">
        <v>65</v>
      </c>
      <c r="H252" s="76">
        <f ca="1">SUMIF(INDIRECT(SUBSTITUTE(B252," ","_")&amp;"[Insumo]"),Insumos_a_comprar[[#This Row],[Insumo]],INDIRECT(SUBSTITUTE(B252," ","_")&amp;"[Stock]"))</f>
        <v>1</v>
      </c>
      <c r="I252" s="194" t="str">
        <f ca="1">IF((Insumos_a_comprar[[#This Row],[Stock actual]]-Insumos_a_comprar[[#This Row],[Stock mínimo]])&lt;0,"Si","No")</f>
        <v>No</v>
      </c>
      <c r="J252" s="77" t="str">
        <f ca="1">INDEX(Table12[Acción],MATCH(Insumos_a_comprar[[#This Row],[Planilla]],Table12[Planilla],0))</f>
        <v>Constante</v>
      </c>
      <c r="K252" s="77"/>
      <c r="L25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52" s="367"/>
      <c r="N252" s="367"/>
      <c r="O252" s="367"/>
      <c r="P252" s="179"/>
      <c r="Q252" s="1"/>
      <c r="R252" s="1"/>
    </row>
    <row r="253" spans="1:18" ht="31.5" x14ac:dyDescent="0.25">
      <c r="A253" s="13" t="s">
        <v>226</v>
      </c>
      <c r="B253" s="11" t="s">
        <v>392</v>
      </c>
      <c r="C253" s="61" t="str">
        <f>HYPERLINK("#'"&amp;Insumos_a_comprar[[#This Row],[Planilla]]&amp;"'!D1","Ir")</f>
        <v>Ir</v>
      </c>
      <c r="D253" s="11" t="s">
        <v>463</v>
      </c>
      <c r="E253" s="66" t="s">
        <v>931</v>
      </c>
      <c r="F253" s="67">
        <v>10</v>
      </c>
      <c r="G253" s="68" t="s">
        <v>7</v>
      </c>
      <c r="H253" s="72">
        <f ca="1">SUMIF(INDIRECT(SUBSTITUTE(B253," ","_")&amp;"[Insumo]"),Insumos_a_comprar[[#This Row],[Insumo]],INDIRECT(SUBSTITUTE(B253," ","_")&amp;"[Stock]"))</f>
        <v>40</v>
      </c>
      <c r="I253" s="69" t="str">
        <f ca="1">IF((Insumos_a_comprar[[#This Row],[Stock actual]]-Insumos_a_comprar[[#This Row],[Stock mínimo]])&lt;0,"Si","No")</f>
        <v>No</v>
      </c>
      <c r="J253" s="67" t="str">
        <f ca="1">INDEX(Table12[Acción],MATCH(Insumos_a_comprar[[#This Row],[Planilla]],Table12[Planilla],0))</f>
        <v>Vencido</v>
      </c>
      <c r="K253" s="71">
        <v>250</v>
      </c>
      <c r="L25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53" s="65"/>
      <c r="N253" s="65"/>
      <c r="O253" s="65"/>
      <c r="P253" s="178"/>
      <c r="Q253" s="1"/>
      <c r="R253" s="1"/>
    </row>
    <row r="254" spans="1:18" x14ac:dyDescent="0.25">
      <c r="A254" s="22" t="s">
        <v>975</v>
      </c>
      <c r="B254" s="23" t="s">
        <v>63</v>
      </c>
      <c r="C254" s="193" t="str">
        <f>HYPERLINK("#'"&amp;Insumos_a_comprar[[#This Row],[Planilla]]&amp;"'!D1","Ir")</f>
        <v>Ir</v>
      </c>
      <c r="D254" s="23" t="s">
        <v>397</v>
      </c>
      <c r="E254" s="73"/>
      <c r="F254" s="74">
        <v>1</v>
      </c>
      <c r="G254" s="75" t="s">
        <v>65</v>
      </c>
      <c r="H254" s="76">
        <f ca="1">SUMIF(INDIRECT(SUBSTITUTE(B254," ","_")&amp;"[Insumo]"),Insumos_a_comprar[[#This Row],[Insumo]],INDIRECT(SUBSTITUTE(B254," ","_")&amp;"[Stock]"))</f>
        <v>1</v>
      </c>
      <c r="I254" s="194" t="str">
        <f ca="1">IF((Insumos_a_comprar[[#This Row],[Stock actual]]-Insumos_a_comprar[[#This Row],[Stock mínimo]])&lt;0,"Si","No")</f>
        <v>No</v>
      </c>
      <c r="J254" s="77" t="str">
        <f ca="1">INDEX(Table12[Acción],MATCH(Insumos_a_comprar[[#This Row],[Planilla]],Table12[Planilla],0))</f>
        <v>Constante</v>
      </c>
      <c r="K254" s="77">
        <v>1</v>
      </c>
      <c r="L25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54" s="206"/>
      <c r="N254" s="206"/>
      <c r="O254" s="206"/>
      <c r="P254" s="179"/>
      <c r="Q254" s="1"/>
      <c r="R254" s="1"/>
    </row>
    <row r="255" spans="1:18" x14ac:dyDescent="0.25">
      <c r="A255" s="22" t="s">
        <v>976</v>
      </c>
      <c r="B255" s="23" t="s">
        <v>63</v>
      </c>
      <c r="C255" s="193" t="str">
        <f>HYPERLINK("#'"&amp;Insumos_a_comprar[[#This Row],[Planilla]]&amp;"'!D1","Ir")</f>
        <v>Ir</v>
      </c>
      <c r="D255" s="23" t="s">
        <v>397</v>
      </c>
      <c r="E255" s="73"/>
      <c r="F255" s="74">
        <v>0</v>
      </c>
      <c r="G255" s="75" t="s">
        <v>65</v>
      </c>
      <c r="H255" s="76">
        <f ca="1">SUMIF(INDIRECT(SUBSTITUTE(B255," ","_")&amp;"[Insumo]"),Insumos_a_comprar[[#This Row],[Insumo]],INDIRECT(SUBSTITUTE(B255," ","_")&amp;"[Stock]"))</f>
        <v>0</v>
      </c>
      <c r="I255" s="194" t="str">
        <f ca="1">IF((Insumos_a_comprar[[#This Row],[Stock actual]]-Insumos_a_comprar[[#This Row],[Stock mínimo]])&lt;0,"Si","No")</f>
        <v>No</v>
      </c>
      <c r="J255" s="77" t="str">
        <f ca="1">INDEX(Table12[Acción],MATCH(Insumos_a_comprar[[#This Row],[Planilla]],Table12[Planilla],0))</f>
        <v>Constante</v>
      </c>
      <c r="K255" s="77">
        <v>1</v>
      </c>
      <c r="L25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55" s="206"/>
      <c r="N255" s="206"/>
      <c r="O255" s="206"/>
      <c r="P255" s="179"/>
      <c r="Q255" s="1"/>
      <c r="R255" s="1"/>
    </row>
    <row r="256" spans="1:18" ht="31.5" x14ac:dyDescent="0.25">
      <c r="A256" s="22" t="s">
        <v>969</v>
      </c>
      <c r="B256" s="23" t="s">
        <v>63</v>
      </c>
      <c r="C256" s="193" t="str">
        <f>HYPERLINK("#'"&amp;Insumos_a_comprar[[#This Row],[Planilla]]&amp;"'!D1","Ir")</f>
        <v>Ir</v>
      </c>
      <c r="D256" s="23" t="s">
        <v>397</v>
      </c>
      <c r="E256" s="73"/>
      <c r="F256" s="74">
        <v>3</v>
      </c>
      <c r="G256" s="75" t="s">
        <v>65</v>
      </c>
      <c r="H256" s="76">
        <f ca="1">SUMIF(INDIRECT(SUBSTITUTE(B256," ","_")&amp;"[Insumo]"),Insumos_a_comprar[[#This Row],[Insumo]],INDIRECT(SUBSTITUTE(B256," ","_")&amp;"[Stock]"))</f>
        <v>0</v>
      </c>
      <c r="I256" s="194" t="str">
        <f ca="1">IF((Insumos_a_comprar[[#This Row],[Stock actual]]-Insumos_a_comprar[[#This Row],[Stock mínimo]])&lt;0,"Si","No")</f>
        <v>Si</v>
      </c>
      <c r="J256" s="77" t="str">
        <f ca="1">INDEX(Table12[Acción],MATCH(Insumos_a_comprar[[#This Row],[Planilla]],Table12[Planilla],0))</f>
        <v>Constante</v>
      </c>
      <c r="K256" s="77">
        <v>1</v>
      </c>
      <c r="L25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56" s="206">
        <v>44245</v>
      </c>
      <c r="N256" s="206">
        <v>44042</v>
      </c>
      <c r="O256" s="206"/>
      <c r="P256" s="179" t="s">
        <v>1022</v>
      </c>
      <c r="Q256" s="1"/>
      <c r="R256" s="1"/>
    </row>
    <row r="257" spans="1:18" x14ac:dyDescent="0.25">
      <c r="A257" s="22" t="s">
        <v>971</v>
      </c>
      <c r="B257" s="23" t="s">
        <v>63</v>
      </c>
      <c r="C257" s="193" t="str">
        <f>HYPERLINK("#'"&amp;Insumos_a_comprar[[#This Row],[Planilla]]&amp;"'!D1","Ir")</f>
        <v>Ir</v>
      </c>
      <c r="D257" s="23" t="s">
        <v>397</v>
      </c>
      <c r="E257" s="73"/>
      <c r="F257" s="74">
        <v>3</v>
      </c>
      <c r="G257" s="75" t="s">
        <v>65</v>
      </c>
      <c r="H257" s="76">
        <f ca="1">SUMIF(INDIRECT(SUBSTITUTE(B257," ","_")&amp;"[Insumo]"),Insumos_a_comprar[[#This Row],[Insumo]],INDIRECT(SUBSTITUTE(B257," ","_")&amp;"[Stock]"))</f>
        <v>11</v>
      </c>
      <c r="I257" s="194" t="str">
        <f ca="1">IF((Insumos_a_comprar[[#This Row],[Stock actual]]-Insumos_a_comprar[[#This Row],[Stock mínimo]])&lt;0,"Si","No")</f>
        <v>No</v>
      </c>
      <c r="J257" s="77" t="str">
        <f ca="1">INDEX(Table12[Acción],MATCH(Insumos_a_comprar[[#This Row],[Planilla]],Table12[Planilla],0))</f>
        <v>Constante</v>
      </c>
      <c r="K257" s="77">
        <v>1</v>
      </c>
      <c r="L25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57" s="206"/>
      <c r="N257" s="206"/>
      <c r="O257" s="206"/>
      <c r="P257" s="179"/>
      <c r="Q257" s="1"/>
      <c r="R257" s="1"/>
    </row>
    <row r="258" spans="1:18" ht="31.5" x14ac:dyDescent="0.25">
      <c r="A258" s="22" t="s">
        <v>970</v>
      </c>
      <c r="B258" s="23" t="s">
        <v>63</v>
      </c>
      <c r="C258" s="193" t="str">
        <f>HYPERLINK("#'"&amp;Insumos_a_comprar[[#This Row],[Planilla]]&amp;"'!D1","Ir")</f>
        <v>Ir</v>
      </c>
      <c r="D258" s="23" t="s">
        <v>397</v>
      </c>
      <c r="E258" s="73"/>
      <c r="F258" s="74">
        <v>2</v>
      </c>
      <c r="G258" s="75" t="s">
        <v>65</v>
      </c>
      <c r="H258" s="76">
        <f ca="1">SUMIF(INDIRECT(SUBSTITUTE(B258," ","_")&amp;"[Insumo]"),Insumos_a_comprar[[#This Row],[Insumo]],INDIRECT(SUBSTITUTE(B258," ","_")&amp;"[Stock]"))</f>
        <v>0</v>
      </c>
      <c r="I258" s="194" t="str">
        <f ca="1">IF((Insumos_a_comprar[[#This Row],[Stock actual]]-Insumos_a_comprar[[#This Row],[Stock mínimo]])&lt;0,"Si","No")</f>
        <v>Si</v>
      </c>
      <c r="J258" s="77" t="str">
        <f ca="1">INDEX(Table12[Acción],MATCH(Insumos_a_comprar[[#This Row],[Planilla]],Table12[Planilla],0))</f>
        <v>Constante</v>
      </c>
      <c r="K258" s="77">
        <v>1</v>
      </c>
      <c r="L25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58" s="206">
        <v>44245</v>
      </c>
      <c r="N258" s="206">
        <v>44042</v>
      </c>
      <c r="O258" s="206"/>
      <c r="P258" s="179" t="s">
        <v>1022</v>
      </c>
      <c r="Q258" s="1"/>
      <c r="R258" s="1"/>
    </row>
    <row r="259" spans="1:18" x14ac:dyDescent="0.25">
      <c r="A259" s="22" t="s">
        <v>972</v>
      </c>
      <c r="B259" s="23" t="s">
        <v>63</v>
      </c>
      <c r="C259" s="193" t="str">
        <f>HYPERLINK("#'"&amp;Insumos_a_comprar[[#This Row],[Planilla]]&amp;"'!D1","Ir")</f>
        <v>Ir</v>
      </c>
      <c r="D259" s="23" t="s">
        <v>397</v>
      </c>
      <c r="E259" s="73"/>
      <c r="F259" s="74">
        <v>2</v>
      </c>
      <c r="G259" s="75" t="s">
        <v>65</v>
      </c>
      <c r="H259" s="76">
        <f ca="1">SUMIF(INDIRECT(SUBSTITUTE(B259," ","_")&amp;"[Insumo]"),Insumos_a_comprar[[#This Row],[Insumo]],INDIRECT(SUBSTITUTE(B259," ","_")&amp;"[Stock]"))</f>
        <v>2</v>
      </c>
      <c r="I259" s="194" t="str">
        <f ca="1">IF((Insumos_a_comprar[[#This Row],[Stock actual]]-Insumos_a_comprar[[#This Row],[Stock mínimo]])&lt;0,"Si","No")</f>
        <v>No</v>
      </c>
      <c r="J259" s="77" t="str">
        <f ca="1">INDEX(Table12[Acción],MATCH(Insumos_a_comprar[[#This Row],[Planilla]],Table12[Planilla],0))</f>
        <v>Constante</v>
      </c>
      <c r="K259" s="77">
        <v>1</v>
      </c>
      <c r="L25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59" s="206"/>
      <c r="N259" s="206"/>
      <c r="O259" s="206"/>
      <c r="P259" s="179"/>
      <c r="Q259" s="1"/>
      <c r="R259" s="1"/>
    </row>
    <row r="260" spans="1:18" x14ac:dyDescent="0.25">
      <c r="A260" s="22" t="s">
        <v>973</v>
      </c>
      <c r="B260" s="23" t="s">
        <v>63</v>
      </c>
      <c r="C260" s="193" t="str">
        <f>HYPERLINK("#'"&amp;Insumos_a_comprar[[#This Row],[Planilla]]&amp;"'!D1","Ir")</f>
        <v>Ir</v>
      </c>
      <c r="D260" s="23" t="s">
        <v>397</v>
      </c>
      <c r="E260" s="73"/>
      <c r="F260" s="74">
        <v>2</v>
      </c>
      <c r="G260" s="75" t="s">
        <v>65</v>
      </c>
      <c r="H260" s="76">
        <f ca="1">SUMIF(INDIRECT(SUBSTITUTE(B260," ","_")&amp;"[Insumo]"),Insumos_a_comprar[[#This Row],[Insumo]],INDIRECT(SUBSTITUTE(B260," ","_")&amp;"[Stock]"))</f>
        <v>2</v>
      </c>
      <c r="I260" s="194" t="str">
        <f ca="1">IF((Insumos_a_comprar[[#This Row],[Stock actual]]-Insumos_a_comprar[[#This Row],[Stock mínimo]])&lt;0,"Si","No")</f>
        <v>No</v>
      </c>
      <c r="J260" s="77" t="str">
        <f ca="1">INDEX(Table12[Acción],MATCH(Insumos_a_comprar[[#This Row],[Planilla]],Table12[Planilla],0))</f>
        <v>Constante</v>
      </c>
      <c r="K260" s="77">
        <v>1</v>
      </c>
      <c r="L26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0" s="206"/>
      <c r="N260" s="206"/>
      <c r="O260" s="206"/>
      <c r="P260" s="179"/>
      <c r="Q260" s="1"/>
      <c r="R260" s="1"/>
    </row>
    <row r="261" spans="1:18" x14ac:dyDescent="0.25">
      <c r="A261" s="22" t="s">
        <v>974</v>
      </c>
      <c r="B261" s="23" t="s">
        <v>63</v>
      </c>
      <c r="C261" s="193" t="str">
        <f>HYPERLINK("#'"&amp;Insumos_a_comprar[[#This Row],[Planilla]]&amp;"'!D1","Ir")</f>
        <v>Ir</v>
      </c>
      <c r="D261" s="23" t="s">
        <v>397</v>
      </c>
      <c r="E261" s="73"/>
      <c r="F261" s="74">
        <v>2</v>
      </c>
      <c r="G261" s="75" t="s">
        <v>65</v>
      </c>
      <c r="H261" s="76">
        <f ca="1">SUMIF(INDIRECT(SUBSTITUTE(B261," ","_")&amp;"[Insumo]"),Insumos_a_comprar[[#This Row],[Insumo]],INDIRECT(SUBSTITUTE(B261," ","_")&amp;"[Stock]"))</f>
        <v>3</v>
      </c>
      <c r="I261" s="194" t="str">
        <f ca="1">IF((Insumos_a_comprar[[#This Row],[Stock actual]]-Insumos_a_comprar[[#This Row],[Stock mínimo]])&lt;0,"Si","No")</f>
        <v>No</v>
      </c>
      <c r="J261" s="77" t="str">
        <f ca="1">INDEX(Table12[Acción],MATCH(Insumos_a_comprar[[#This Row],[Planilla]],Table12[Planilla],0))</f>
        <v>Constante</v>
      </c>
      <c r="K261" s="77">
        <v>1</v>
      </c>
      <c r="L26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1" s="367"/>
      <c r="N261" s="367"/>
      <c r="O261" s="367"/>
      <c r="P261" s="179"/>
      <c r="Q261" s="1"/>
      <c r="R261" s="1"/>
    </row>
    <row r="262" spans="1:18" x14ac:dyDescent="0.25">
      <c r="A262" s="22" t="s">
        <v>1040</v>
      </c>
      <c r="B262" s="23" t="s">
        <v>594</v>
      </c>
      <c r="C262" s="61" t="str">
        <f>HYPERLINK("#'"&amp;Insumos_a_comprar[[#This Row],[Planilla]]&amp;"'!D1","Ir")</f>
        <v>Ir</v>
      </c>
      <c r="D262" s="11" t="s">
        <v>397</v>
      </c>
      <c r="E262" s="73" t="s">
        <v>397</v>
      </c>
      <c r="F262" s="74">
        <v>1</v>
      </c>
      <c r="G262" s="75" t="s">
        <v>65</v>
      </c>
      <c r="H262" s="76">
        <f ca="1">SUMIF(INDIRECT(SUBSTITUTE(B262," ","_")&amp;"[Insumo]"),Insumos_a_comprar[[#This Row],[Insumo]],INDIRECT(SUBSTITUTE(B262," ","_")&amp;"[Stock]"))</f>
        <v>1</v>
      </c>
      <c r="I262" s="69" t="str">
        <f ca="1">IF((Insumos_a_comprar[[#This Row],[Stock actual]]-Insumos_a_comprar[[#This Row],[Stock mínimo]])&lt;0,"Si","No")</f>
        <v>No</v>
      </c>
      <c r="J262" s="67" t="str">
        <f ca="1">INDEX(Table12[Acción],MATCH(Insumos_a_comprar[[#This Row],[Planilla]],Table12[Planilla],0))</f>
        <v>Constante</v>
      </c>
      <c r="K262" s="77">
        <v>1</v>
      </c>
      <c r="L26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2" s="367"/>
      <c r="N262" s="367"/>
      <c r="O262" s="367">
        <v>44105</v>
      </c>
      <c r="P262" s="179"/>
      <c r="Q262" s="1"/>
      <c r="R262" s="1"/>
    </row>
    <row r="263" spans="1:18" x14ac:dyDescent="0.25">
      <c r="A263" s="10" t="s">
        <v>27</v>
      </c>
      <c r="B263" s="11" t="s">
        <v>60</v>
      </c>
      <c r="C263" s="61" t="str">
        <f>HYPERLINK("#'"&amp;Insumos_a_comprar[[#This Row],[Planilla]]&amp;"'!D1","Ir")</f>
        <v>Ir</v>
      </c>
      <c r="D263" s="11" t="s">
        <v>463</v>
      </c>
      <c r="E263" s="66" t="s">
        <v>853</v>
      </c>
      <c r="F263" s="67">
        <v>250</v>
      </c>
      <c r="G263" s="68" t="s">
        <v>7</v>
      </c>
      <c r="H263" s="66">
        <f ca="1">SUMIF(INDIRECT(SUBSTITUTE(B263," ","_")&amp;"[Insumo]"),Insumos_a_comprar[[#This Row],[Insumo]],INDIRECT(SUBSTITUTE(B263," ","_")&amp;"[Stock]"))</f>
        <v>900</v>
      </c>
      <c r="I263" s="69" t="str">
        <f ca="1">IF((Insumos_a_comprar[[#This Row],[Stock actual]]-Insumos_a_comprar[[#This Row],[Stock mínimo]])&lt;0,"Si","No")</f>
        <v>No</v>
      </c>
      <c r="J263" s="67" t="str">
        <f ca="1">INDEX(Table12[Acción],MATCH(Insumos_a_comprar[[#This Row],[Planilla]],Table12[Planilla],0))</f>
        <v>Vigente</v>
      </c>
      <c r="K263" s="71">
        <v>250</v>
      </c>
      <c r="L26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3" s="65"/>
      <c r="N263" s="65"/>
      <c r="O263" s="65"/>
      <c r="P263" s="178"/>
      <c r="Q263" s="1"/>
      <c r="R263" s="1"/>
    </row>
    <row r="264" spans="1:18" x14ac:dyDescent="0.25">
      <c r="A264" s="22" t="s">
        <v>979</v>
      </c>
      <c r="B264" s="23" t="s">
        <v>63</v>
      </c>
      <c r="C264" s="193" t="str">
        <f>HYPERLINK("#'"&amp;Insumos_a_comprar[[#This Row],[Planilla]]&amp;"'!D1","Ir")</f>
        <v>Ir</v>
      </c>
      <c r="D264" s="23" t="s">
        <v>397</v>
      </c>
      <c r="E264" s="73"/>
      <c r="F264" s="74">
        <v>1</v>
      </c>
      <c r="G264" s="75" t="s">
        <v>65</v>
      </c>
      <c r="H264" s="76">
        <f ca="1">SUMIF(INDIRECT(SUBSTITUTE(B264," ","_")&amp;"[Insumo]"),Insumos_a_comprar[[#This Row],[Insumo]],INDIRECT(SUBSTITUTE(B264," ","_")&amp;"[Stock]"))</f>
        <v>1</v>
      </c>
      <c r="I264" s="194" t="str">
        <f ca="1">IF((Insumos_a_comprar[[#This Row],[Stock actual]]-Insumos_a_comprar[[#This Row],[Stock mínimo]])&lt;0,"Si","No")</f>
        <v>No</v>
      </c>
      <c r="J264" s="77" t="str">
        <f ca="1">INDEX(Table12[Acción],MATCH(Insumos_a_comprar[[#This Row],[Planilla]],Table12[Planilla],0))</f>
        <v>Constante</v>
      </c>
      <c r="K264" s="77"/>
      <c r="L26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4" s="206"/>
      <c r="N264" s="206"/>
      <c r="O264" s="206"/>
      <c r="P264" s="179"/>
      <c r="Q264" s="1"/>
      <c r="R264" s="1"/>
    </row>
    <row r="265" spans="1:18" x14ac:dyDescent="0.25">
      <c r="A265" s="22" t="s">
        <v>977</v>
      </c>
      <c r="B265" s="23" t="s">
        <v>63</v>
      </c>
      <c r="C265" s="193" t="str">
        <f>HYPERLINK("#'"&amp;Insumos_a_comprar[[#This Row],[Planilla]]&amp;"'!D1","Ir")</f>
        <v>Ir</v>
      </c>
      <c r="D265" s="23" t="s">
        <v>397</v>
      </c>
      <c r="E265" s="73"/>
      <c r="F265" s="74"/>
      <c r="G265" s="75" t="s">
        <v>65</v>
      </c>
      <c r="H265" s="76">
        <f ca="1">SUMIF(INDIRECT(SUBSTITUTE(B265," ","_")&amp;"[Insumo]"),Insumos_a_comprar[[#This Row],[Insumo]],INDIRECT(SUBSTITUTE(B265," ","_")&amp;"[Stock]"))</f>
        <v>1</v>
      </c>
      <c r="I265" s="194" t="str">
        <f ca="1">IF((Insumos_a_comprar[[#This Row],[Stock actual]]-Insumos_a_comprar[[#This Row],[Stock mínimo]])&lt;0,"Si","No")</f>
        <v>No</v>
      </c>
      <c r="J265" s="77" t="str">
        <f ca="1">INDEX(Table12[Acción],MATCH(Insumos_a_comprar[[#This Row],[Planilla]],Table12[Planilla],0))</f>
        <v>Constante</v>
      </c>
      <c r="K265" s="77"/>
      <c r="L26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5" s="206"/>
      <c r="N265" s="206"/>
      <c r="O265" s="206"/>
      <c r="P265" s="179"/>
      <c r="Q265" s="1"/>
      <c r="R265" s="1"/>
    </row>
    <row r="266" spans="1:18" x14ac:dyDescent="0.25">
      <c r="A266" s="22" t="s">
        <v>978</v>
      </c>
      <c r="B266" s="23" t="s">
        <v>63</v>
      </c>
      <c r="C266" s="193" t="str">
        <f>HYPERLINK("#'"&amp;Insumos_a_comprar[[#This Row],[Planilla]]&amp;"'!D1","Ir")</f>
        <v>Ir</v>
      </c>
      <c r="D266" s="23" t="s">
        <v>397</v>
      </c>
      <c r="E266" s="73"/>
      <c r="F266" s="74"/>
      <c r="G266" s="75" t="s">
        <v>65</v>
      </c>
      <c r="H266" s="76">
        <f ca="1">SUMIF(INDIRECT(SUBSTITUTE(B266," ","_")&amp;"[Insumo]"),Insumos_a_comprar[[#This Row],[Insumo]],INDIRECT(SUBSTITUTE(B266," ","_")&amp;"[Stock]"))</f>
        <v>6</v>
      </c>
      <c r="I266" s="194" t="str">
        <f ca="1">IF((Insumos_a_comprar[[#This Row],[Stock actual]]-Insumos_a_comprar[[#This Row],[Stock mínimo]])&lt;0,"Si","No")</f>
        <v>No</v>
      </c>
      <c r="J266" s="77" t="str">
        <f ca="1">INDEX(Table12[Acción],MATCH(Insumos_a_comprar[[#This Row],[Planilla]],Table12[Planilla],0))</f>
        <v>Constante</v>
      </c>
      <c r="K266" s="77"/>
      <c r="L26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6" s="206"/>
      <c r="N266" s="206"/>
      <c r="O266" s="206"/>
      <c r="P266" s="179"/>
      <c r="Q266" s="1"/>
      <c r="R266" s="1"/>
    </row>
    <row r="267" spans="1:18" x14ac:dyDescent="0.25">
      <c r="A267" s="22" t="s">
        <v>1011</v>
      </c>
      <c r="B267" s="23" t="s">
        <v>63</v>
      </c>
      <c r="C267" s="193" t="str">
        <f>HYPERLINK("#'"&amp;Insumos_a_comprar[[#This Row],[Planilla]]&amp;"'!D1","Ir")</f>
        <v>Ir</v>
      </c>
      <c r="D267" s="23" t="s">
        <v>397</v>
      </c>
      <c r="E267" s="73"/>
      <c r="F267" s="74">
        <v>1</v>
      </c>
      <c r="G267" s="75" t="s">
        <v>65</v>
      </c>
      <c r="H267" s="76">
        <f ca="1">SUMIF(INDIRECT(SUBSTITUTE(B267," ","_")&amp;"[Insumo]"),Insumos_a_comprar[[#This Row],[Insumo]],INDIRECT(SUBSTITUTE(B267," ","_")&amp;"[Stock]"))</f>
        <v>1</v>
      </c>
      <c r="I267" s="194" t="str">
        <f ca="1">IF((Insumos_a_comprar[[#This Row],[Stock actual]]-Insumos_a_comprar[[#This Row],[Stock mínimo]])&lt;0,"Si","No")</f>
        <v>No</v>
      </c>
      <c r="J267" s="77" t="str">
        <f ca="1">INDEX(Table12[Acción],MATCH(Insumos_a_comprar[[#This Row],[Planilla]],Table12[Planilla],0))</f>
        <v>Constante</v>
      </c>
      <c r="K267" s="77"/>
      <c r="L26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7" s="367"/>
      <c r="N267" s="367"/>
      <c r="O267" s="367"/>
      <c r="P267" s="179"/>
      <c r="Q267" s="1"/>
      <c r="R267" s="1"/>
    </row>
    <row r="268" spans="1:18" x14ac:dyDescent="0.25">
      <c r="A268" s="22" t="s">
        <v>87</v>
      </c>
      <c r="B268" s="23" t="s">
        <v>594</v>
      </c>
      <c r="C268" s="61" t="str">
        <f>HYPERLINK("#'"&amp;Insumos_a_comprar[[#This Row],[Planilla]]&amp;"'!D1","Ir")</f>
        <v>Ir</v>
      </c>
      <c r="D268" s="11" t="s">
        <v>397</v>
      </c>
      <c r="E268" s="73" t="s">
        <v>397</v>
      </c>
      <c r="F268" s="74">
        <v>1</v>
      </c>
      <c r="G268" s="75" t="s">
        <v>65</v>
      </c>
      <c r="H268" s="76">
        <f ca="1">SUMIF(INDIRECT(SUBSTITUTE(B268," ","_")&amp;"[Insumo]"),Insumos_a_comprar[[#This Row],[Insumo]],INDIRECT(SUBSTITUTE(B268," ","_")&amp;"[Stock]"))</f>
        <v>1</v>
      </c>
      <c r="I268" s="69" t="str">
        <f ca="1">IF((Insumos_a_comprar[[#This Row],[Stock actual]]-Insumos_a_comprar[[#This Row],[Stock mínimo]])&lt;0,"Si","No")</f>
        <v>No</v>
      </c>
      <c r="J268" s="67" t="str">
        <f ca="1">INDEX(Table12[Acción],MATCH(Insumos_a_comprar[[#This Row],[Planilla]],Table12[Planilla],0))</f>
        <v>Constante</v>
      </c>
      <c r="K268" s="77">
        <v>1</v>
      </c>
      <c r="L26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8" s="367"/>
      <c r="N268" s="367"/>
      <c r="O268" s="367"/>
      <c r="P268" s="179"/>
      <c r="Q268" s="1"/>
      <c r="R268" s="1"/>
    </row>
    <row r="269" spans="1:18" x14ac:dyDescent="0.25">
      <c r="A269" s="10" t="s">
        <v>29</v>
      </c>
      <c r="B269" s="11" t="s">
        <v>60</v>
      </c>
      <c r="C269" s="61" t="str">
        <f>HYPERLINK("#'"&amp;Insumos_a_comprar[[#This Row],[Planilla]]&amp;"'!D1","Ir")</f>
        <v>Ir</v>
      </c>
      <c r="D269" s="11" t="s">
        <v>463</v>
      </c>
      <c r="E269" s="66" t="s">
        <v>805</v>
      </c>
      <c r="F269" s="67">
        <v>250</v>
      </c>
      <c r="G269" s="68" t="s">
        <v>7</v>
      </c>
      <c r="H269" s="66">
        <f ca="1">SUMIF(INDIRECT(SUBSTITUTE(B269," ","_")&amp;"[Insumo]"),Insumos_a_comprar[[#This Row],[Insumo]],INDIRECT(SUBSTITUTE(B269," ","_")&amp;"[Stock]"))</f>
        <v>450</v>
      </c>
      <c r="I269" s="69" t="str">
        <f ca="1">IF((Insumos_a_comprar[[#This Row],[Stock actual]]-Insumos_a_comprar[[#This Row],[Stock mínimo]])&lt;0,"Si","No")</f>
        <v>No</v>
      </c>
      <c r="J269" s="67" t="str">
        <f ca="1">INDEX(Table12[Acción],MATCH(Insumos_a_comprar[[#This Row],[Planilla]],Table12[Planilla],0))</f>
        <v>Vigente</v>
      </c>
      <c r="K269" s="71">
        <v>250</v>
      </c>
      <c r="L26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69" s="65"/>
      <c r="N269" s="65"/>
      <c r="O269" s="65"/>
      <c r="P269" s="178"/>
      <c r="Q269" s="1"/>
      <c r="R269" s="1"/>
    </row>
    <row r="270" spans="1:18" x14ac:dyDescent="0.25">
      <c r="A270" s="13" t="s">
        <v>227</v>
      </c>
      <c r="B270" s="11" t="s">
        <v>392</v>
      </c>
      <c r="C270" s="61" t="str">
        <f>HYPERLINK("#'"&amp;Insumos_a_comprar[[#This Row],[Planilla]]&amp;"'!D1","Ir")</f>
        <v>Ir</v>
      </c>
      <c r="D270" s="11" t="s">
        <v>463</v>
      </c>
      <c r="E270" s="66"/>
      <c r="F270" s="67">
        <v>250</v>
      </c>
      <c r="G270" s="68" t="s">
        <v>7</v>
      </c>
      <c r="H270" s="72">
        <f ca="1">SUMIF(INDIRECT(SUBSTITUTE(B270," ","_")&amp;"[Insumo]"),Insumos_a_comprar[[#This Row],[Insumo]],INDIRECT(SUBSTITUTE(B270," ","_")&amp;"[Stock]"))</f>
        <v>900</v>
      </c>
      <c r="I270" s="69" t="str">
        <f ca="1">IF((Insumos_a_comprar[[#This Row],[Stock actual]]-Insumos_a_comprar[[#This Row],[Stock mínimo]])&lt;0,"Si","No")</f>
        <v>No</v>
      </c>
      <c r="J270" s="67" t="str">
        <f ca="1">INDEX(Table12[Acción],MATCH(Insumos_a_comprar[[#This Row],[Planilla]],Table12[Planilla],0))</f>
        <v>Vencido</v>
      </c>
      <c r="K270" s="71">
        <v>250</v>
      </c>
      <c r="L27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0" s="65"/>
      <c r="N270" s="65"/>
      <c r="O270" s="65"/>
      <c r="P270" s="178"/>
      <c r="Q270" s="1"/>
      <c r="R270" s="1"/>
    </row>
    <row r="271" spans="1:18" x14ac:dyDescent="0.25">
      <c r="A271" s="22" t="s">
        <v>85</v>
      </c>
      <c r="B271" s="23" t="s">
        <v>594</v>
      </c>
      <c r="C271" s="61" t="str">
        <f>HYPERLINK("#'"&amp;Insumos_a_comprar[[#This Row],[Planilla]]&amp;"'!D1","Ir")</f>
        <v>Ir</v>
      </c>
      <c r="D271" s="11" t="s">
        <v>397</v>
      </c>
      <c r="E271" s="73" t="s">
        <v>397</v>
      </c>
      <c r="F271" s="74">
        <v>1</v>
      </c>
      <c r="G271" s="75" t="s">
        <v>65</v>
      </c>
      <c r="H271" s="76">
        <f ca="1">SUMIF(INDIRECT(SUBSTITUTE(B271," ","_")&amp;"[Insumo]"),Insumos_a_comprar[[#This Row],[Insumo]],INDIRECT(SUBSTITUTE(B271," ","_")&amp;"[Stock]"))</f>
        <v>2</v>
      </c>
      <c r="I271" s="69" t="str">
        <f ca="1">IF((Insumos_a_comprar[[#This Row],[Stock actual]]-Insumos_a_comprar[[#This Row],[Stock mínimo]])&lt;0,"Si","No")</f>
        <v>No</v>
      </c>
      <c r="J271" s="67" t="str">
        <f ca="1">INDEX(Table12[Acción],MATCH(Insumos_a_comprar[[#This Row],[Planilla]],Table12[Planilla],0))</f>
        <v>Constante</v>
      </c>
      <c r="K271" s="77">
        <v>1</v>
      </c>
      <c r="L27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1" s="367"/>
      <c r="N271" s="367"/>
      <c r="O271" s="367"/>
      <c r="P271" s="179"/>
      <c r="Q271" s="1"/>
      <c r="R271" s="1"/>
    </row>
    <row r="272" spans="1:18" x14ac:dyDescent="0.25">
      <c r="A272" s="13" t="s">
        <v>228</v>
      </c>
      <c r="B272" s="11" t="s">
        <v>392</v>
      </c>
      <c r="C272" s="61" t="str">
        <f>HYPERLINK("#'"&amp;Insumos_a_comprar[[#This Row],[Planilla]]&amp;"'!D1","Ir")</f>
        <v>Ir</v>
      </c>
      <c r="D272" s="11" t="s">
        <v>463</v>
      </c>
      <c r="E272" s="66"/>
      <c r="F272" s="67">
        <v>100</v>
      </c>
      <c r="G272" s="68" t="s">
        <v>7</v>
      </c>
      <c r="H272" s="72">
        <f ca="1">SUMIF(INDIRECT(SUBSTITUTE(B272," ","_")&amp;"[Insumo]"),Insumos_a_comprar[[#This Row],[Insumo]],INDIRECT(SUBSTITUTE(B272," ","_")&amp;"[Stock]"))</f>
        <v>125</v>
      </c>
      <c r="I272" s="69" t="str">
        <f ca="1">IF((Insumos_a_comprar[[#This Row],[Stock actual]]-Insumos_a_comprar[[#This Row],[Stock mínimo]])&lt;0,"Si","No")</f>
        <v>No</v>
      </c>
      <c r="J272" s="67" t="str">
        <f ca="1">INDEX(Table12[Acción],MATCH(Insumos_a_comprar[[#This Row],[Planilla]],Table12[Planilla],0))</f>
        <v>Vencido</v>
      </c>
      <c r="K272" s="71">
        <v>250</v>
      </c>
      <c r="L27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2" s="65"/>
      <c r="N272" s="65"/>
      <c r="O272" s="65"/>
      <c r="P272" s="178"/>
      <c r="Q272" s="1"/>
      <c r="R272" s="1"/>
    </row>
    <row r="273" spans="1:18" x14ac:dyDescent="0.25">
      <c r="A273" s="22" t="s">
        <v>525</v>
      </c>
      <c r="B273" s="23" t="s">
        <v>440</v>
      </c>
      <c r="C273" s="61" t="str">
        <f>HYPERLINK("#'"&amp;Insumos_a_comprar[[#This Row],[Planilla]]&amp;"'!D1","Ir")</f>
        <v>Ir</v>
      </c>
      <c r="D273" s="11" t="s">
        <v>397</v>
      </c>
      <c r="E273" s="73" t="s">
        <v>397</v>
      </c>
      <c r="F273" s="74">
        <v>10</v>
      </c>
      <c r="G273" s="75" t="s">
        <v>65</v>
      </c>
      <c r="H273" s="76">
        <f ca="1">SUMIF(INDIRECT(SUBSTITUTE(B273," ","_")&amp;"[Insumo]"),Insumos_a_comprar[[#This Row],[Insumo]],INDIRECT(SUBSTITUTE(B273," ","_")&amp;"[Stock]"))</f>
        <v>24</v>
      </c>
      <c r="I273" s="69" t="str">
        <f ca="1">IF((Insumos_a_comprar[[#This Row],[Stock actual]]-Insumos_a_comprar[[#This Row],[Stock mínimo]])&lt;0,"Si","No")</f>
        <v>No</v>
      </c>
      <c r="J273" s="67" t="str">
        <f ca="1">INDEX(Table12[Acción],MATCH(Insumos_a_comprar[[#This Row],[Planilla]],Table12[Planilla],0))</f>
        <v>Constante</v>
      </c>
      <c r="K273" s="77">
        <v>10</v>
      </c>
      <c r="L27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3" s="206"/>
      <c r="N273" s="206"/>
      <c r="O273" s="206"/>
      <c r="P273" s="179"/>
      <c r="Q273" s="1"/>
      <c r="R273" s="1"/>
    </row>
    <row r="274" spans="1:18" x14ac:dyDescent="0.25">
      <c r="A274" s="22" t="s">
        <v>522</v>
      </c>
      <c r="B274" s="23" t="s">
        <v>440</v>
      </c>
      <c r="C274" s="61" t="str">
        <f>HYPERLINK("#'"&amp;Insumos_a_comprar[[#This Row],[Planilla]]&amp;"'!D1","Ir")</f>
        <v>Ir</v>
      </c>
      <c r="D274" s="11" t="s">
        <v>397</v>
      </c>
      <c r="E274" s="73" t="s">
        <v>397</v>
      </c>
      <c r="F274" s="74">
        <v>40</v>
      </c>
      <c r="G274" s="75" t="s">
        <v>65</v>
      </c>
      <c r="H274" s="76">
        <f ca="1">SUMIF(INDIRECT(SUBSTITUTE(B274," ","_")&amp;"[Insumo]"),Insumos_a_comprar[[#This Row],[Insumo]],INDIRECT(SUBSTITUTE(B274," ","_")&amp;"[Stock]"))</f>
        <v>82</v>
      </c>
      <c r="I274" s="69" t="str">
        <f ca="1">IF((Insumos_a_comprar[[#This Row],[Stock actual]]-Insumos_a_comprar[[#This Row],[Stock mínimo]])&lt;0,"Si","No")</f>
        <v>No</v>
      </c>
      <c r="J274" s="67" t="str">
        <f ca="1">INDEX(Table12[Acción],MATCH(Insumos_a_comprar[[#This Row],[Planilla]],Table12[Planilla],0))</f>
        <v>Constante</v>
      </c>
      <c r="K274" s="77">
        <v>10</v>
      </c>
      <c r="L27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4" s="206"/>
      <c r="N274" s="206"/>
      <c r="O274" s="206"/>
      <c r="P274" s="179"/>
      <c r="Q274" s="1"/>
      <c r="R274" s="1"/>
    </row>
    <row r="275" spans="1:18" x14ac:dyDescent="0.25">
      <c r="A275" s="22" t="s">
        <v>518</v>
      </c>
      <c r="B275" s="23" t="s">
        <v>440</v>
      </c>
      <c r="C275" s="61" t="str">
        <f>HYPERLINK("#'"&amp;Insumos_a_comprar[[#This Row],[Planilla]]&amp;"'!D1","Ir")</f>
        <v>Ir</v>
      </c>
      <c r="D275" s="11" t="s">
        <v>397</v>
      </c>
      <c r="E275" s="73" t="s">
        <v>397</v>
      </c>
      <c r="F275" s="74">
        <v>4</v>
      </c>
      <c r="G275" s="75" t="s">
        <v>65</v>
      </c>
      <c r="H275" s="76">
        <f ca="1">SUMIF(INDIRECT(SUBSTITUTE(B275," ","_")&amp;"[Insumo]"),Insumos_a_comprar[[#This Row],[Insumo]],INDIRECT(SUBSTITUTE(B275," ","_")&amp;"[Stock]"))</f>
        <v>4</v>
      </c>
      <c r="I275" s="69" t="str">
        <f ca="1">IF((Insumos_a_comprar[[#This Row],[Stock actual]]-Insumos_a_comprar[[#This Row],[Stock mínimo]])&lt;0,"Si","No")</f>
        <v>No</v>
      </c>
      <c r="J275" s="67" t="str">
        <f ca="1">INDEX(Table12[Acción],MATCH(Insumos_a_comprar[[#This Row],[Planilla]],Table12[Planilla],0))</f>
        <v>Constante</v>
      </c>
      <c r="K275" s="77">
        <v>2</v>
      </c>
      <c r="L27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5" s="206"/>
      <c r="N275" s="206"/>
      <c r="O275" s="206"/>
      <c r="P275" s="179"/>
      <c r="Q275" s="1"/>
      <c r="R275" s="1"/>
    </row>
    <row r="276" spans="1:18" ht="31.5" x14ac:dyDescent="0.25">
      <c r="A276" s="22" t="s">
        <v>521</v>
      </c>
      <c r="B276" s="23" t="s">
        <v>440</v>
      </c>
      <c r="C276" s="61" t="str">
        <f>HYPERLINK("#'"&amp;Insumos_a_comprar[[#This Row],[Planilla]]&amp;"'!D1","Ir")</f>
        <v>Ir</v>
      </c>
      <c r="D276" s="11" t="s">
        <v>397</v>
      </c>
      <c r="E276" s="73" t="s">
        <v>397</v>
      </c>
      <c r="F276" s="74">
        <v>2</v>
      </c>
      <c r="G276" s="75" t="s">
        <v>65</v>
      </c>
      <c r="H276" s="76">
        <f ca="1">SUMIF(INDIRECT(SUBSTITUTE(B276," ","_")&amp;"[Insumo]"),Insumos_a_comprar[[#This Row],[Insumo]],INDIRECT(SUBSTITUTE(B276," ","_")&amp;"[Stock]"))</f>
        <v>1</v>
      </c>
      <c r="I276" s="69" t="str">
        <f ca="1">IF((Insumos_a_comprar[[#This Row],[Stock actual]]-Insumos_a_comprar[[#This Row],[Stock mínimo]])&lt;0,"Si","No")</f>
        <v>Si</v>
      </c>
      <c r="J276" s="67" t="str">
        <f ca="1">INDEX(Table12[Acción],MATCH(Insumos_a_comprar[[#This Row],[Planilla]],Table12[Planilla],0))</f>
        <v>Constante</v>
      </c>
      <c r="K276" s="77">
        <v>2</v>
      </c>
      <c r="L27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76" s="206">
        <v>44245</v>
      </c>
      <c r="N276" s="206">
        <v>44042</v>
      </c>
      <c r="O276" s="206"/>
      <c r="P276" s="179" t="s">
        <v>1023</v>
      </c>
      <c r="Q276" s="1"/>
      <c r="R276" s="1"/>
    </row>
    <row r="277" spans="1:18" x14ac:dyDescent="0.25">
      <c r="A277" s="22" t="s">
        <v>517</v>
      </c>
      <c r="B277" s="23" t="s">
        <v>440</v>
      </c>
      <c r="C277" s="61" t="str">
        <f>HYPERLINK("#'"&amp;Insumos_a_comprar[[#This Row],[Planilla]]&amp;"'!D1","Ir")</f>
        <v>Ir</v>
      </c>
      <c r="D277" s="11" t="s">
        <v>397</v>
      </c>
      <c r="E277" s="73" t="s">
        <v>397</v>
      </c>
      <c r="F277" s="74">
        <v>1</v>
      </c>
      <c r="G277" s="75" t="s">
        <v>65</v>
      </c>
      <c r="H277" s="76">
        <f ca="1">SUMIF(INDIRECT(SUBSTITUTE(B277," ","_")&amp;"[Insumo]"),Insumos_a_comprar[[#This Row],[Insumo]],INDIRECT(SUBSTITUTE(B277," ","_")&amp;"[Stock]"))</f>
        <v>2</v>
      </c>
      <c r="I277" s="69" t="str">
        <f ca="1">IF((Insumos_a_comprar[[#This Row],[Stock actual]]-Insumos_a_comprar[[#This Row],[Stock mínimo]])&lt;0,"Si","No")</f>
        <v>No</v>
      </c>
      <c r="J277" s="67" t="str">
        <f ca="1">INDEX(Table12[Acción],MATCH(Insumos_a_comprar[[#This Row],[Planilla]],Table12[Planilla],0))</f>
        <v>Constante</v>
      </c>
      <c r="K277" s="77">
        <v>1</v>
      </c>
      <c r="L27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7" s="206"/>
      <c r="N277" s="206"/>
      <c r="O277" s="206"/>
      <c r="P277" s="179"/>
      <c r="Q277" s="1"/>
      <c r="R277" s="1"/>
    </row>
    <row r="278" spans="1:18" x14ac:dyDescent="0.25">
      <c r="A278" s="22" t="s">
        <v>524</v>
      </c>
      <c r="B278" s="23" t="s">
        <v>440</v>
      </c>
      <c r="C278" s="61" t="str">
        <f>HYPERLINK("#'"&amp;Insumos_a_comprar[[#This Row],[Planilla]]&amp;"'!D1","Ir")</f>
        <v>Ir</v>
      </c>
      <c r="D278" s="11" t="s">
        <v>397</v>
      </c>
      <c r="E278" s="73" t="s">
        <v>397</v>
      </c>
      <c r="F278" s="74">
        <v>20</v>
      </c>
      <c r="G278" s="75" t="s">
        <v>65</v>
      </c>
      <c r="H278" s="76">
        <f ca="1">SUMIF(INDIRECT(SUBSTITUTE(B278," ","_")&amp;"[Insumo]"),Insumos_a_comprar[[#This Row],[Insumo]],INDIRECT(SUBSTITUTE(B278," ","_")&amp;"[Stock]"))</f>
        <v>20</v>
      </c>
      <c r="I278" s="69" t="str">
        <f ca="1">IF((Insumos_a_comprar[[#This Row],[Stock actual]]-Insumos_a_comprar[[#This Row],[Stock mínimo]])&lt;0,"Si","No")</f>
        <v>No</v>
      </c>
      <c r="J278" s="67" t="str">
        <f ca="1">INDEX(Table12[Acción],MATCH(Insumos_a_comprar[[#This Row],[Planilla]],Table12[Planilla],0))</f>
        <v>Constante</v>
      </c>
      <c r="K278" s="77">
        <v>10</v>
      </c>
      <c r="L27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8" s="206"/>
      <c r="N278" s="206"/>
      <c r="O278" s="206"/>
      <c r="P278" s="179" t="s">
        <v>1017</v>
      </c>
      <c r="Q278" s="1"/>
      <c r="R278" s="1"/>
    </row>
    <row r="279" spans="1:18" x14ac:dyDescent="0.25">
      <c r="A279" s="22" t="s">
        <v>520</v>
      </c>
      <c r="B279" s="23" t="s">
        <v>440</v>
      </c>
      <c r="C279" s="61" t="str">
        <f>HYPERLINK("#'"&amp;Insumos_a_comprar[[#This Row],[Planilla]]&amp;"'!D1","Ir")</f>
        <v>Ir</v>
      </c>
      <c r="D279" s="11" t="s">
        <v>397</v>
      </c>
      <c r="E279" s="73" t="s">
        <v>397</v>
      </c>
      <c r="F279" s="74">
        <v>2</v>
      </c>
      <c r="G279" s="75" t="s">
        <v>65</v>
      </c>
      <c r="H279" s="76">
        <f ca="1">SUMIF(INDIRECT(SUBSTITUTE(B279," ","_")&amp;"[Insumo]"),Insumos_a_comprar[[#This Row],[Insumo]],INDIRECT(SUBSTITUTE(B279," ","_")&amp;"[Stock]"))</f>
        <v>2</v>
      </c>
      <c r="I279" s="69" t="str">
        <f ca="1">IF((Insumos_a_comprar[[#This Row],[Stock actual]]-Insumos_a_comprar[[#This Row],[Stock mínimo]])&lt;0,"Si","No")</f>
        <v>No</v>
      </c>
      <c r="J279" s="67" t="str">
        <f ca="1">INDEX(Table12[Acción],MATCH(Insumos_a_comprar[[#This Row],[Planilla]],Table12[Planilla],0))</f>
        <v>Constante</v>
      </c>
      <c r="K279" s="77">
        <v>2</v>
      </c>
      <c r="L27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79" s="206"/>
      <c r="N279" s="206"/>
      <c r="O279" s="206"/>
      <c r="P279" s="179"/>
      <c r="Q279" s="1"/>
      <c r="R279" s="1"/>
    </row>
    <row r="280" spans="1:18" x14ac:dyDescent="0.25">
      <c r="A280" s="22" t="s">
        <v>523</v>
      </c>
      <c r="B280" s="23" t="s">
        <v>440</v>
      </c>
      <c r="C280" s="61" t="str">
        <f>HYPERLINK("#'"&amp;Insumos_a_comprar[[#This Row],[Planilla]]&amp;"'!D1","Ir")</f>
        <v>Ir</v>
      </c>
      <c r="D280" s="11" t="s">
        <v>397</v>
      </c>
      <c r="E280" s="73" t="s">
        <v>397</v>
      </c>
      <c r="F280" s="74">
        <v>30</v>
      </c>
      <c r="G280" s="75" t="s">
        <v>65</v>
      </c>
      <c r="H280" s="76">
        <f ca="1">SUMIF(INDIRECT(SUBSTITUTE(B280," ","_")&amp;"[Insumo]"),Insumos_a_comprar[[#This Row],[Insumo]],INDIRECT(SUBSTITUTE(B280," ","_")&amp;"[Stock]"))</f>
        <v>32</v>
      </c>
      <c r="I280" s="69" t="str">
        <f ca="1">IF((Insumos_a_comprar[[#This Row],[Stock actual]]-Insumos_a_comprar[[#This Row],[Stock mínimo]])&lt;0,"Si","No")</f>
        <v>No</v>
      </c>
      <c r="J280" s="67" t="str">
        <f ca="1">INDEX(Table12[Acción],MATCH(Insumos_a_comprar[[#This Row],[Planilla]],Table12[Planilla],0))</f>
        <v>Constante</v>
      </c>
      <c r="K280" s="77">
        <v>10</v>
      </c>
      <c r="L28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0" s="206"/>
      <c r="N280" s="206"/>
      <c r="O280" s="206"/>
      <c r="P280" s="179"/>
      <c r="Q280" s="1"/>
      <c r="R280" s="1"/>
    </row>
    <row r="281" spans="1:18" x14ac:dyDescent="0.25">
      <c r="A281" s="22" t="s">
        <v>519</v>
      </c>
      <c r="B281" s="23" t="s">
        <v>440</v>
      </c>
      <c r="C281" s="61" t="str">
        <f>HYPERLINK("#'"&amp;Insumos_a_comprar[[#This Row],[Planilla]]&amp;"'!D1","Ir")</f>
        <v>Ir</v>
      </c>
      <c r="D281" s="11" t="s">
        <v>397</v>
      </c>
      <c r="E281" s="73" t="s">
        <v>397</v>
      </c>
      <c r="F281" s="74">
        <v>2</v>
      </c>
      <c r="G281" s="75" t="s">
        <v>65</v>
      </c>
      <c r="H281" s="76">
        <f ca="1">SUMIF(INDIRECT(SUBSTITUTE(B281," ","_")&amp;"[Insumo]"),Insumos_a_comprar[[#This Row],[Insumo]],INDIRECT(SUBSTITUTE(B281," ","_")&amp;"[Stock]"))</f>
        <v>3</v>
      </c>
      <c r="I281" s="69" t="str">
        <f ca="1">IF((Insumos_a_comprar[[#This Row],[Stock actual]]-Insumos_a_comprar[[#This Row],[Stock mínimo]])&lt;0,"Si","No")</f>
        <v>No</v>
      </c>
      <c r="J281" s="67" t="str">
        <f ca="1">INDEX(Table12[Acción],MATCH(Insumos_a_comprar[[#This Row],[Planilla]],Table12[Planilla],0))</f>
        <v>Constante</v>
      </c>
      <c r="K281" s="77">
        <v>2</v>
      </c>
      <c r="L28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1" s="367"/>
      <c r="N281" s="367"/>
      <c r="O281" s="367"/>
      <c r="P281" s="179"/>
      <c r="Q281" s="1"/>
      <c r="R281" s="1"/>
    </row>
    <row r="282" spans="1:18" x14ac:dyDescent="0.25">
      <c r="A282" s="22" t="s">
        <v>84</v>
      </c>
      <c r="B282" s="23" t="s">
        <v>594</v>
      </c>
      <c r="C282" s="61" t="str">
        <f>HYPERLINK("#'"&amp;Insumos_a_comprar[[#This Row],[Planilla]]&amp;"'!D1","Ir")</f>
        <v>Ir</v>
      </c>
      <c r="D282" s="11" t="s">
        <v>397</v>
      </c>
      <c r="E282" s="73" t="s">
        <v>397</v>
      </c>
      <c r="F282" s="74">
        <v>1</v>
      </c>
      <c r="G282" s="75" t="s">
        <v>65</v>
      </c>
      <c r="H282" s="76">
        <f ca="1">SUMIF(INDIRECT(SUBSTITUTE(B282," ","_")&amp;"[Insumo]"),Insumos_a_comprar[[#This Row],[Insumo]],INDIRECT(SUBSTITUTE(B282," ","_")&amp;"[Stock]"))</f>
        <v>1</v>
      </c>
      <c r="I282" s="69" t="str">
        <f ca="1">IF((Insumos_a_comprar[[#This Row],[Stock actual]]-Insumos_a_comprar[[#This Row],[Stock mínimo]])&lt;0,"Si","No")</f>
        <v>No</v>
      </c>
      <c r="J282" s="67" t="str">
        <f ca="1">INDEX(Table12[Acción],MATCH(Insumos_a_comprar[[#This Row],[Planilla]],Table12[Planilla],0))</f>
        <v>Constante</v>
      </c>
      <c r="K282" s="77">
        <v>1</v>
      </c>
      <c r="L28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2" s="367"/>
      <c r="N282" s="367"/>
      <c r="O282" s="367"/>
      <c r="P282" s="179"/>
      <c r="Q282" s="1"/>
      <c r="R282" s="1"/>
    </row>
    <row r="283" spans="1:18" x14ac:dyDescent="0.25">
      <c r="A283" s="13" t="s">
        <v>691</v>
      </c>
      <c r="B283" s="11" t="s">
        <v>392</v>
      </c>
      <c r="C283" s="61" t="str">
        <f>HYPERLINK("#'"&amp;Insumos_a_comprar[[#This Row],[Planilla]]&amp;"'!D1","Ir")</f>
        <v>Ir</v>
      </c>
      <c r="D283" s="11" t="s">
        <v>463</v>
      </c>
      <c r="E283" s="66" t="s">
        <v>832</v>
      </c>
      <c r="F283" s="67">
        <v>10</v>
      </c>
      <c r="G283" s="68" t="s">
        <v>7</v>
      </c>
      <c r="H283" s="72">
        <f ca="1">SUMIF(INDIRECT(SUBSTITUTE(B283," ","_")&amp;"[Insumo]"),Insumos_a_comprar[[#This Row],[Insumo]],INDIRECT(SUBSTITUTE(B283," ","_")&amp;"[Stock]"))</f>
        <v>30</v>
      </c>
      <c r="I283" s="69" t="str">
        <f ca="1">IF((Insumos_a_comprar[[#This Row],[Stock actual]]-Insumos_a_comprar[[#This Row],[Stock mínimo]])&lt;0,"Si","No")</f>
        <v>No</v>
      </c>
      <c r="J283" s="67" t="str">
        <f ca="1">INDEX(Table12[Acción],MATCH(Insumos_a_comprar[[#This Row],[Planilla]],Table12[Planilla],0))</f>
        <v>Vencido</v>
      </c>
      <c r="K283" s="71">
        <v>250</v>
      </c>
      <c r="L28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3" s="65"/>
      <c r="N283" s="65"/>
      <c r="O283" s="65"/>
      <c r="P283" s="178"/>
      <c r="Q283" s="1"/>
      <c r="R283" s="1"/>
    </row>
    <row r="284" spans="1:18" x14ac:dyDescent="0.25">
      <c r="A284" s="13" t="s">
        <v>689</v>
      </c>
      <c r="B284" s="11" t="s">
        <v>392</v>
      </c>
      <c r="C284" s="61" t="str">
        <f>HYPERLINK("#'"&amp;Insumos_a_comprar[[#This Row],[Planilla]]&amp;"'!D1","Ir")</f>
        <v>Ir</v>
      </c>
      <c r="D284" s="11" t="s">
        <v>463</v>
      </c>
      <c r="E284" s="66"/>
      <c r="F284" s="67">
        <v>10</v>
      </c>
      <c r="G284" s="68" t="s">
        <v>7</v>
      </c>
      <c r="H284" s="72">
        <f ca="1">SUMIF(INDIRECT(SUBSTITUTE(B284," ","_")&amp;"[Insumo]"),Insumos_a_comprar[[#This Row],[Insumo]],INDIRECT(SUBSTITUTE(B284," ","_")&amp;"[Stock]"))</f>
        <v>20</v>
      </c>
      <c r="I284" s="69" t="str">
        <f ca="1">IF((Insumos_a_comprar[[#This Row],[Stock actual]]-Insumos_a_comprar[[#This Row],[Stock mínimo]])&lt;0,"Si","No")</f>
        <v>No</v>
      </c>
      <c r="J284" s="67" t="str">
        <f ca="1">INDEX(Table12[Acción],MATCH(Insumos_a_comprar[[#This Row],[Planilla]],Table12[Planilla],0))</f>
        <v>Vencido</v>
      </c>
      <c r="K284" s="71">
        <v>250</v>
      </c>
      <c r="L28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4" s="65"/>
      <c r="N284" s="65"/>
      <c r="O284" s="65"/>
      <c r="P284" s="178"/>
      <c r="Q284" s="1"/>
      <c r="R284" s="1"/>
    </row>
    <row r="285" spans="1:18" x14ac:dyDescent="0.25">
      <c r="A285" s="13" t="s">
        <v>690</v>
      </c>
      <c r="B285" s="11" t="s">
        <v>392</v>
      </c>
      <c r="C285" s="61" t="str">
        <f>HYPERLINK("#'"&amp;Insumos_a_comprar[[#This Row],[Planilla]]&amp;"'!D1","Ir")</f>
        <v>Ir</v>
      </c>
      <c r="D285" s="11" t="s">
        <v>463</v>
      </c>
      <c r="E285" s="66" t="s">
        <v>833</v>
      </c>
      <c r="F285" s="67">
        <v>10</v>
      </c>
      <c r="G285" s="68" t="s">
        <v>7</v>
      </c>
      <c r="H285" s="72">
        <f ca="1">SUMIF(INDIRECT(SUBSTITUTE(B285," ","_")&amp;"[Insumo]"),Insumos_a_comprar[[#This Row],[Insumo]],INDIRECT(SUBSTITUTE(B285," ","_")&amp;"[Stock]"))</f>
        <v>370</v>
      </c>
      <c r="I285" s="69" t="str">
        <f ca="1">IF((Insumos_a_comprar[[#This Row],[Stock actual]]-Insumos_a_comprar[[#This Row],[Stock mínimo]])&lt;0,"Si","No")</f>
        <v>No</v>
      </c>
      <c r="J285" s="67" t="str">
        <f ca="1">INDEX(Table12[Acción],MATCH(Insumos_a_comprar[[#This Row],[Planilla]],Table12[Planilla],0))</f>
        <v>Vencido</v>
      </c>
      <c r="K285" s="71">
        <v>250</v>
      </c>
      <c r="L28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5" s="65"/>
      <c r="N285" s="65"/>
      <c r="O285" s="65"/>
      <c r="P285" s="178"/>
      <c r="Q285" s="1"/>
      <c r="R285" s="1"/>
    </row>
    <row r="286" spans="1:18" x14ac:dyDescent="0.25">
      <c r="A286" s="13" t="s">
        <v>230</v>
      </c>
      <c r="B286" s="11" t="s">
        <v>392</v>
      </c>
      <c r="C286" s="61" t="str">
        <f>HYPERLINK("#'"&amp;Insumos_a_comprar[[#This Row],[Planilla]]&amp;"'!D1","Ir")</f>
        <v>Ir</v>
      </c>
      <c r="D286" s="11" t="s">
        <v>463</v>
      </c>
      <c r="E286" s="66"/>
      <c r="F286" s="67">
        <v>10</v>
      </c>
      <c r="G286" s="68" t="s">
        <v>7</v>
      </c>
      <c r="H286" s="72">
        <f ca="1">SUMIF(INDIRECT(SUBSTITUTE(B286," ","_")&amp;"[Insumo]"),Insumos_a_comprar[[#This Row],[Insumo]],INDIRECT(SUBSTITUTE(B286," ","_")&amp;"[Stock]"))</f>
        <v>200</v>
      </c>
      <c r="I286" s="69" t="str">
        <f ca="1">IF((Insumos_a_comprar[[#This Row],[Stock actual]]-Insumos_a_comprar[[#This Row],[Stock mínimo]])&lt;0,"Si","No")</f>
        <v>No</v>
      </c>
      <c r="J286" s="67" t="str">
        <f ca="1">INDEX(Table12[Acción],MATCH(Insumos_a_comprar[[#This Row],[Planilla]],Table12[Planilla],0))</f>
        <v>Vencido</v>
      </c>
      <c r="K286" s="71">
        <v>250</v>
      </c>
      <c r="L28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6" s="65"/>
      <c r="N286" s="65"/>
      <c r="O286" s="65"/>
      <c r="P286" s="178"/>
      <c r="Q286" s="1"/>
      <c r="R286" s="1"/>
    </row>
    <row r="287" spans="1:18" x14ac:dyDescent="0.25">
      <c r="A287" s="13" t="s">
        <v>692</v>
      </c>
      <c r="B287" s="11" t="s">
        <v>392</v>
      </c>
      <c r="C287" s="61" t="str">
        <f>HYPERLINK("#'"&amp;Insumos_a_comprar[[#This Row],[Planilla]]&amp;"'!D1","Ir")</f>
        <v>Ir</v>
      </c>
      <c r="D287" s="11" t="s">
        <v>463</v>
      </c>
      <c r="E287" s="66"/>
      <c r="F287" s="67">
        <v>0.1</v>
      </c>
      <c r="G287" s="68" t="s">
        <v>7</v>
      </c>
      <c r="H287" s="72">
        <f ca="1">SUMIF(INDIRECT(SUBSTITUTE(B287," ","_")&amp;"[Insumo]"),Insumos_a_comprar[[#This Row],[Insumo]],INDIRECT(SUBSTITUTE(B287," ","_")&amp;"[Stock]"))</f>
        <v>17</v>
      </c>
      <c r="I287" s="69" t="str">
        <f ca="1">IF((Insumos_a_comprar[[#This Row],[Stock actual]]-Insumos_a_comprar[[#This Row],[Stock mínimo]])&lt;0,"Si","No")</f>
        <v>No</v>
      </c>
      <c r="J287" s="67" t="str">
        <f ca="1">INDEX(Table12[Acción],MATCH(Insumos_a_comprar[[#This Row],[Planilla]],Table12[Planilla],0))</f>
        <v>Vencido</v>
      </c>
      <c r="K287" s="71">
        <v>250</v>
      </c>
      <c r="L28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7" s="65"/>
      <c r="N287" s="65"/>
      <c r="O287" s="65"/>
      <c r="P287" s="178"/>
      <c r="Q287" s="1"/>
      <c r="R287" s="1"/>
    </row>
    <row r="288" spans="1:18" x14ac:dyDescent="0.25">
      <c r="A288" s="10" t="s">
        <v>30</v>
      </c>
      <c r="B288" s="11" t="s">
        <v>60</v>
      </c>
      <c r="C288" s="61" t="str">
        <f>HYPERLINK("#'"&amp;Insumos_a_comprar[[#This Row],[Planilla]]&amp;"'!D1","Ir")</f>
        <v>Ir</v>
      </c>
      <c r="D288" s="11" t="s">
        <v>463</v>
      </c>
      <c r="E288" s="66"/>
      <c r="F288" s="67">
        <v>10</v>
      </c>
      <c r="G288" s="68" t="s">
        <v>7</v>
      </c>
      <c r="H288" s="66">
        <f ca="1">SUMIF(INDIRECT(SUBSTITUTE(B288," ","_")&amp;"[Insumo]"),Insumos_a_comprar[[#This Row],[Insumo]],INDIRECT(SUBSTITUTE(B288," ","_")&amp;"[Stock]"))</f>
        <v>10</v>
      </c>
      <c r="I288" s="69" t="str">
        <f ca="1">IF((Insumos_a_comprar[[#This Row],[Stock actual]]-Insumos_a_comprar[[#This Row],[Stock mínimo]])&lt;0,"Si","No")</f>
        <v>No</v>
      </c>
      <c r="J288" s="67" t="str">
        <f ca="1">INDEX(Table12[Acción],MATCH(Insumos_a_comprar[[#This Row],[Planilla]],Table12[Planilla],0))</f>
        <v>Vigente</v>
      </c>
      <c r="K288" s="71">
        <v>25</v>
      </c>
      <c r="L28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8" s="65">
        <v>44042</v>
      </c>
      <c r="N288" s="65">
        <v>44042</v>
      </c>
      <c r="O288" s="65"/>
      <c r="P288" s="178" t="s">
        <v>1024</v>
      </c>
      <c r="Q288" s="1"/>
      <c r="R288" s="1"/>
    </row>
    <row r="289" spans="1:18" x14ac:dyDescent="0.25">
      <c r="A289" s="10" t="s">
        <v>135</v>
      </c>
      <c r="B289" s="11" t="s">
        <v>398</v>
      </c>
      <c r="C289" s="61" t="str">
        <f>HYPERLINK("#'"&amp;Insumos_a_comprar[[#This Row],[Planilla]]&amp;"'!D1","Ir")</f>
        <v>Ir</v>
      </c>
      <c r="D289" s="11" t="s">
        <v>464</v>
      </c>
      <c r="E289" s="66" t="s">
        <v>831</v>
      </c>
      <c r="F289" s="67">
        <v>1</v>
      </c>
      <c r="G289" s="68" t="s">
        <v>399</v>
      </c>
      <c r="H289" s="72">
        <f ca="1">SUMIF(INDIRECT(SUBSTITUTE(B289," ","_")&amp;"[Insumo]"),Insumos_a_comprar[[#This Row],[Insumo]],INDIRECT(SUBSTITUTE(B289," ","_")&amp;"[Stock]"))</f>
        <v>1.32</v>
      </c>
      <c r="I289" s="69" t="str">
        <f ca="1">IF((Insumos_a_comprar[[#This Row],[Stock actual]]-Insumos_a_comprar[[#This Row],[Stock mínimo]])&lt;0,"Si","No")</f>
        <v>No</v>
      </c>
      <c r="J289" s="67" t="str">
        <f ca="1">INDEX(Table12[Acción],MATCH(Insumos_a_comprar[[#This Row],[Planilla]],Table12[Planilla],0))</f>
        <v>Vigente</v>
      </c>
      <c r="K289" s="71">
        <v>1</v>
      </c>
      <c r="L28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89" s="65"/>
      <c r="N289" s="65"/>
      <c r="O289" s="65"/>
      <c r="P289" s="178"/>
      <c r="Q289" s="1"/>
      <c r="R289" s="1"/>
    </row>
    <row r="290" spans="1:18" x14ac:dyDescent="0.25">
      <c r="A290" s="10" t="s">
        <v>136</v>
      </c>
      <c r="B290" s="11" t="s">
        <v>398</v>
      </c>
      <c r="C290" s="61" t="str">
        <f>HYPERLINK("#'"&amp;Insumos_a_comprar[[#This Row],[Planilla]]&amp;"'!D1","Ir")</f>
        <v>Ir</v>
      </c>
      <c r="D290" s="11" t="s">
        <v>465</v>
      </c>
      <c r="E290" s="66" t="s">
        <v>854</v>
      </c>
      <c r="F290" s="67">
        <v>0.05</v>
      </c>
      <c r="G290" s="68" t="s">
        <v>399</v>
      </c>
      <c r="H290" s="72">
        <f ca="1">SUMIF(INDIRECT(SUBSTITUTE(B290," ","_")&amp;"[Insumo]"),Insumos_a_comprar[[#This Row],[Insumo]],INDIRECT(SUBSTITUTE(B290," ","_")&amp;"[Stock]"))</f>
        <v>1</v>
      </c>
      <c r="I290" s="69" t="str">
        <f ca="1">IF((Insumos_a_comprar[[#This Row],[Stock actual]]-Insumos_a_comprar[[#This Row],[Stock mínimo]])&lt;0,"Si","No")</f>
        <v>No</v>
      </c>
      <c r="J290" s="67" t="str">
        <f ca="1">INDEX(Table12[Acción],MATCH(Insumos_a_comprar[[#This Row],[Planilla]],Table12[Planilla],0))</f>
        <v>Vigente</v>
      </c>
      <c r="K290" s="71">
        <v>0.5</v>
      </c>
      <c r="L29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90" s="65"/>
      <c r="N290" s="65"/>
      <c r="O290" s="65"/>
      <c r="P290" s="178"/>
      <c r="Q290" s="1"/>
      <c r="R290" s="1"/>
    </row>
    <row r="291" spans="1:18" x14ac:dyDescent="0.25">
      <c r="A291" s="10" t="s">
        <v>138</v>
      </c>
      <c r="B291" s="11" t="s">
        <v>398</v>
      </c>
      <c r="C291" s="61" t="str">
        <f>HYPERLINK("#'"&amp;Insumos_a_comprar[[#This Row],[Planilla]]&amp;"'!D1","Ir")</f>
        <v>Ir</v>
      </c>
      <c r="D291" s="11" t="s">
        <v>465</v>
      </c>
      <c r="E291" s="66" t="s">
        <v>854</v>
      </c>
      <c r="F291" s="67">
        <v>0.1</v>
      </c>
      <c r="G291" s="68" t="s">
        <v>399</v>
      </c>
      <c r="H291" s="72">
        <f ca="1">SUMIF(INDIRECT(SUBSTITUTE(B291," ","_")&amp;"[Insumo]"),Insumos_a_comprar[[#This Row],[Insumo]],INDIRECT(SUBSTITUTE(B291," ","_")&amp;"[Stock]"))</f>
        <v>1.9</v>
      </c>
      <c r="I291" s="69" t="str">
        <f ca="1">IF((Insumos_a_comprar[[#This Row],[Stock actual]]-Insumos_a_comprar[[#This Row],[Stock mínimo]])&lt;0,"Si","No")</f>
        <v>No</v>
      </c>
      <c r="J291" s="67" t="str">
        <f ca="1">INDEX(Table12[Acción],MATCH(Insumos_a_comprar[[#This Row],[Planilla]],Table12[Planilla],0))</f>
        <v>Vigente</v>
      </c>
      <c r="K291" s="71">
        <v>1</v>
      </c>
      <c r="L29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91" s="65"/>
      <c r="N291" s="65"/>
      <c r="O291" s="65"/>
      <c r="P291" s="178"/>
      <c r="Q291" s="1"/>
      <c r="R291" s="1"/>
    </row>
    <row r="292" spans="1:18" x14ac:dyDescent="0.25">
      <c r="A292" s="22" t="s">
        <v>83</v>
      </c>
      <c r="B292" s="23" t="s">
        <v>594</v>
      </c>
      <c r="C292" s="61" t="str">
        <f>HYPERLINK("#'"&amp;Insumos_a_comprar[[#This Row],[Planilla]]&amp;"'!D1","Ir")</f>
        <v>Ir</v>
      </c>
      <c r="D292" s="11" t="s">
        <v>397</v>
      </c>
      <c r="E292" s="73" t="s">
        <v>397</v>
      </c>
      <c r="F292" s="74">
        <v>1</v>
      </c>
      <c r="G292" s="75" t="s">
        <v>65</v>
      </c>
      <c r="H292" s="76">
        <f ca="1">SUMIF(INDIRECT(SUBSTITUTE(B292," ","_")&amp;"[Insumo]"),Insumos_a_comprar[[#This Row],[Insumo]],INDIRECT(SUBSTITUTE(B292," ","_")&amp;"[Stock]"))</f>
        <v>1</v>
      </c>
      <c r="I292" s="69" t="str">
        <f ca="1">IF((Insumos_a_comprar[[#This Row],[Stock actual]]-Insumos_a_comprar[[#This Row],[Stock mínimo]])&lt;0,"Si","No")</f>
        <v>No</v>
      </c>
      <c r="J292" s="67" t="str">
        <f ca="1">INDEX(Table12[Acción],MATCH(Insumos_a_comprar[[#This Row],[Planilla]],Table12[Planilla],0))</f>
        <v>Constante</v>
      </c>
      <c r="K292" s="77">
        <v>1</v>
      </c>
      <c r="L29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92" s="367"/>
      <c r="N292" s="367"/>
      <c r="O292" s="367">
        <v>44253</v>
      </c>
      <c r="P292" s="179"/>
      <c r="Q292" s="1"/>
      <c r="R292" s="1"/>
    </row>
    <row r="293" spans="1:18" x14ac:dyDescent="0.25">
      <c r="A293" s="13" t="s">
        <v>231</v>
      </c>
      <c r="B293" s="11" t="s">
        <v>392</v>
      </c>
      <c r="C293" s="61" t="str">
        <f>HYPERLINK("#'"&amp;Insumos_a_comprar[[#This Row],[Planilla]]&amp;"'!D1","Ir")</f>
        <v>Ir</v>
      </c>
      <c r="D293" s="11" t="s">
        <v>463</v>
      </c>
      <c r="E293" s="66"/>
      <c r="F293" s="67">
        <v>1</v>
      </c>
      <c r="G293" s="68" t="s">
        <v>7</v>
      </c>
      <c r="H293" s="72">
        <f ca="1">SUMIF(INDIRECT(SUBSTITUTE(B293," ","_")&amp;"[Insumo]"),Insumos_a_comprar[[#This Row],[Insumo]],INDIRECT(SUBSTITUTE(B293," ","_")&amp;"[Stock]"))</f>
        <v>0</v>
      </c>
      <c r="I293" s="69" t="str">
        <f ca="1">IF((Insumos_a_comprar[[#This Row],[Stock actual]]-Insumos_a_comprar[[#This Row],[Stock mínimo]])&lt;0,"Si","No")</f>
        <v>Si</v>
      </c>
      <c r="J293" s="67" t="str">
        <f ca="1">INDEX(Table12[Acción],MATCH(Insumos_a_comprar[[#This Row],[Planilla]],Table12[Planilla],0))</f>
        <v>Vencido</v>
      </c>
      <c r="K293" s="71">
        <v>250</v>
      </c>
      <c r="L29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93" s="65">
        <v>44356</v>
      </c>
      <c r="N293" s="65"/>
      <c r="O293" s="65"/>
      <c r="P293" s="178"/>
      <c r="Q293" s="1"/>
      <c r="R293" s="1"/>
    </row>
    <row r="294" spans="1:18" x14ac:dyDescent="0.25">
      <c r="A294" s="10" t="s">
        <v>31</v>
      </c>
      <c r="B294" s="11" t="s">
        <v>60</v>
      </c>
      <c r="C294" s="61" t="str">
        <f>HYPERLINK("#'"&amp;Insumos_a_comprar[[#This Row],[Planilla]]&amp;"'!D1","Ir")</f>
        <v>Ir</v>
      </c>
      <c r="D294" s="11" t="s">
        <v>463</v>
      </c>
      <c r="E294" s="66" t="s">
        <v>806</v>
      </c>
      <c r="F294" s="67">
        <v>100</v>
      </c>
      <c r="G294" s="68" t="s">
        <v>7</v>
      </c>
      <c r="H294" s="66">
        <f ca="1">SUMIF(INDIRECT(SUBSTITUTE(B294," ","_")&amp;"[Insumo]"),Insumos_a_comprar[[#This Row],[Insumo]],INDIRECT(SUBSTITUTE(B294," ","_")&amp;"[Stock]"))</f>
        <v>20</v>
      </c>
      <c r="I294" s="69" t="str">
        <f ca="1">IF((Insumos_a_comprar[[#This Row],[Stock actual]]-Insumos_a_comprar[[#This Row],[Stock mínimo]])&lt;0,"Si","No")</f>
        <v>Si</v>
      </c>
      <c r="J294" s="67" t="str">
        <f ca="1">INDEX(Table12[Acción],MATCH(Insumos_a_comprar[[#This Row],[Planilla]],Table12[Planilla],0))</f>
        <v>Vigente</v>
      </c>
      <c r="K294" s="71">
        <v>250</v>
      </c>
      <c r="L29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94" s="65">
        <v>44245</v>
      </c>
      <c r="N294" s="65">
        <v>44042</v>
      </c>
      <c r="O294" s="65"/>
      <c r="P294" s="178" t="s">
        <v>1025</v>
      </c>
      <c r="Q294" s="1"/>
      <c r="R294" s="1"/>
    </row>
    <row r="295" spans="1:18" x14ac:dyDescent="0.25">
      <c r="A295" s="22" t="s">
        <v>906</v>
      </c>
      <c r="B295" s="23" t="s">
        <v>60</v>
      </c>
      <c r="C295" s="193" t="str">
        <f>HYPERLINK("#'"&amp;Insumos_a_comprar[[#This Row],[Planilla]]&amp;"'!D1","Ir")</f>
        <v>Ir</v>
      </c>
      <c r="D295" s="11" t="s">
        <v>463</v>
      </c>
      <c r="E295" s="73"/>
      <c r="F295" s="74">
        <v>25</v>
      </c>
      <c r="G295" s="75" t="s">
        <v>7</v>
      </c>
      <c r="H295" s="76">
        <f ca="1">SUMIF(INDIRECT(SUBSTITUTE(B295," ","_")&amp;"[Insumo]"),Insumos_a_comprar[[#This Row],[Insumo]],INDIRECT(SUBSTITUTE(B295," ","_")&amp;"[Stock]"))</f>
        <v>100</v>
      </c>
      <c r="I295" s="194" t="str">
        <f ca="1">IF((Insumos_a_comprar[[#This Row],[Stock actual]]-Insumos_a_comprar[[#This Row],[Stock mínimo]])&lt;0,"Si","No")</f>
        <v>No</v>
      </c>
      <c r="J295" s="77" t="str">
        <f ca="1">INDEX(Table12[Acción],MATCH(Insumos_a_comprar[[#This Row],[Planilla]],Table12[Planilla],0))</f>
        <v>Vigente</v>
      </c>
      <c r="K295" s="77">
        <v>100</v>
      </c>
      <c r="L29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95" s="367"/>
      <c r="N295" s="367"/>
      <c r="O295" s="367"/>
      <c r="P295" s="179"/>
      <c r="Q295" s="1"/>
      <c r="R295" s="1"/>
    </row>
    <row r="296" spans="1:18" ht="31.5" x14ac:dyDescent="0.25">
      <c r="A296" s="10" t="s">
        <v>32</v>
      </c>
      <c r="B296" s="11" t="s">
        <v>60</v>
      </c>
      <c r="C296" s="61" t="str">
        <f>HYPERLINK("#'"&amp;Insumos_a_comprar[[#This Row],[Planilla]]&amp;"'!D1","Ir")</f>
        <v>Ir</v>
      </c>
      <c r="D296" s="11" t="s">
        <v>463</v>
      </c>
      <c r="E296" s="66" t="s">
        <v>812</v>
      </c>
      <c r="F296" s="67">
        <v>50</v>
      </c>
      <c r="G296" s="68" t="s">
        <v>7</v>
      </c>
      <c r="H296" s="66">
        <f ca="1">SUMIF(INDIRECT(SUBSTITUTE(B296," ","_")&amp;"[Insumo]"),Insumos_a_comprar[[#This Row],[Insumo]],INDIRECT(SUBSTITUTE(B296," ","_")&amp;"[Stock]"))</f>
        <v>5</v>
      </c>
      <c r="I296" s="69" t="str">
        <f ca="1">IF((Insumos_a_comprar[[#This Row],[Stock actual]]-Insumos_a_comprar[[#This Row],[Stock mínimo]])&lt;0,"Si","No")</f>
        <v>Si</v>
      </c>
      <c r="J296" s="67" t="str">
        <f ca="1">INDEX(Table12[Acción],MATCH(Insumos_a_comprar[[#This Row],[Planilla]],Table12[Planilla],0))</f>
        <v>Vigente</v>
      </c>
      <c r="K296" s="71">
        <v>50</v>
      </c>
      <c r="L29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296" s="65">
        <v>44245</v>
      </c>
      <c r="N296" s="65">
        <v>44042</v>
      </c>
      <c r="O296" s="65"/>
      <c r="P296" s="178" t="s">
        <v>1024</v>
      </c>
      <c r="Q296" s="1"/>
      <c r="R296" s="1"/>
    </row>
    <row r="297" spans="1:18" x14ac:dyDescent="0.25">
      <c r="A297" s="10" t="s">
        <v>33</v>
      </c>
      <c r="B297" s="11" t="s">
        <v>60</v>
      </c>
      <c r="C297" s="61" t="str">
        <f>HYPERLINK("#'"&amp;Insumos_a_comprar[[#This Row],[Planilla]]&amp;"'!D1","Ir")</f>
        <v>Ir</v>
      </c>
      <c r="D297" s="11" t="s">
        <v>463</v>
      </c>
      <c r="E297" s="66" t="s">
        <v>73</v>
      </c>
      <c r="F297" s="67">
        <v>50</v>
      </c>
      <c r="G297" s="68" t="s">
        <v>7</v>
      </c>
      <c r="H297" s="66">
        <f ca="1">SUMIF(INDIRECT(SUBSTITUTE(B297," ","_")&amp;"[Insumo]"),Insumos_a_comprar[[#This Row],[Insumo]],INDIRECT(SUBSTITUTE(B297," ","_")&amp;"[Stock]"))</f>
        <v>29</v>
      </c>
      <c r="I297" s="69" t="str">
        <f ca="1">IF((Insumos_a_comprar[[#This Row],[Stock actual]]-Insumos_a_comprar[[#This Row],[Stock mínimo]])&lt;0,"Si","No")</f>
        <v>Si</v>
      </c>
      <c r="J297" s="67" t="str">
        <f ca="1">INDEX(Table12[Acción],MATCH(Insumos_a_comprar[[#This Row],[Planilla]],Table12[Planilla],0))</f>
        <v>Vigente</v>
      </c>
      <c r="K297" s="71"/>
      <c r="L29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297" s="65">
        <v>44245</v>
      </c>
      <c r="N297" s="65"/>
      <c r="O297" s="65"/>
      <c r="P297" s="178"/>
      <c r="Q297" s="1"/>
      <c r="R297" s="1"/>
    </row>
    <row r="298" spans="1:18" x14ac:dyDescent="0.25">
      <c r="A298" s="10" t="s">
        <v>34</v>
      </c>
      <c r="B298" s="11" t="s">
        <v>60</v>
      </c>
      <c r="C298" s="61" t="str">
        <f>HYPERLINK("#'"&amp;Insumos_a_comprar[[#This Row],[Planilla]]&amp;"'!D1","Ir")</f>
        <v>Ir</v>
      </c>
      <c r="D298" s="11" t="s">
        <v>463</v>
      </c>
      <c r="E298" s="66" t="s">
        <v>856</v>
      </c>
      <c r="F298" s="67">
        <v>50</v>
      </c>
      <c r="G298" s="68" t="s">
        <v>7</v>
      </c>
      <c r="H298" s="66">
        <f ca="1">SUMIF(INDIRECT(SUBSTITUTE(B298," ","_")&amp;"[Insumo]"),Insumos_a_comprar[[#This Row],[Insumo]],INDIRECT(SUBSTITUTE(B298," ","_")&amp;"[Stock]"))</f>
        <v>253</v>
      </c>
      <c r="I298" s="69" t="str">
        <f ca="1">IF((Insumos_a_comprar[[#This Row],[Stock actual]]-Insumos_a_comprar[[#This Row],[Stock mínimo]])&lt;0,"Si","No")</f>
        <v>No</v>
      </c>
      <c r="J298" s="67" t="str">
        <f ca="1">INDEX(Table12[Acción],MATCH(Insumos_a_comprar[[#This Row],[Planilla]],Table12[Planilla],0))</f>
        <v>Vigente</v>
      </c>
      <c r="K298" s="71">
        <v>10</v>
      </c>
      <c r="L29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98" s="65"/>
      <c r="N298" s="65"/>
      <c r="O298" s="65"/>
      <c r="P298" s="178"/>
      <c r="Q298" s="1"/>
      <c r="R298" s="1"/>
    </row>
    <row r="299" spans="1:18" x14ac:dyDescent="0.25">
      <c r="A299" s="10" t="s">
        <v>139</v>
      </c>
      <c r="B299" s="11" t="s">
        <v>398</v>
      </c>
      <c r="C299" s="61" t="str">
        <f>HYPERLINK("#'"&amp;Insumos_a_comprar[[#This Row],[Planilla]]&amp;"'!D1","Ir")</f>
        <v>Ir</v>
      </c>
      <c r="D299" s="11" t="s">
        <v>463</v>
      </c>
      <c r="E299" s="66" t="s">
        <v>854</v>
      </c>
      <c r="F299" s="67">
        <v>0.05</v>
      </c>
      <c r="G299" s="68" t="s">
        <v>399</v>
      </c>
      <c r="H299" s="72">
        <f ca="1">SUMIF(INDIRECT(SUBSTITUTE(B299," ","_")&amp;"[Insumo]"),Insumos_a_comprar[[#This Row],[Insumo]],INDIRECT(SUBSTITUTE(B299," ","_")&amp;"[Stock]"))</f>
        <v>1</v>
      </c>
      <c r="I299" s="69" t="str">
        <f ca="1">IF((Insumos_a_comprar[[#This Row],[Stock actual]]-Insumos_a_comprar[[#This Row],[Stock mínimo]])&lt;0,"Si","No")</f>
        <v>No</v>
      </c>
      <c r="J299" s="67" t="str">
        <f ca="1">INDEX(Table12[Acción],MATCH(Insumos_a_comprar[[#This Row],[Planilla]],Table12[Planilla],0))</f>
        <v>Vigente</v>
      </c>
      <c r="K299" s="71">
        <v>0.5</v>
      </c>
      <c r="L29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299" s="65"/>
      <c r="N299" s="65"/>
      <c r="O299" s="65"/>
      <c r="P299" s="178"/>
      <c r="Q299" s="1"/>
      <c r="R299" s="1"/>
    </row>
    <row r="300" spans="1:18" x14ac:dyDescent="0.25">
      <c r="A300" s="10" t="s">
        <v>140</v>
      </c>
      <c r="B300" s="11" t="s">
        <v>398</v>
      </c>
      <c r="C300" s="61" t="str">
        <f>HYPERLINK("#'"&amp;Insumos_a_comprar[[#This Row],[Planilla]]&amp;"'!D1","Ir")</f>
        <v>Ir</v>
      </c>
      <c r="D300" s="11" t="s">
        <v>465</v>
      </c>
      <c r="E300" s="66" t="s">
        <v>834</v>
      </c>
      <c r="F300" s="67">
        <v>4</v>
      </c>
      <c r="G300" s="68" t="s">
        <v>399</v>
      </c>
      <c r="H300" s="72">
        <f ca="1">SUMIF(INDIRECT(SUBSTITUTE(B300," ","_")&amp;"[Insumo]"),Insumos_a_comprar[[#This Row],[Insumo]],INDIRECT(SUBSTITUTE(B300," ","_")&amp;"[Stock]"))</f>
        <v>7</v>
      </c>
      <c r="I300" s="69" t="str">
        <f ca="1">IF((Insumos_a_comprar[[#This Row],[Stock actual]]-Insumos_a_comprar[[#This Row],[Stock mínimo]])&lt;0,"Si","No")</f>
        <v>No</v>
      </c>
      <c r="J300" s="67" t="str">
        <f ca="1">INDEX(Table12[Acción],MATCH(Insumos_a_comprar[[#This Row],[Planilla]],Table12[Planilla],0))</f>
        <v>Vigente</v>
      </c>
      <c r="K300" s="71">
        <v>6</v>
      </c>
      <c r="L30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0" s="65"/>
      <c r="N300" s="65"/>
      <c r="O300" s="65"/>
      <c r="P300" s="178"/>
      <c r="Q300" s="1"/>
      <c r="R300" s="1"/>
    </row>
    <row r="301" spans="1:18" x14ac:dyDescent="0.25">
      <c r="A301" s="22" t="s">
        <v>82</v>
      </c>
      <c r="B301" s="23" t="s">
        <v>594</v>
      </c>
      <c r="C301" s="61" t="str">
        <f>HYPERLINK("#'"&amp;Insumos_a_comprar[[#This Row],[Planilla]]&amp;"'!D1","Ir")</f>
        <v>Ir</v>
      </c>
      <c r="D301" s="11" t="s">
        <v>397</v>
      </c>
      <c r="E301" s="73" t="s">
        <v>397</v>
      </c>
      <c r="F301" s="74">
        <v>1</v>
      </c>
      <c r="G301" s="75" t="s">
        <v>65</v>
      </c>
      <c r="H301" s="76">
        <f ca="1">SUMIF(INDIRECT(SUBSTITUTE(B301," ","_")&amp;"[Insumo]"),Insumos_a_comprar[[#This Row],[Insumo]],INDIRECT(SUBSTITUTE(B301," ","_")&amp;"[Stock]"))</f>
        <v>2</v>
      </c>
      <c r="I301" s="69" t="str">
        <f ca="1">IF((Insumos_a_comprar[[#This Row],[Stock actual]]-Insumos_a_comprar[[#This Row],[Stock mínimo]])&lt;0,"Si","No")</f>
        <v>No</v>
      </c>
      <c r="J301" s="67" t="str">
        <f ca="1">INDEX(Table12[Acción],MATCH(Insumos_a_comprar[[#This Row],[Planilla]],Table12[Planilla],0))</f>
        <v>Constante</v>
      </c>
      <c r="K301" s="77">
        <v>1</v>
      </c>
      <c r="L30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1" s="367"/>
      <c r="N301" s="367"/>
      <c r="O301" s="367"/>
      <c r="P301" s="179"/>
      <c r="Q301" s="1"/>
      <c r="R301" s="1"/>
    </row>
    <row r="302" spans="1:18" x14ac:dyDescent="0.25">
      <c r="A302" s="10" t="s">
        <v>743</v>
      </c>
      <c r="B302" s="11" t="s">
        <v>400</v>
      </c>
      <c r="C302" s="61" t="str">
        <f>HYPERLINK("#'"&amp;Insumos_a_comprar[[#This Row],[Planilla]]&amp;"'!D1","Ir")</f>
        <v>Ir</v>
      </c>
      <c r="D302" s="11" t="s">
        <v>397</v>
      </c>
      <c r="E302" s="66" t="s">
        <v>835</v>
      </c>
      <c r="F302" s="67">
        <v>100</v>
      </c>
      <c r="G302" s="68" t="s">
        <v>152</v>
      </c>
      <c r="H302" s="72">
        <f ca="1">SUMIF(INDIRECT(SUBSTITUTE(B302," ","_")&amp;"[Insumo]"),Insumos_a_comprar[[#This Row],[Insumo]],INDIRECT(SUBSTITUTE(B302," ","_")&amp;"[Stock]"))</f>
        <v>358</v>
      </c>
      <c r="I302" s="69" t="str">
        <f ca="1">IF((Insumos_a_comprar[[#This Row],[Stock actual]]-Insumos_a_comprar[[#This Row],[Stock mínimo]])&lt;0,"Si","No")</f>
        <v>No</v>
      </c>
      <c r="J302" s="67" t="str">
        <f ca="1">INDEX(Table12[Acción],MATCH(Insumos_a_comprar[[#This Row],[Planilla]],Table12[Planilla],0))</f>
        <v>Vencido</v>
      </c>
      <c r="K302" s="71"/>
      <c r="L30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2" s="65"/>
      <c r="N302" s="65"/>
      <c r="O302" s="65"/>
      <c r="P302" s="178"/>
      <c r="Q302" s="1"/>
      <c r="R302" s="1"/>
    </row>
    <row r="303" spans="1:18" x14ac:dyDescent="0.25">
      <c r="A303" s="10" t="s">
        <v>255</v>
      </c>
      <c r="B303" s="11" t="s">
        <v>410</v>
      </c>
      <c r="C303" s="61" t="str">
        <f>HYPERLINK("#'"&amp;Insumos_a_comprar[[#This Row],[Planilla]]&amp;"'!D1","Ir")</f>
        <v>Ir</v>
      </c>
      <c r="D303" s="11" t="s">
        <v>397</v>
      </c>
      <c r="E303" s="66" t="s">
        <v>417</v>
      </c>
      <c r="F303" s="67">
        <v>400</v>
      </c>
      <c r="G303" s="68" t="s">
        <v>252</v>
      </c>
      <c r="H303" s="72">
        <f ca="1">SUMIF(INDIRECT(SUBSTITUTE(B303," ","_")&amp;"[Insumo]"),Insumos_a_comprar[[#This Row],[Insumo]],INDIRECT(SUBSTITUTE(B303," ","_")&amp;"[Stock]"))</f>
        <v>1400</v>
      </c>
      <c r="I303" s="69" t="str">
        <f ca="1">IF((Insumos_a_comprar[[#This Row],[Stock actual]]-Insumos_a_comprar[[#This Row],[Stock mínimo]])&lt;0,"Si","No")</f>
        <v>No</v>
      </c>
      <c r="J303" s="67" t="str">
        <f ca="1">INDEX(Table12[Acción],MATCH(Insumos_a_comprar[[#This Row],[Planilla]],Table12[Planilla],0))</f>
        <v>Vencido</v>
      </c>
      <c r="K303" s="71"/>
      <c r="L30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3" s="65"/>
      <c r="N303" s="65"/>
      <c r="O303" s="65"/>
      <c r="P303" s="178"/>
      <c r="Q303" s="1"/>
      <c r="R303" s="1"/>
    </row>
    <row r="304" spans="1:18" x14ac:dyDescent="0.25">
      <c r="A304" s="10" t="s">
        <v>742</v>
      </c>
      <c r="B304" s="11" t="s">
        <v>398</v>
      </c>
      <c r="C304" s="61" t="str">
        <f>HYPERLINK("#'"&amp;Insumos_a_comprar[[#This Row],[Planilla]]&amp;"'!D1","Ir")</f>
        <v>Ir</v>
      </c>
      <c r="D304" s="11" t="s">
        <v>463</v>
      </c>
      <c r="E304" s="66" t="s">
        <v>854</v>
      </c>
      <c r="F304" s="67">
        <v>1</v>
      </c>
      <c r="G304" s="68" t="s">
        <v>399</v>
      </c>
      <c r="H304" s="72">
        <f ca="1">SUMIF(INDIRECT(SUBSTITUTE(B304," ","_")&amp;"[Insumo]"),Insumos_a_comprar[[#This Row],[Insumo]],INDIRECT(SUBSTITUTE(B304," ","_")&amp;"[Stock]"))</f>
        <v>3.3</v>
      </c>
      <c r="I304" s="69" t="str">
        <f ca="1">IF((Insumos_a_comprar[[#This Row],[Stock actual]]-Insumos_a_comprar[[#This Row],[Stock mínimo]])&lt;0,"Si","No")</f>
        <v>No</v>
      </c>
      <c r="J304" s="67" t="str">
        <f ca="1">INDEX(Table12[Acción],MATCH(Insumos_a_comprar[[#This Row],[Planilla]],Table12[Planilla],0))</f>
        <v>Vigente</v>
      </c>
      <c r="K304" s="71">
        <v>4</v>
      </c>
      <c r="L30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4" s="65"/>
      <c r="N304" s="65"/>
      <c r="O304" s="65"/>
      <c r="P304" s="178"/>
      <c r="Q304" s="1"/>
      <c r="R304" s="1"/>
    </row>
    <row r="305" spans="1:18" x14ac:dyDescent="0.25">
      <c r="A305" s="22" t="s">
        <v>981</v>
      </c>
      <c r="B305" s="23" t="s">
        <v>63</v>
      </c>
      <c r="C305" s="193" t="str">
        <f>HYPERLINK("#'"&amp;Insumos_a_comprar[[#This Row],[Planilla]]&amp;"'!D1","Ir")</f>
        <v>Ir</v>
      </c>
      <c r="D305" s="23" t="s">
        <v>397</v>
      </c>
      <c r="E305" s="73"/>
      <c r="F305" s="74">
        <v>5</v>
      </c>
      <c r="G305" s="75" t="s">
        <v>65</v>
      </c>
      <c r="H305" s="76">
        <f ca="1">SUMIF(INDIRECT(SUBSTITUTE(B305," ","_")&amp;"[Insumo]"),Insumos_a_comprar[[#This Row],[Insumo]],INDIRECT(SUBSTITUTE(B305," ","_")&amp;"[Stock]"))</f>
        <v>10</v>
      </c>
      <c r="I305" s="194" t="str">
        <f ca="1">IF((Insumos_a_comprar[[#This Row],[Stock actual]]-Insumos_a_comprar[[#This Row],[Stock mínimo]])&lt;0,"Si","No")</f>
        <v>No</v>
      </c>
      <c r="J305" s="77" t="str">
        <f ca="1">INDEX(Table12[Acción],MATCH(Insumos_a_comprar[[#This Row],[Planilla]],Table12[Planilla],0))</f>
        <v>Constante</v>
      </c>
      <c r="K305" s="77">
        <v>5</v>
      </c>
      <c r="L30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5" s="206"/>
      <c r="N305" s="206"/>
      <c r="O305" s="206"/>
      <c r="P305" s="179"/>
      <c r="Q305" s="1"/>
      <c r="R305" s="1"/>
    </row>
    <row r="306" spans="1:18" x14ac:dyDescent="0.25">
      <c r="A306" s="22" t="s">
        <v>980</v>
      </c>
      <c r="B306" s="23" t="s">
        <v>63</v>
      </c>
      <c r="C306" s="193" t="str">
        <f>HYPERLINK("#'"&amp;Insumos_a_comprar[[#This Row],[Planilla]]&amp;"'!D1","Ir")</f>
        <v>Ir</v>
      </c>
      <c r="D306" s="23" t="s">
        <v>397</v>
      </c>
      <c r="E306" s="73"/>
      <c r="F306" s="74">
        <v>5</v>
      </c>
      <c r="G306" s="75" t="s">
        <v>65</v>
      </c>
      <c r="H306" s="76">
        <f ca="1">SUMIF(INDIRECT(SUBSTITUTE(B306," ","_")&amp;"[Insumo]"),Insumos_a_comprar[[#This Row],[Insumo]],INDIRECT(SUBSTITUTE(B306," ","_")&amp;"[Stock]"))</f>
        <v>22</v>
      </c>
      <c r="I306" s="194" t="str">
        <f ca="1">IF((Insumos_a_comprar[[#This Row],[Stock actual]]-Insumos_a_comprar[[#This Row],[Stock mínimo]])&lt;0,"Si","No")</f>
        <v>No</v>
      </c>
      <c r="J306" s="77" t="str">
        <f ca="1">INDEX(Table12[Acción],MATCH(Insumos_a_comprar[[#This Row],[Planilla]],Table12[Planilla],0))</f>
        <v>Constante</v>
      </c>
      <c r="K306" s="77">
        <v>5</v>
      </c>
      <c r="L30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6" s="367"/>
      <c r="N306" s="367"/>
      <c r="O306" s="367"/>
      <c r="P306" s="179"/>
      <c r="Q306" s="1"/>
      <c r="R306" s="1"/>
    </row>
    <row r="307" spans="1:18" x14ac:dyDescent="0.25">
      <c r="A307" s="22" t="s">
        <v>982</v>
      </c>
      <c r="B307" s="23" t="s">
        <v>63</v>
      </c>
      <c r="C307" s="193" t="str">
        <f>HYPERLINK("#'"&amp;Insumos_a_comprar[[#This Row],[Planilla]]&amp;"'!D1","Ir")</f>
        <v>Ir</v>
      </c>
      <c r="D307" s="23" t="s">
        <v>397</v>
      </c>
      <c r="E307" s="73"/>
      <c r="F307" s="74">
        <v>10</v>
      </c>
      <c r="G307" s="75" t="s">
        <v>65</v>
      </c>
      <c r="H307" s="76">
        <f ca="1">SUMIF(INDIRECT(SUBSTITUTE(B307," ","_")&amp;"[Insumo]"),Insumos_a_comprar[[#This Row],[Insumo]],INDIRECT(SUBSTITUTE(B307," ","_")&amp;"[Stock]"))</f>
        <v>13</v>
      </c>
      <c r="I307" s="194" t="str">
        <f ca="1">IF((Insumos_a_comprar[[#This Row],[Stock actual]]-Insumos_a_comprar[[#This Row],[Stock mínimo]])&lt;0,"Si","No")</f>
        <v>No</v>
      </c>
      <c r="J307" s="77" t="str">
        <f ca="1">INDEX(Table12[Acción],MATCH(Insumos_a_comprar[[#This Row],[Planilla]],Table12[Planilla],0))</f>
        <v>Constante</v>
      </c>
      <c r="K307" s="77"/>
      <c r="L30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7" s="367"/>
      <c r="N307" s="367"/>
      <c r="O307" s="367"/>
      <c r="P307" s="179"/>
      <c r="Q307" s="1"/>
      <c r="R307" s="1"/>
    </row>
    <row r="308" spans="1:18" x14ac:dyDescent="0.25">
      <c r="A308" s="13" t="s">
        <v>245</v>
      </c>
      <c r="B308" s="11" t="s">
        <v>392</v>
      </c>
      <c r="C308" s="61" t="str">
        <f>HYPERLINK("#'"&amp;Insumos_a_comprar[[#This Row],[Planilla]]&amp;"'!D1","Ir")</f>
        <v>Ir</v>
      </c>
      <c r="D308" s="11" t="s">
        <v>463</v>
      </c>
      <c r="E308" s="66"/>
      <c r="F308" s="67">
        <v>1</v>
      </c>
      <c r="G308" s="68" t="s">
        <v>7</v>
      </c>
      <c r="H308" s="72">
        <f ca="1">SUMIF(INDIRECT(SUBSTITUTE(B308," ","_")&amp;"[Insumo]"),Insumos_a_comprar[[#This Row],[Insumo]],INDIRECT(SUBSTITUTE(B308," ","_")&amp;"[Stock]"))</f>
        <v>50</v>
      </c>
      <c r="I308" s="69" t="str">
        <f ca="1">IF((Insumos_a_comprar[[#This Row],[Stock actual]]-Insumos_a_comprar[[#This Row],[Stock mínimo]])&lt;0,"Si","No")</f>
        <v>No</v>
      </c>
      <c r="J308" s="67" t="str">
        <f ca="1">INDEX(Table12[Acción],MATCH(Insumos_a_comprar[[#This Row],[Planilla]],Table12[Planilla],0))</f>
        <v>Vencido</v>
      </c>
      <c r="K308" s="71">
        <v>10</v>
      </c>
      <c r="L30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8" s="65"/>
      <c r="N308" s="65"/>
      <c r="O308" s="65"/>
      <c r="P308" s="178"/>
      <c r="Q308" s="1"/>
      <c r="R308" s="1"/>
    </row>
    <row r="309" spans="1:18" x14ac:dyDescent="0.25">
      <c r="A309" s="10" t="s">
        <v>257</v>
      </c>
      <c r="B309" s="11" t="s">
        <v>410</v>
      </c>
      <c r="C309" s="61" t="str">
        <f>HYPERLINK("#'"&amp;Insumos_a_comprar[[#This Row],[Planilla]]&amp;"'!D1","Ir")</f>
        <v>Ir</v>
      </c>
      <c r="D309" s="11" t="s">
        <v>397</v>
      </c>
      <c r="E309" s="66" t="s">
        <v>416</v>
      </c>
      <c r="F309" s="67">
        <v>20</v>
      </c>
      <c r="G309" s="68" t="s">
        <v>411</v>
      </c>
      <c r="H309" s="72">
        <f ca="1">SUMIF(INDIRECT(SUBSTITUTE(B309," ","_")&amp;"[Insumo]"),Insumos_a_comprar[[#This Row],[Insumo]],INDIRECT(SUBSTITUTE(B309," ","_")&amp;"[Stock]"))</f>
        <v>50</v>
      </c>
      <c r="I309" s="69" t="str">
        <f ca="1">IF((Insumos_a_comprar[[#This Row],[Stock actual]]-Insumos_a_comprar[[#This Row],[Stock mínimo]])&lt;0,"Si","No")</f>
        <v>No</v>
      </c>
      <c r="J309" s="67" t="str">
        <f ca="1">INDEX(Table12[Acción],MATCH(Insumos_a_comprar[[#This Row],[Planilla]],Table12[Planilla],0))</f>
        <v>Vencido</v>
      </c>
      <c r="K309" s="71"/>
      <c r="L30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09" s="65"/>
      <c r="N309" s="65"/>
      <c r="O309" s="65"/>
      <c r="P309" s="178"/>
      <c r="Q309" s="1"/>
      <c r="R309" s="1"/>
    </row>
    <row r="310" spans="1:18" x14ac:dyDescent="0.25">
      <c r="A310" s="10" t="s">
        <v>141</v>
      </c>
      <c r="B310" s="11" t="s">
        <v>398</v>
      </c>
      <c r="C310" s="61" t="str">
        <f>HYPERLINK("#'"&amp;Insumos_a_comprar[[#This Row],[Planilla]]&amp;"'!D1","Ir")</f>
        <v>Ir</v>
      </c>
      <c r="D310" s="11" t="s">
        <v>465</v>
      </c>
      <c r="E310" s="66" t="s">
        <v>854</v>
      </c>
      <c r="F310" s="67">
        <v>0.05</v>
      </c>
      <c r="G310" s="68" t="s">
        <v>399</v>
      </c>
      <c r="H310" s="72">
        <f ca="1">SUMIF(INDIRECT(SUBSTITUTE(B310," ","_")&amp;"[Insumo]"),Insumos_a_comprar[[#This Row],[Insumo]],INDIRECT(SUBSTITUTE(B310," ","_")&amp;"[Stock]"))</f>
        <v>0.7</v>
      </c>
      <c r="I310" s="69" t="str">
        <f ca="1">IF((Insumos_a_comprar[[#This Row],[Stock actual]]-Insumos_a_comprar[[#This Row],[Stock mínimo]])&lt;0,"Si","No")</f>
        <v>No</v>
      </c>
      <c r="J310" s="67" t="str">
        <f ca="1">INDEX(Table12[Acción],MATCH(Insumos_a_comprar[[#This Row],[Planilla]],Table12[Planilla],0))</f>
        <v>Vigente</v>
      </c>
      <c r="K310" s="71">
        <v>0.5</v>
      </c>
      <c r="L31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0" s="65"/>
      <c r="N310" s="65"/>
      <c r="O310" s="65"/>
      <c r="P310" s="178"/>
      <c r="Q310" s="1"/>
      <c r="R310" s="1"/>
    </row>
    <row r="311" spans="1:18" x14ac:dyDescent="0.25">
      <c r="A311" s="22" t="s">
        <v>983</v>
      </c>
      <c r="B311" s="23" t="s">
        <v>63</v>
      </c>
      <c r="C311" s="193" t="str">
        <f>HYPERLINK("#'"&amp;Insumos_a_comprar[[#This Row],[Planilla]]&amp;"'!D1","Ir")</f>
        <v>Ir</v>
      </c>
      <c r="D311" s="23" t="s">
        <v>397</v>
      </c>
      <c r="E311" s="73"/>
      <c r="F311" s="74">
        <v>1</v>
      </c>
      <c r="G311" s="75" t="s">
        <v>65</v>
      </c>
      <c r="H311" s="76">
        <f ca="1">SUMIF(INDIRECT(SUBSTITUTE(B311," ","_")&amp;"[Insumo]"),Insumos_a_comprar[[#This Row],[Insumo]],INDIRECT(SUBSTITUTE(B311," ","_")&amp;"[Stock]"))</f>
        <v>0</v>
      </c>
      <c r="I311" s="194" t="str">
        <f ca="1">IF((Insumos_a_comprar[[#This Row],[Stock actual]]-Insumos_a_comprar[[#This Row],[Stock mínimo]])&lt;0,"Si","No")</f>
        <v>Si</v>
      </c>
      <c r="J311" s="77" t="str">
        <f ca="1">INDEX(Table12[Acción],MATCH(Insumos_a_comprar[[#This Row],[Planilla]],Table12[Planilla],0))</f>
        <v>Constante</v>
      </c>
      <c r="K311" s="77"/>
      <c r="L31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311" s="206">
        <v>44042</v>
      </c>
      <c r="N311" s="206">
        <v>44042</v>
      </c>
      <c r="O311" s="206"/>
      <c r="P311" s="179" t="s">
        <v>1026</v>
      </c>
      <c r="Q311" s="1"/>
      <c r="R311" s="1"/>
    </row>
    <row r="312" spans="1:18" x14ac:dyDescent="0.25">
      <c r="A312" s="22" t="s">
        <v>649</v>
      </c>
      <c r="B312" s="23" t="s">
        <v>597</v>
      </c>
      <c r="C312" s="61" t="str">
        <f>HYPERLINK("#'"&amp;Insumos_a_comprar[[#This Row],[Planilla]]&amp;"'!D1","Ir")</f>
        <v>Ir</v>
      </c>
      <c r="D312" s="11" t="s">
        <v>397</v>
      </c>
      <c r="E312" s="73" t="s">
        <v>397</v>
      </c>
      <c r="F312" s="74">
        <v>50</v>
      </c>
      <c r="G312" s="75" t="s">
        <v>65</v>
      </c>
      <c r="H312" s="76">
        <f ca="1">SUMIF(INDIRECT(SUBSTITUTE(B312," ","_")&amp;"[Insumo]"),Insumos_a_comprar[[#This Row],[Insumo]],INDIRECT(SUBSTITUTE(B312," ","_")&amp;"[Stock]"))</f>
        <v>70</v>
      </c>
      <c r="I312" s="69" t="str">
        <f ca="1">IF((Insumos_a_comprar[[#This Row],[Stock actual]]-Insumos_a_comprar[[#This Row],[Stock mínimo]])&lt;0,"Si","No")</f>
        <v>No</v>
      </c>
      <c r="J312" s="77" t="str">
        <f ca="1">INDEX(Table12[Acción],MATCH(Insumos_a_comprar[[#This Row],[Planilla]],Table12[Planilla],0))</f>
        <v>Vencido</v>
      </c>
      <c r="K312" s="77">
        <v>100</v>
      </c>
      <c r="L31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2" s="206"/>
      <c r="N312" s="206"/>
      <c r="O312" s="206"/>
      <c r="P312" s="179"/>
      <c r="Q312" s="1"/>
      <c r="R312" s="1"/>
    </row>
    <row r="313" spans="1:18" x14ac:dyDescent="0.25">
      <c r="A313" s="22" t="s">
        <v>606</v>
      </c>
      <c r="B313" s="23" t="s">
        <v>597</v>
      </c>
      <c r="C313" s="61" t="str">
        <f>HYPERLINK("#'"&amp;Insumos_a_comprar[[#This Row],[Planilla]]&amp;"'!D1","Ir")</f>
        <v>Ir</v>
      </c>
      <c r="D313" s="11" t="s">
        <v>397</v>
      </c>
      <c r="E313" s="73" t="s">
        <v>397</v>
      </c>
      <c r="F313" s="74">
        <v>50</v>
      </c>
      <c r="G313" s="75" t="s">
        <v>65</v>
      </c>
      <c r="H313" s="76">
        <f ca="1">SUMIF(INDIRECT(SUBSTITUTE(B313," ","_")&amp;"[Insumo]"),Insumos_a_comprar[[#This Row],[Insumo]],INDIRECT(SUBSTITUTE(B313," ","_")&amp;"[Stock]"))</f>
        <v>24</v>
      </c>
      <c r="I313" s="69" t="str">
        <f ca="1">IF((Insumos_a_comprar[[#This Row],[Stock actual]]-Insumos_a_comprar[[#This Row],[Stock mínimo]])&lt;0,"Si","No")</f>
        <v>Si</v>
      </c>
      <c r="J313" s="77" t="str">
        <f ca="1">INDEX(Table12[Acción],MATCH(Insumos_a_comprar[[#This Row],[Planilla]],Table12[Planilla],0))</f>
        <v>Vencido</v>
      </c>
      <c r="K313" s="77">
        <v>100</v>
      </c>
      <c r="L31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313" s="206">
        <v>44042</v>
      </c>
      <c r="N313" s="206">
        <v>44042</v>
      </c>
      <c r="O313" s="206"/>
      <c r="P313" s="179"/>
      <c r="Q313" s="1"/>
      <c r="R313" s="1"/>
    </row>
    <row r="314" spans="1:18" x14ac:dyDescent="0.25">
      <c r="A314" s="22" t="s">
        <v>654</v>
      </c>
      <c r="B314" s="23" t="s">
        <v>597</v>
      </c>
      <c r="C314" s="61" t="str">
        <f>HYPERLINK("#'"&amp;Insumos_a_comprar[[#This Row],[Planilla]]&amp;"'!D1","Ir")</f>
        <v>Ir</v>
      </c>
      <c r="D314" s="11" t="s">
        <v>397</v>
      </c>
      <c r="E314" s="73" t="s">
        <v>397</v>
      </c>
      <c r="F314" s="74">
        <v>0.5</v>
      </c>
      <c r="G314" s="75" t="s">
        <v>65</v>
      </c>
      <c r="H314" s="76">
        <f ca="1">SUMIF(INDIRECT(SUBSTITUTE(B314," ","_")&amp;"[Insumo]"),Insumos_a_comprar[[#This Row],[Insumo]],INDIRECT(SUBSTITUTE(B314," ","_")&amp;"[Stock]"))</f>
        <v>1.3</v>
      </c>
      <c r="I314" s="69" t="str">
        <f ca="1">IF((Insumos_a_comprar[[#This Row],[Stock actual]]-Insumos_a_comprar[[#This Row],[Stock mínimo]])&lt;0,"Si","No")</f>
        <v>No</v>
      </c>
      <c r="J314" s="77" t="str">
        <f ca="1">INDEX(Table12[Acción],MATCH(Insumos_a_comprar[[#This Row],[Planilla]],Table12[Planilla],0))</f>
        <v>Vencido</v>
      </c>
      <c r="K314" s="77">
        <v>1</v>
      </c>
      <c r="L31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4" s="206"/>
      <c r="N314" s="206"/>
      <c r="O314" s="206"/>
      <c r="P314" s="179"/>
      <c r="Q314" s="1"/>
      <c r="R314" s="1"/>
    </row>
    <row r="315" spans="1:18" x14ac:dyDescent="0.25">
      <c r="A315" s="22" t="s">
        <v>653</v>
      </c>
      <c r="B315" s="23" t="s">
        <v>597</v>
      </c>
      <c r="C315" s="61" t="str">
        <f>HYPERLINK("#'"&amp;Insumos_a_comprar[[#This Row],[Planilla]]&amp;"'!D1","Ir")</f>
        <v>Ir</v>
      </c>
      <c r="D315" s="11" t="s">
        <v>397</v>
      </c>
      <c r="E315" s="73" t="s">
        <v>397</v>
      </c>
      <c r="F315" s="74">
        <v>0.5</v>
      </c>
      <c r="G315" s="75" t="s">
        <v>65</v>
      </c>
      <c r="H315" s="76">
        <f ca="1">SUMIF(INDIRECT(SUBSTITUTE(B315," ","_")&amp;"[Insumo]"),Insumos_a_comprar[[#This Row],[Insumo]],INDIRECT(SUBSTITUTE(B315," ","_")&amp;"[Stock]"))</f>
        <v>0.75</v>
      </c>
      <c r="I315" s="69" t="str">
        <f ca="1">IF((Insumos_a_comprar[[#This Row],[Stock actual]]-Insumos_a_comprar[[#This Row],[Stock mínimo]])&lt;0,"Si","No")</f>
        <v>No</v>
      </c>
      <c r="J315" s="77" t="str">
        <f ca="1">INDEX(Table12[Acción],MATCH(Insumos_a_comprar[[#This Row],[Planilla]],Table12[Planilla],0))</f>
        <v>Vencido</v>
      </c>
      <c r="K315" s="77">
        <v>1</v>
      </c>
      <c r="L31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5" s="206"/>
      <c r="N315" s="206"/>
      <c r="O315" s="206"/>
      <c r="P315" s="179"/>
      <c r="R315" s="1"/>
    </row>
    <row r="316" spans="1:18" x14ac:dyDescent="0.25">
      <c r="A316" s="22" t="s">
        <v>650</v>
      </c>
      <c r="B316" s="23" t="s">
        <v>597</v>
      </c>
      <c r="C316" s="61" t="str">
        <f>HYPERLINK("#'"&amp;Insumos_a_comprar[[#This Row],[Planilla]]&amp;"'!D1","Ir")</f>
        <v>Ir</v>
      </c>
      <c r="D316" s="11" t="s">
        <v>397</v>
      </c>
      <c r="E316" s="73" t="s">
        <v>397</v>
      </c>
      <c r="F316" s="74">
        <v>200</v>
      </c>
      <c r="G316" s="75" t="s">
        <v>65</v>
      </c>
      <c r="H316" s="76">
        <f ca="1">SUMIF(INDIRECT(SUBSTITUTE(B316," ","_")&amp;"[Insumo]"),Insumos_a_comprar[[#This Row],[Insumo]],INDIRECT(SUBSTITUTE(B316," ","_")&amp;"[Stock]"))</f>
        <v>590</v>
      </c>
      <c r="I316" s="69" t="str">
        <f ca="1">IF((Insumos_a_comprar[[#This Row],[Stock actual]]-Insumos_a_comprar[[#This Row],[Stock mínimo]])&lt;0,"Si","No")</f>
        <v>No</v>
      </c>
      <c r="J316" s="77" t="str">
        <f ca="1">INDEX(Table12[Acción],MATCH(Insumos_a_comprar[[#This Row],[Planilla]],Table12[Planilla],0))</f>
        <v>Vencido</v>
      </c>
      <c r="K316" s="77">
        <v>500</v>
      </c>
      <c r="L31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6" s="206"/>
      <c r="N316" s="206"/>
      <c r="O316" s="206"/>
      <c r="P316" s="179"/>
      <c r="R316" s="1"/>
    </row>
    <row r="317" spans="1:18" x14ac:dyDescent="0.25">
      <c r="A317" s="22" t="s">
        <v>651</v>
      </c>
      <c r="B317" s="23" t="s">
        <v>597</v>
      </c>
      <c r="C317" s="61" t="str">
        <f>HYPERLINK("#'"&amp;Insumos_a_comprar[[#This Row],[Planilla]]&amp;"'!D1","Ir")</f>
        <v>Ir</v>
      </c>
      <c r="D317" s="11" t="s">
        <v>397</v>
      </c>
      <c r="E317" s="73" t="s">
        <v>397</v>
      </c>
      <c r="F317" s="74">
        <v>200</v>
      </c>
      <c r="G317" s="75" t="s">
        <v>65</v>
      </c>
      <c r="H317" s="76">
        <f ca="1">SUMIF(INDIRECT(SUBSTITUTE(B317," ","_")&amp;"[Insumo]"),Insumos_a_comprar[[#This Row],[Insumo]],INDIRECT(SUBSTITUTE(B317," ","_")&amp;"[Stock]"))</f>
        <v>300</v>
      </c>
      <c r="I317" s="69" t="str">
        <f ca="1">IF((Insumos_a_comprar[[#This Row],[Stock actual]]-Insumos_a_comprar[[#This Row],[Stock mínimo]])&lt;0,"Si","No")</f>
        <v>No</v>
      </c>
      <c r="J317" s="77" t="str">
        <f ca="1">INDEX(Table12[Acción],MATCH(Insumos_a_comprar[[#This Row],[Planilla]],Table12[Planilla],0))</f>
        <v>Vencido</v>
      </c>
      <c r="K317" s="77">
        <v>500</v>
      </c>
      <c r="L31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7" s="206"/>
      <c r="N317" s="206"/>
      <c r="O317" s="206"/>
      <c r="P317" s="179"/>
      <c r="R317" s="1"/>
    </row>
    <row r="318" spans="1:18" x14ac:dyDescent="0.25">
      <c r="A318" s="22" t="s">
        <v>647</v>
      </c>
      <c r="B318" s="23" t="s">
        <v>597</v>
      </c>
      <c r="C318" s="61" t="str">
        <f>HYPERLINK("#'"&amp;Insumos_a_comprar[[#This Row],[Planilla]]&amp;"'!D1","Ir")</f>
        <v>Ir</v>
      </c>
      <c r="D318" s="11" t="s">
        <v>397</v>
      </c>
      <c r="E318" s="73" t="s">
        <v>397</v>
      </c>
      <c r="F318" s="74">
        <v>200</v>
      </c>
      <c r="G318" s="75" t="s">
        <v>65</v>
      </c>
      <c r="H318" s="76">
        <f ca="1">SUMIF(INDIRECT(SUBSTITUTE(B318," ","_")&amp;"[Insumo]"),Insumos_a_comprar[[#This Row],[Insumo]],INDIRECT(SUBSTITUTE(B318," ","_")&amp;"[Stock]"))</f>
        <v>280</v>
      </c>
      <c r="I318" s="69" t="str">
        <f ca="1">IF((Insumos_a_comprar[[#This Row],[Stock actual]]-Insumos_a_comprar[[#This Row],[Stock mínimo]])&lt;0,"Si","No")</f>
        <v>No</v>
      </c>
      <c r="J318" s="77" t="str">
        <f ca="1">INDEX(Table12[Acción],MATCH(Insumos_a_comprar[[#This Row],[Planilla]],Table12[Planilla],0))</f>
        <v>Vencido</v>
      </c>
      <c r="K318" s="77">
        <v>200</v>
      </c>
      <c r="L31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8" s="367"/>
      <c r="N318" s="367"/>
      <c r="O318" s="367"/>
      <c r="P318" s="179"/>
      <c r="R318" s="1"/>
    </row>
    <row r="319" spans="1:18" x14ac:dyDescent="0.25">
      <c r="A319" s="22" t="s">
        <v>710</v>
      </c>
      <c r="B319" s="23" t="s">
        <v>739</v>
      </c>
      <c r="C319" s="61" t="str">
        <f>HYPERLINK("#'"&amp;Insumos_a_comprar[[#This Row],[Planilla]]&amp;"'!D1","Ir")</f>
        <v>Ir</v>
      </c>
      <c r="D319" s="11" t="s">
        <v>397</v>
      </c>
      <c r="E319" s="73" t="s">
        <v>397</v>
      </c>
      <c r="F319" s="74">
        <v>10</v>
      </c>
      <c r="G319" s="75" t="s">
        <v>702</v>
      </c>
      <c r="H319" s="76">
        <f ca="1">SUMIF(INDIRECT(SUBSTITUTE(B319," ","_")&amp;"[Insumo]"),Insumos_a_comprar[[#This Row],[Insumo]],INDIRECT(SUBSTITUTE(B319," ","_")&amp;"[Stock]"))</f>
        <v>20</v>
      </c>
      <c r="I319" s="69" t="str">
        <f ca="1">IF((Insumos_a_comprar[[#This Row],[Stock actual]]-Insumos_a_comprar[[#This Row],[Stock mínimo]])&lt;0,"Si","No")</f>
        <v>No</v>
      </c>
      <c r="J319" s="77" t="str">
        <f ca="1">INDEX(Table12[Acción],MATCH(Insumos_a_comprar[[#This Row],[Planilla]],Table12[Planilla],0))</f>
        <v>Vencido</v>
      </c>
      <c r="K319" s="77">
        <v>10</v>
      </c>
      <c r="L31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19" s="367"/>
      <c r="N319" s="367"/>
      <c r="O319" s="367"/>
      <c r="P319" s="179"/>
      <c r="R319" s="1"/>
    </row>
    <row r="320" spans="1:18" x14ac:dyDescent="0.25">
      <c r="A320" s="10" t="s">
        <v>143</v>
      </c>
      <c r="B320" s="11" t="s">
        <v>398</v>
      </c>
      <c r="C320" s="61" t="str">
        <f>HYPERLINK("#'"&amp;Insumos_a_comprar[[#This Row],[Planilla]]&amp;"'!D1","Ir")</f>
        <v>Ir</v>
      </c>
      <c r="D320" s="11" t="s">
        <v>463</v>
      </c>
      <c r="E320" s="66" t="s">
        <v>836</v>
      </c>
      <c r="F320" s="67">
        <v>10</v>
      </c>
      <c r="G320" s="68" t="s">
        <v>399</v>
      </c>
      <c r="H320" s="72">
        <f ca="1">SUMIF(INDIRECT(SUBSTITUTE(B320," ","_")&amp;"[Insumo]"),Insumos_a_comprar[[#This Row],[Insumo]],INDIRECT(SUBSTITUTE(B320," ","_")&amp;"[Stock]"))</f>
        <v>13.5</v>
      </c>
      <c r="I320" s="69" t="str">
        <f ca="1">IF((Insumos_a_comprar[[#This Row],[Stock actual]]-Insumos_a_comprar[[#This Row],[Stock mínimo]])&lt;0,"Si","No")</f>
        <v>No</v>
      </c>
      <c r="J320" s="67" t="str">
        <f ca="1">INDEX(Table12[Acción],MATCH(Insumos_a_comprar[[#This Row],[Planilla]],Table12[Planilla],0))</f>
        <v>Vigente</v>
      </c>
      <c r="K320" s="71">
        <v>12</v>
      </c>
      <c r="L32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0" s="65"/>
      <c r="N320" s="65"/>
      <c r="O320" s="65">
        <v>44328</v>
      </c>
      <c r="P320" s="178"/>
      <c r="R320" s="1"/>
    </row>
    <row r="321" spans="1:18" x14ac:dyDescent="0.25">
      <c r="A321" s="22" t="s">
        <v>583</v>
      </c>
      <c r="B321" s="23" t="s">
        <v>440</v>
      </c>
      <c r="C321" s="61" t="str">
        <f>HYPERLINK("#'"&amp;Insumos_a_comprar[[#This Row],[Planilla]]&amp;"'!D1","Ir")</f>
        <v>Ir</v>
      </c>
      <c r="D321" s="11" t="s">
        <v>397</v>
      </c>
      <c r="E321" s="73" t="s">
        <v>397</v>
      </c>
      <c r="F321" s="74">
        <v>5</v>
      </c>
      <c r="G321" s="75" t="s">
        <v>65</v>
      </c>
      <c r="H321" s="76">
        <f ca="1">SUMIF(INDIRECT(SUBSTITUTE(B321," ","_")&amp;"[Insumo]"),Insumos_a_comprar[[#This Row],[Insumo]],INDIRECT(SUBSTITUTE(B321," ","_")&amp;"[Stock]"))</f>
        <v>5</v>
      </c>
      <c r="I321" s="69" t="str">
        <f ca="1">IF((Insumos_a_comprar[[#This Row],[Stock actual]]-Insumos_a_comprar[[#This Row],[Stock mínimo]])&lt;0,"Si","No")</f>
        <v>No</v>
      </c>
      <c r="J321" s="67" t="str">
        <f ca="1">INDEX(Table12[Acción],MATCH(Insumos_a_comprar[[#This Row],[Planilla]],Table12[Planilla],0))</f>
        <v>Constante</v>
      </c>
      <c r="K321" s="77">
        <v>2</v>
      </c>
      <c r="L32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1" s="367"/>
      <c r="N321" s="367"/>
      <c r="O321" s="367">
        <v>44369</v>
      </c>
      <c r="P321" s="179"/>
      <c r="Q321" s="1"/>
      <c r="R321" s="1"/>
    </row>
    <row r="322" spans="1:18" x14ac:dyDescent="0.25">
      <c r="A322" s="22" t="s">
        <v>582</v>
      </c>
      <c r="B322" s="23" t="s">
        <v>440</v>
      </c>
      <c r="C322" s="61" t="str">
        <f>HYPERLINK("#'"&amp;Insumos_a_comprar[[#This Row],[Planilla]]&amp;"'!D1","Ir")</f>
        <v>Ir</v>
      </c>
      <c r="D322" s="11" t="s">
        <v>397</v>
      </c>
      <c r="E322" s="73" t="s">
        <v>397</v>
      </c>
      <c r="F322" s="74">
        <v>5</v>
      </c>
      <c r="G322" s="75" t="s">
        <v>65</v>
      </c>
      <c r="H322" s="76">
        <f ca="1">SUMIF(INDIRECT(SUBSTITUTE(B322," ","_")&amp;"[Insumo]"),Insumos_a_comprar[[#This Row],[Insumo]],INDIRECT(SUBSTITUTE(B322," ","_")&amp;"[Stock]"))</f>
        <v>5</v>
      </c>
      <c r="I322" s="69" t="str">
        <f ca="1">IF((Insumos_a_comprar[[#This Row],[Stock actual]]-Insumos_a_comprar[[#This Row],[Stock mínimo]])&lt;0,"Si","No")</f>
        <v>No</v>
      </c>
      <c r="J322" s="67" t="str">
        <f ca="1">INDEX(Table12[Acción],MATCH(Insumos_a_comprar[[#This Row],[Planilla]],Table12[Planilla],0))</f>
        <v>Constante</v>
      </c>
      <c r="K322" s="77">
        <v>2</v>
      </c>
      <c r="L32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2" s="367"/>
      <c r="N322" s="367"/>
      <c r="O322" s="367">
        <v>44369</v>
      </c>
      <c r="P322" s="179"/>
      <c r="Q322" s="1"/>
      <c r="R322" s="1"/>
    </row>
    <row r="323" spans="1:18" x14ac:dyDescent="0.25">
      <c r="A323" s="10" t="s">
        <v>685</v>
      </c>
      <c r="B323" s="11" t="s">
        <v>400</v>
      </c>
      <c r="C323" s="61" t="str">
        <f>HYPERLINK("#'"&amp;Insumos_a_comprar[[#This Row],[Planilla]]&amp;"'!D1","Ir")</f>
        <v>Ir</v>
      </c>
      <c r="D323" s="11" t="s">
        <v>397</v>
      </c>
      <c r="E323" s="66" t="s">
        <v>164</v>
      </c>
      <c r="F323" s="67">
        <v>100</v>
      </c>
      <c r="G323" s="68" t="s">
        <v>152</v>
      </c>
      <c r="H323" s="72">
        <f ca="1">SUMIF(INDIRECT(SUBSTITUTE(B323," ","_")&amp;"[Insumo]"),Insumos_a_comprar[[#This Row],[Insumo]],INDIRECT(SUBSTITUTE(B323," ","_")&amp;"[Stock]"))</f>
        <v>118</v>
      </c>
      <c r="I323" s="69" t="str">
        <f ca="1">IF((Insumos_a_comprar[[#This Row],[Stock actual]]-Insumos_a_comprar[[#This Row],[Stock mínimo]])&lt;0,"Si","No")</f>
        <v>No</v>
      </c>
      <c r="J323" s="67" t="str">
        <f ca="1">INDEX(Table12[Acción],MATCH(Insumos_a_comprar[[#This Row],[Planilla]],Table12[Planilla],0))</f>
        <v>Vencido</v>
      </c>
      <c r="K323" s="71"/>
      <c r="L32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3" s="65"/>
      <c r="N323" s="65"/>
      <c r="O323" s="65">
        <v>44153</v>
      </c>
      <c r="P323" s="178"/>
      <c r="Q323" s="1"/>
      <c r="R323" s="1"/>
    </row>
    <row r="324" spans="1:18" x14ac:dyDescent="0.25">
      <c r="A324" s="22" t="s">
        <v>711</v>
      </c>
      <c r="B324" s="23" t="s">
        <v>739</v>
      </c>
      <c r="C324" s="61" t="str">
        <f>HYPERLINK("#'"&amp;Insumos_a_comprar[[#This Row],[Planilla]]&amp;"'!D1","Ir")</f>
        <v>Ir</v>
      </c>
      <c r="D324" s="11" t="s">
        <v>397</v>
      </c>
      <c r="E324" s="73" t="s">
        <v>397</v>
      </c>
      <c r="F324" s="74">
        <v>0.5</v>
      </c>
      <c r="G324" s="75" t="s">
        <v>65</v>
      </c>
      <c r="H324" s="76">
        <f ca="1">SUMIF(INDIRECT(SUBSTITUTE(B324," ","_")&amp;"[Insumo]"),Insumos_a_comprar[[#This Row],[Insumo]],INDIRECT(SUBSTITUTE(B324," ","_")&amp;"[Stock]"))</f>
        <v>2</v>
      </c>
      <c r="I324" s="69" t="str">
        <f ca="1">IF((Insumos_a_comprar[[#This Row],[Stock actual]]-Insumos_a_comprar[[#This Row],[Stock mínimo]])&lt;0,"Si","No")</f>
        <v>No</v>
      </c>
      <c r="J324" s="77" t="str">
        <f ca="1">INDEX(Table12[Acción],MATCH(Insumos_a_comprar[[#This Row],[Planilla]],Table12[Planilla],0))</f>
        <v>Vencido</v>
      </c>
      <c r="K324" s="77">
        <v>1</v>
      </c>
      <c r="L32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4" s="206"/>
      <c r="N324" s="206"/>
      <c r="O324" s="206"/>
      <c r="P324" s="179"/>
      <c r="Q324" s="1"/>
      <c r="R324" s="1"/>
    </row>
    <row r="325" spans="1:18" x14ac:dyDescent="0.25">
      <c r="A325" s="22" t="s">
        <v>984</v>
      </c>
      <c r="B325" s="23" t="s">
        <v>63</v>
      </c>
      <c r="C325" s="193" t="str">
        <f>HYPERLINK("#'"&amp;Insumos_a_comprar[[#This Row],[Planilla]]&amp;"'!D1","Ir")</f>
        <v>Ir</v>
      </c>
      <c r="D325" s="23" t="s">
        <v>397</v>
      </c>
      <c r="E325" s="73"/>
      <c r="F325" s="74">
        <v>1</v>
      </c>
      <c r="G325" s="75" t="s">
        <v>65</v>
      </c>
      <c r="H325" s="76">
        <f ca="1">SUMIF(INDIRECT(SUBSTITUTE(B325," ","_")&amp;"[Insumo]"),Insumos_a_comprar[[#This Row],[Insumo]],INDIRECT(SUBSTITUTE(B325," ","_")&amp;"[Stock]"))</f>
        <v>1</v>
      </c>
      <c r="I325" s="194" t="str">
        <f ca="1">IF((Insumos_a_comprar[[#This Row],[Stock actual]]-Insumos_a_comprar[[#This Row],[Stock mínimo]])&lt;0,"Si","No")</f>
        <v>No</v>
      </c>
      <c r="J325" s="77" t="str">
        <f ca="1">INDEX(Table12[Acción],MATCH(Insumos_a_comprar[[#This Row],[Planilla]],Table12[Planilla],0))</f>
        <v>Constante</v>
      </c>
      <c r="K325" s="77"/>
      <c r="L32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5" s="206"/>
      <c r="N325" s="206"/>
      <c r="O325" s="206"/>
      <c r="P325" s="179"/>
      <c r="Q325" s="1"/>
      <c r="R325" s="1"/>
    </row>
    <row r="326" spans="1:18" x14ac:dyDescent="0.25">
      <c r="A326" s="22" t="s">
        <v>985</v>
      </c>
      <c r="B326" s="23" t="s">
        <v>63</v>
      </c>
      <c r="C326" s="193" t="str">
        <f>HYPERLINK("#'"&amp;Insumos_a_comprar[[#This Row],[Planilla]]&amp;"'!D1","Ir")</f>
        <v>Ir</v>
      </c>
      <c r="D326" s="23" t="s">
        <v>397</v>
      </c>
      <c r="E326" s="73"/>
      <c r="F326" s="74">
        <v>1</v>
      </c>
      <c r="G326" s="75" t="s">
        <v>65</v>
      </c>
      <c r="H326" s="76">
        <f ca="1">SUMIF(INDIRECT(SUBSTITUTE(B326," ","_")&amp;"[Insumo]"),Insumos_a_comprar[[#This Row],[Insumo]],INDIRECT(SUBSTITUTE(B326," ","_")&amp;"[Stock]"))</f>
        <v>1</v>
      </c>
      <c r="I326" s="194" t="str">
        <f ca="1">IF((Insumos_a_comprar[[#This Row],[Stock actual]]-Insumos_a_comprar[[#This Row],[Stock mínimo]])&lt;0,"Si","No")</f>
        <v>No</v>
      </c>
      <c r="J326" s="77" t="str">
        <f ca="1">INDEX(Table12[Acción],MATCH(Insumos_a_comprar[[#This Row],[Planilla]],Table12[Planilla],0))</f>
        <v>Constante</v>
      </c>
      <c r="K326" s="77"/>
      <c r="L32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6" s="206"/>
      <c r="N326" s="206"/>
      <c r="O326" s="206"/>
      <c r="P326" s="179"/>
      <c r="Q326" s="1"/>
      <c r="R326" s="1"/>
    </row>
    <row r="327" spans="1:18" x14ac:dyDescent="0.25">
      <c r="A327" s="22" t="s">
        <v>584</v>
      </c>
      <c r="B327" s="23" t="s">
        <v>440</v>
      </c>
      <c r="C327" s="61" t="str">
        <f>HYPERLINK("#'"&amp;Insumos_a_comprar[[#This Row],[Planilla]]&amp;"'!D1","Ir")</f>
        <v>Ir</v>
      </c>
      <c r="D327" s="11" t="s">
        <v>397</v>
      </c>
      <c r="E327" s="73" t="s">
        <v>397</v>
      </c>
      <c r="F327" s="74">
        <v>2</v>
      </c>
      <c r="G327" s="75" t="s">
        <v>65</v>
      </c>
      <c r="H327" s="76">
        <f ca="1">SUMIF(INDIRECT(SUBSTITUTE(B327," ","_")&amp;"[Insumo]"),Insumos_a_comprar[[#This Row],[Insumo]],INDIRECT(SUBSTITUTE(B327," ","_")&amp;"[Stock]"))</f>
        <v>3</v>
      </c>
      <c r="I327" s="69" t="str">
        <f ca="1">IF((Insumos_a_comprar[[#This Row],[Stock actual]]-Insumos_a_comprar[[#This Row],[Stock mínimo]])&lt;0,"Si","No")</f>
        <v>No</v>
      </c>
      <c r="J327" s="67" t="str">
        <f ca="1">INDEX(Table12[Acción],MATCH(Insumos_a_comprar[[#This Row],[Planilla]],Table12[Planilla],0))</f>
        <v>Constante</v>
      </c>
      <c r="K327" s="77">
        <v>2</v>
      </c>
      <c r="L32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7" s="206"/>
      <c r="N327" s="206"/>
      <c r="O327" s="206"/>
      <c r="P327" s="179"/>
      <c r="Q327" s="1"/>
      <c r="R327" s="1"/>
    </row>
    <row r="328" spans="1:18" x14ac:dyDescent="0.25">
      <c r="A328" s="22" t="s">
        <v>541</v>
      </c>
      <c r="B328" s="23" t="s">
        <v>440</v>
      </c>
      <c r="C328" s="61" t="str">
        <f>HYPERLINK("#'"&amp;Insumos_a_comprar[[#This Row],[Planilla]]&amp;"'!D1","Ir")</f>
        <v>Ir</v>
      </c>
      <c r="D328" s="11" t="s">
        <v>397</v>
      </c>
      <c r="E328" s="73" t="s">
        <v>397</v>
      </c>
      <c r="F328" s="74">
        <v>5</v>
      </c>
      <c r="G328" s="75" t="s">
        <v>65</v>
      </c>
      <c r="H328" s="76">
        <f ca="1">SUMIF(INDIRECT(SUBSTITUTE(B328," ","_")&amp;"[Insumo]"),Insumos_a_comprar[[#This Row],[Insumo]],INDIRECT(SUBSTITUTE(B328," ","_")&amp;"[Stock]"))</f>
        <v>9</v>
      </c>
      <c r="I328" s="69" t="str">
        <f ca="1">IF((Insumos_a_comprar[[#This Row],[Stock actual]]-Insumos_a_comprar[[#This Row],[Stock mínimo]])&lt;0,"Si","No")</f>
        <v>No</v>
      </c>
      <c r="J328" s="67" t="str">
        <f ca="1">INDEX(Table12[Acción],MATCH(Insumos_a_comprar[[#This Row],[Planilla]],Table12[Planilla],0))</f>
        <v>Constante</v>
      </c>
      <c r="K328" s="77">
        <v>5</v>
      </c>
      <c r="L32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8" s="206"/>
      <c r="N328" s="206"/>
      <c r="O328" s="206"/>
      <c r="P328" s="179"/>
      <c r="Q328" s="1"/>
      <c r="R328" s="1"/>
    </row>
    <row r="329" spans="1:18" x14ac:dyDescent="0.25">
      <c r="A329" s="22" t="s">
        <v>537</v>
      </c>
      <c r="B329" s="23" t="s">
        <v>440</v>
      </c>
      <c r="C329" s="61" t="str">
        <f>HYPERLINK("#'"&amp;Insumos_a_comprar[[#This Row],[Planilla]]&amp;"'!D1","Ir")</f>
        <v>Ir</v>
      </c>
      <c r="D329" s="11" t="s">
        <v>397</v>
      </c>
      <c r="E329" s="73" t="s">
        <v>397</v>
      </c>
      <c r="F329" s="74">
        <v>5</v>
      </c>
      <c r="G329" s="75" t="s">
        <v>65</v>
      </c>
      <c r="H329" s="76">
        <f ca="1">SUMIF(INDIRECT(SUBSTITUTE(B329," ","_")&amp;"[Insumo]"),Insumos_a_comprar[[#This Row],[Insumo]],INDIRECT(SUBSTITUTE(B329," ","_")&amp;"[Stock]"))</f>
        <v>8</v>
      </c>
      <c r="I329" s="69" t="str">
        <f ca="1">IF((Insumos_a_comprar[[#This Row],[Stock actual]]-Insumos_a_comprar[[#This Row],[Stock mínimo]])&lt;0,"Si","No")</f>
        <v>No</v>
      </c>
      <c r="J329" s="67" t="str">
        <f ca="1">INDEX(Table12[Acción],MATCH(Insumos_a_comprar[[#This Row],[Planilla]],Table12[Planilla],0))</f>
        <v>Constante</v>
      </c>
      <c r="K329" s="77">
        <v>2</v>
      </c>
      <c r="L32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29" s="206"/>
      <c r="N329" s="206"/>
      <c r="O329" s="206"/>
      <c r="P329" s="179"/>
      <c r="Q329" s="1"/>
      <c r="R329" s="1"/>
    </row>
    <row r="330" spans="1:18" x14ac:dyDescent="0.25">
      <c r="A330" s="22" t="s">
        <v>540</v>
      </c>
      <c r="B330" s="23" t="s">
        <v>440</v>
      </c>
      <c r="C330" s="61" t="str">
        <f>HYPERLINK("#'"&amp;Insumos_a_comprar[[#This Row],[Planilla]]&amp;"'!D1","Ir")</f>
        <v>Ir</v>
      </c>
      <c r="D330" s="11" t="s">
        <v>397</v>
      </c>
      <c r="E330" s="73" t="s">
        <v>397</v>
      </c>
      <c r="F330" s="74">
        <v>5</v>
      </c>
      <c r="G330" s="75" t="s">
        <v>65</v>
      </c>
      <c r="H330" s="76">
        <f ca="1">SUMIF(INDIRECT(SUBSTITUTE(B330," ","_")&amp;"[Insumo]"),Insumos_a_comprar[[#This Row],[Insumo]],INDIRECT(SUBSTITUTE(B330," ","_")&amp;"[Stock]"))</f>
        <v>11</v>
      </c>
      <c r="I330" s="69" t="str">
        <f ca="1">IF((Insumos_a_comprar[[#This Row],[Stock actual]]-Insumos_a_comprar[[#This Row],[Stock mínimo]])&lt;0,"Si","No")</f>
        <v>No</v>
      </c>
      <c r="J330" s="67" t="str">
        <f ca="1">INDEX(Table12[Acción],MATCH(Insumos_a_comprar[[#This Row],[Planilla]],Table12[Planilla],0))</f>
        <v>Constante</v>
      </c>
      <c r="K330" s="77">
        <v>5</v>
      </c>
      <c r="L33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30" s="206"/>
      <c r="N330" s="206"/>
      <c r="O330" s="206"/>
      <c r="P330" s="179"/>
      <c r="Q330" s="1"/>
      <c r="R330" s="1"/>
    </row>
    <row r="331" spans="1:18" x14ac:dyDescent="0.25">
      <c r="A331" s="22" t="s">
        <v>536</v>
      </c>
      <c r="B331" s="23" t="s">
        <v>440</v>
      </c>
      <c r="C331" s="61" t="str">
        <f>HYPERLINK("#'"&amp;Insumos_a_comprar[[#This Row],[Planilla]]&amp;"'!D1","Ir")</f>
        <v>Ir</v>
      </c>
      <c r="D331" s="11" t="s">
        <v>397</v>
      </c>
      <c r="E331" s="73" t="s">
        <v>397</v>
      </c>
      <c r="F331" s="74">
        <v>2</v>
      </c>
      <c r="G331" s="75" t="s">
        <v>65</v>
      </c>
      <c r="H331" s="76">
        <f ca="1">SUMIF(INDIRECT(SUBSTITUTE(B331," ","_")&amp;"[Insumo]"),Insumos_a_comprar[[#This Row],[Insumo]],INDIRECT(SUBSTITUTE(B331," ","_")&amp;"[Stock]"))</f>
        <v>1</v>
      </c>
      <c r="I331" s="69" t="str">
        <f ca="1">IF((Insumos_a_comprar[[#This Row],[Stock actual]]-Insumos_a_comprar[[#This Row],[Stock mínimo]])&lt;0,"Si","No")</f>
        <v>Si</v>
      </c>
      <c r="J331" s="67" t="str">
        <f ca="1">INDEX(Table12[Acción],MATCH(Insumos_a_comprar[[#This Row],[Planilla]],Table12[Planilla],0))</f>
        <v>Constante</v>
      </c>
      <c r="K331" s="77">
        <v>2</v>
      </c>
      <c r="L33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331" s="206">
        <v>44245</v>
      </c>
      <c r="N331" s="206">
        <v>44042</v>
      </c>
      <c r="O331" s="206"/>
      <c r="P331" s="179"/>
      <c r="Q331" s="1"/>
      <c r="R331" s="1"/>
    </row>
    <row r="332" spans="1:18" x14ac:dyDescent="0.25">
      <c r="A332" s="22" t="s">
        <v>539</v>
      </c>
      <c r="B332" s="23" t="s">
        <v>440</v>
      </c>
      <c r="C332" s="61" t="str">
        <f>HYPERLINK("#'"&amp;Insumos_a_comprar[[#This Row],[Planilla]]&amp;"'!D1","Ir")</f>
        <v>Ir</v>
      </c>
      <c r="D332" s="11" t="s">
        <v>397</v>
      </c>
      <c r="E332" s="73" t="s">
        <v>397</v>
      </c>
      <c r="F332" s="74">
        <v>2</v>
      </c>
      <c r="G332" s="75" t="s">
        <v>65</v>
      </c>
      <c r="H332" s="76">
        <f ca="1">SUMIF(INDIRECT(SUBSTITUTE(B332," ","_")&amp;"[Insumo]"),Insumos_a_comprar[[#This Row],[Insumo]],INDIRECT(SUBSTITUTE(B332," ","_")&amp;"[Stock]"))</f>
        <v>3</v>
      </c>
      <c r="I332" s="69" t="str">
        <f ca="1">IF((Insumos_a_comprar[[#This Row],[Stock actual]]-Insumos_a_comprar[[#This Row],[Stock mínimo]])&lt;0,"Si","No")</f>
        <v>No</v>
      </c>
      <c r="J332" s="67" t="str">
        <f ca="1">INDEX(Table12[Acción],MATCH(Insumos_a_comprar[[#This Row],[Planilla]],Table12[Planilla],0))</f>
        <v>Constante</v>
      </c>
      <c r="K332" s="77">
        <v>2</v>
      </c>
      <c r="L33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32" s="206"/>
      <c r="N332" s="206"/>
      <c r="O332" s="206"/>
      <c r="P332" s="179"/>
      <c r="Q332" s="1"/>
      <c r="R332" s="1"/>
    </row>
    <row r="333" spans="1:18" x14ac:dyDescent="0.25">
      <c r="A333" s="22" t="s">
        <v>538</v>
      </c>
      <c r="B333" s="23" t="s">
        <v>440</v>
      </c>
      <c r="C333" s="61" t="str">
        <f>HYPERLINK("#'"&amp;Insumos_a_comprar[[#This Row],[Planilla]]&amp;"'!D1","Ir")</f>
        <v>Ir</v>
      </c>
      <c r="D333" s="11" t="s">
        <v>397</v>
      </c>
      <c r="E333" s="73" t="s">
        <v>397</v>
      </c>
      <c r="F333" s="74">
        <v>5</v>
      </c>
      <c r="G333" s="75" t="s">
        <v>65</v>
      </c>
      <c r="H333" s="76">
        <f ca="1">SUMIF(INDIRECT(SUBSTITUTE(B333," ","_")&amp;"[Insumo]"),Insumos_a_comprar[[#This Row],[Insumo]],INDIRECT(SUBSTITUTE(B333," ","_")&amp;"[Stock]"))</f>
        <v>6</v>
      </c>
      <c r="I333" s="69" t="str">
        <f ca="1">IF((Insumos_a_comprar[[#This Row],[Stock actual]]-Insumos_a_comprar[[#This Row],[Stock mínimo]])&lt;0,"Si","No")</f>
        <v>No</v>
      </c>
      <c r="J333" s="67" t="str">
        <f ca="1">INDEX(Table12[Acción],MATCH(Insumos_a_comprar[[#This Row],[Planilla]],Table12[Planilla],0))</f>
        <v>Constante</v>
      </c>
      <c r="K333" s="77">
        <v>2</v>
      </c>
      <c r="L33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33" s="206"/>
      <c r="N333" s="206"/>
      <c r="O333" s="206"/>
      <c r="P333" s="179"/>
      <c r="Q333" s="1"/>
      <c r="R333" s="1"/>
    </row>
    <row r="334" spans="1:18" x14ac:dyDescent="0.25">
      <c r="A334" s="22" t="s">
        <v>535</v>
      </c>
      <c r="B334" s="23" t="s">
        <v>440</v>
      </c>
      <c r="C334" s="61" t="str">
        <f>HYPERLINK("#'"&amp;Insumos_a_comprar[[#This Row],[Planilla]]&amp;"'!D1","Ir")</f>
        <v>Ir</v>
      </c>
      <c r="D334" s="11" t="s">
        <v>397</v>
      </c>
      <c r="E334" s="73" t="s">
        <v>397</v>
      </c>
      <c r="F334" s="74">
        <v>2</v>
      </c>
      <c r="G334" s="75" t="s">
        <v>65</v>
      </c>
      <c r="H334" s="76">
        <f ca="1">SUMIF(INDIRECT(SUBSTITUTE(B334," ","_")&amp;"[Insumo]"),Insumos_a_comprar[[#This Row],[Insumo]],INDIRECT(SUBSTITUTE(B334," ","_")&amp;"[Stock]"))</f>
        <v>3</v>
      </c>
      <c r="I334" s="69" t="str">
        <f ca="1">IF((Insumos_a_comprar[[#This Row],[Stock actual]]-Insumos_a_comprar[[#This Row],[Stock mínimo]])&lt;0,"Si","No")</f>
        <v>No</v>
      </c>
      <c r="J334" s="67" t="str">
        <f ca="1">INDEX(Table12[Acción],MATCH(Insumos_a_comprar[[#This Row],[Planilla]],Table12[Planilla],0))</f>
        <v>Constante</v>
      </c>
      <c r="K334" s="77">
        <v>2</v>
      </c>
      <c r="L33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34" s="206"/>
      <c r="N334" s="206"/>
      <c r="O334" s="206"/>
      <c r="P334" s="179"/>
      <c r="Q334" s="1"/>
      <c r="R334" s="1"/>
    </row>
    <row r="335" spans="1:18" x14ac:dyDescent="0.25">
      <c r="A335" s="22" t="s">
        <v>534</v>
      </c>
      <c r="B335" s="23" t="s">
        <v>440</v>
      </c>
      <c r="C335" s="61" t="str">
        <f>HYPERLINK("#'"&amp;Insumos_a_comprar[[#This Row],[Planilla]]&amp;"'!D1","Ir")</f>
        <v>Ir</v>
      </c>
      <c r="D335" s="11" t="s">
        <v>397</v>
      </c>
      <c r="E335" s="73" t="s">
        <v>397</v>
      </c>
      <c r="F335" s="74">
        <v>2</v>
      </c>
      <c r="G335" s="75" t="s">
        <v>65</v>
      </c>
      <c r="H335" s="76">
        <f ca="1">SUMIF(INDIRECT(SUBSTITUTE(B335," ","_")&amp;"[Insumo]"),Insumos_a_comprar[[#This Row],[Insumo]],INDIRECT(SUBSTITUTE(B335," ","_")&amp;"[Stock]"))</f>
        <v>1</v>
      </c>
      <c r="I335" s="69" t="str">
        <f ca="1">IF((Insumos_a_comprar[[#This Row],[Stock actual]]-Insumos_a_comprar[[#This Row],[Stock mínimo]])&lt;0,"Si","No")</f>
        <v>Si</v>
      </c>
      <c r="J335" s="67" t="str">
        <f ca="1">INDEX(Table12[Acción],MATCH(Insumos_a_comprar[[#This Row],[Planilla]],Table12[Planilla],0))</f>
        <v>Constante</v>
      </c>
      <c r="K335" s="77">
        <v>2</v>
      </c>
      <c r="L33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335" s="206">
        <v>44245</v>
      </c>
      <c r="N335" s="206"/>
      <c r="O335" s="206"/>
      <c r="P335" s="179"/>
      <c r="Q335" s="1"/>
      <c r="R335" s="1"/>
    </row>
    <row r="336" spans="1:18" x14ac:dyDescent="0.25">
      <c r="A336" s="22" t="s">
        <v>533</v>
      </c>
      <c r="B336" s="23" t="s">
        <v>440</v>
      </c>
      <c r="C336" s="61" t="str">
        <f>HYPERLINK("#'"&amp;Insumos_a_comprar[[#This Row],[Planilla]]&amp;"'!D1","Ir")</f>
        <v>Ir</v>
      </c>
      <c r="D336" s="11" t="s">
        <v>397</v>
      </c>
      <c r="E336" s="73" t="s">
        <v>397</v>
      </c>
      <c r="F336" s="74">
        <v>2</v>
      </c>
      <c r="G336" s="75" t="s">
        <v>65</v>
      </c>
      <c r="H336" s="76">
        <f ca="1">SUMIF(INDIRECT(SUBSTITUTE(B336," ","_")&amp;"[Insumo]"),Insumos_a_comprar[[#This Row],[Insumo]],INDIRECT(SUBSTITUTE(B336," ","_")&amp;"[Stock]"))</f>
        <v>3</v>
      </c>
      <c r="I336" s="69" t="str">
        <f ca="1">IF((Insumos_a_comprar[[#This Row],[Stock actual]]-Insumos_a_comprar[[#This Row],[Stock mínimo]])&lt;0,"Si","No")</f>
        <v>No</v>
      </c>
      <c r="J336" s="67" t="str">
        <f ca="1">INDEX(Table12[Acción],MATCH(Insumos_a_comprar[[#This Row],[Planilla]],Table12[Planilla],0))</f>
        <v>Constante</v>
      </c>
      <c r="K336" s="77">
        <v>2</v>
      </c>
      <c r="L33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36" s="206"/>
      <c r="N336" s="206"/>
      <c r="O336" s="206"/>
      <c r="P336" s="179"/>
      <c r="Q336" s="1"/>
      <c r="R336" s="1"/>
    </row>
    <row r="337" spans="1:18" x14ac:dyDescent="0.25">
      <c r="A337" s="22" t="s">
        <v>532</v>
      </c>
      <c r="B337" s="23" t="s">
        <v>440</v>
      </c>
      <c r="C337" s="61" t="str">
        <f>HYPERLINK("#'"&amp;Insumos_a_comprar[[#This Row],[Planilla]]&amp;"'!D1","Ir")</f>
        <v>Ir</v>
      </c>
      <c r="D337" s="11" t="s">
        <v>397</v>
      </c>
      <c r="E337" s="73" t="s">
        <v>397</v>
      </c>
      <c r="F337" s="74">
        <v>2</v>
      </c>
      <c r="G337" s="75" t="s">
        <v>65</v>
      </c>
      <c r="H337" s="76">
        <f ca="1">SUMIF(INDIRECT(SUBSTITUTE(B337," ","_")&amp;"[Insumo]"),Insumos_a_comprar[[#This Row],[Insumo]],INDIRECT(SUBSTITUTE(B337," ","_")&amp;"[Stock]"))</f>
        <v>1</v>
      </c>
      <c r="I337" s="69" t="str">
        <f ca="1">IF((Insumos_a_comprar[[#This Row],[Stock actual]]-Insumos_a_comprar[[#This Row],[Stock mínimo]])&lt;0,"Si","No")</f>
        <v>Si</v>
      </c>
      <c r="J337" s="67" t="str">
        <f ca="1">INDEX(Table12[Acción],MATCH(Insumos_a_comprar[[#This Row],[Planilla]],Table12[Planilla],0))</f>
        <v>Constante</v>
      </c>
      <c r="K337" s="77">
        <v>2</v>
      </c>
      <c r="L33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337" s="206">
        <v>44245</v>
      </c>
      <c r="N337" s="206"/>
      <c r="O337" s="206"/>
      <c r="P337" s="179"/>
      <c r="Q337" s="1"/>
      <c r="R337" s="1"/>
    </row>
    <row r="338" spans="1:18" x14ac:dyDescent="0.25">
      <c r="A338" s="22" t="s">
        <v>531</v>
      </c>
      <c r="B338" s="23" t="s">
        <v>440</v>
      </c>
      <c r="C338" s="61" t="str">
        <f>HYPERLINK("#'"&amp;Insumos_a_comprar[[#This Row],[Planilla]]&amp;"'!D1","Ir")</f>
        <v>Ir</v>
      </c>
      <c r="D338" s="11" t="s">
        <v>397</v>
      </c>
      <c r="E338" s="73" t="s">
        <v>397</v>
      </c>
      <c r="F338" s="74">
        <v>10</v>
      </c>
      <c r="G338" s="75" t="s">
        <v>65</v>
      </c>
      <c r="H338" s="76">
        <f ca="1">SUMIF(INDIRECT(SUBSTITUTE(B338," ","_")&amp;"[Insumo]"),Insumos_a_comprar[[#This Row],[Insumo]],INDIRECT(SUBSTITUTE(B338," ","_")&amp;"[Stock]"))</f>
        <v>12</v>
      </c>
      <c r="I338" s="69" t="str">
        <f ca="1">IF((Insumos_a_comprar[[#This Row],[Stock actual]]-Insumos_a_comprar[[#This Row],[Stock mínimo]])&lt;0,"Si","No")</f>
        <v>No</v>
      </c>
      <c r="J338" s="67" t="str">
        <f ca="1">INDEX(Table12[Acción],MATCH(Insumos_a_comprar[[#This Row],[Planilla]],Table12[Planilla],0))</f>
        <v>Constante</v>
      </c>
      <c r="K338" s="77">
        <v>5</v>
      </c>
      <c r="L33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38" s="206"/>
      <c r="N338" s="206"/>
      <c r="O338" s="206"/>
      <c r="P338" s="179"/>
      <c r="Q338" s="1"/>
      <c r="R338" s="1"/>
    </row>
    <row r="339" spans="1:18" x14ac:dyDescent="0.25">
      <c r="A339" s="22" t="s">
        <v>528</v>
      </c>
      <c r="B339" s="23" t="s">
        <v>440</v>
      </c>
      <c r="C339" s="61" t="str">
        <f>HYPERLINK("#'"&amp;Insumos_a_comprar[[#This Row],[Planilla]]&amp;"'!D1","Ir")</f>
        <v>Ir</v>
      </c>
      <c r="D339" s="11" t="s">
        <v>397</v>
      </c>
      <c r="E339" s="73" t="s">
        <v>397</v>
      </c>
      <c r="F339" s="74">
        <v>10</v>
      </c>
      <c r="G339" s="75" t="s">
        <v>65</v>
      </c>
      <c r="H339" s="76">
        <f ca="1">SUMIF(INDIRECT(SUBSTITUTE(B339," ","_")&amp;"[Insumo]"),Insumos_a_comprar[[#This Row],[Insumo]],INDIRECT(SUBSTITUTE(B339," ","_")&amp;"[Stock]"))</f>
        <v>21</v>
      </c>
      <c r="I339" s="69" t="str">
        <f ca="1">IF((Insumos_a_comprar[[#This Row],[Stock actual]]-Insumos_a_comprar[[#This Row],[Stock mínimo]])&lt;0,"Si","No")</f>
        <v>No</v>
      </c>
      <c r="J339" s="67" t="str">
        <f ca="1">INDEX(Table12[Acción],MATCH(Insumos_a_comprar[[#This Row],[Planilla]],Table12[Planilla],0))</f>
        <v>Constante</v>
      </c>
      <c r="K339" s="77">
        <v>10</v>
      </c>
      <c r="L33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39" s="206"/>
      <c r="N339" s="206"/>
      <c r="O339" s="206"/>
      <c r="P339" s="179"/>
      <c r="Q339" s="1"/>
      <c r="R339" s="1"/>
    </row>
    <row r="340" spans="1:18" x14ac:dyDescent="0.25">
      <c r="A340" s="22" t="s">
        <v>530</v>
      </c>
      <c r="B340" s="23" t="s">
        <v>440</v>
      </c>
      <c r="C340" s="61" t="str">
        <f>HYPERLINK("#'"&amp;Insumos_a_comprar[[#This Row],[Planilla]]&amp;"'!D1","Ir")</f>
        <v>Ir</v>
      </c>
      <c r="D340" s="11" t="s">
        <v>397</v>
      </c>
      <c r="E340" s="73" t="s">
        <v>397</v>
      </c>
      <c r="F340" s="74">
        <v>10</v>
      </c>
      <c r="G340" s="75" t="s">
        <v>65</v>
      </c>
      <c r="H340" s="76">
        <f ca="1">SUMIF(INDIRECT(SUBSTITUTE(B340," ","_")&amp;"[Insumo]"),Insumos_a_comprar[[#This Row],[Insumo]],INDIRECT(SUBSTITUTE(B340," ","_")&amp;"[Stock]"))</f>
        <v>11</v>
      </c>
      <c r="I340" s="69" t="str">
        <f ca="1">IF((Insumos_a_comprar[[#This Row],[Stock actual]]-Insumos_a_comprar[[#This Row],[Stock mínimo]])&lt;0,"Si","No")</f>
        <v>No</v>
      </c>
      <c r="J340" s="67" t="str">
        <f ca="1">INDEX(Table12[Acción],MATCH(Insumos_a_comprar[[#This Row],[Planilla]],Table12[Planilla],0))</f>
        <v>Constante</v>
      </c>
      <c r="K340" s="77">
        <v>5</v>
      </c>
      <c r="L34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0" s="206"/>
      <c r="N340" s="206"/>
      <c r="O340" s="206"/>
      <c r="P340" s="179"/>
      <c r="Q340" s="1"/>
      <c r="R340" s="1"/>
    </row>
    <row r="341" spans="1:18" x14ac:dyDescent="0.25">
      <c r="A341" s="22" t="s">
        <v>527</v>
      </c>
      <c r="B341" s="23" t="s">
        <v>440</v>
      </c>
      <c r="C341" s="61" t="str">
        <f>HYPERLINK("#'"&amp;Insumos_a_comprar[[#This Row],[Planilla]]&amp;"'!D1","Ir")</f>
        <v>Ir</v>
      </c>
      <c r="D341" s="11" t="s">
        <v>397</v>
      </c>
      <c r="E341" s="73" t="s">
        <v>397</v>
      </c>
      <c r="F341" s="74">
        <v>2</v>
      </c>
      <c r="G341" s="75" t="s">
        <v>65</v>
      </c>
      <c r="H341" s="76">
        <f ca="1">SUMIF(INDIRECT(SUBSTITUTE(B341," ","_")&amp;"[Insumo]"),Insumos_a_comprar[[#This Row],[Insumo]],INDIRECT(SUBSTITUTE(B341," ","_")&amp;"[Stock]"))</f>
        <v>3</v>
      </c>
      <c r="I341" s="69" t="str">
        <f ca="1">IF((Insumos_a_comprar[[#This Row],[Stock actual]]-Insumos_a_comprar[[#This Row],[Stock mínimo]])&lt;0,"Si","No")</f>
        <v>No</v>
      </c>
      <c r="J341" s="67" t="str">
        <f ca="1">INDEX(Table12[Acción],MATCH(Insumos_a_comprar[[#This Row],[Planilla]],Table12[Planilla],0))</f>
        <v>Constante</v>
      </c>
      <c r="K341" s="77">
        <v>1</v>
      </c>
      <c r="L34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1" s="206"/>
      <c r="N341" s="206"/>
      <c r="O341" s="206">
        <v>44326</v>
      </c>
      <c r="P341" s="179"/>
      <c r="Q341" s="1"/>
      <c r="R341" s="1"/>
    </row>
    <row r="342" spans="1:18" x14ac:dyDescent="0.25">
      <c r="A342" s="22" t="s">
        <v>529</v>
      </c>
      <c r="B342" s="23" t="s">
        <v>440</v>
      </c>
      <c r="C342" s="61" t="str">
        <f>HYPERLINK("#'"&amp;Insumos_a_comprar[[#This Row],[Planilla]]&amp;"'!D1","Ir")</f>
        <v>Ir</v>
      </c>
      <c r="D342" s="11" t="s">
        <v>397</v>
      </c>
      <c r="E342" s="73" t="s">
        <v>397</v>
      </c>
      <c r="F342" s="74">
        <v>10</v>
      </c>
      <c r="G342" s="75" t="s">
        <v>65</v>
      </c>
      <c r="H342" s="76">
        <f ca="1">SUMIF(INDIRECT(SUBSTITUTE(B342," ","_")&amp;"[Insumo]"),Insumos_a_comprar[[#This Row],[Insumo]],INDIRECT(SUBSTITUTE(B342," ","_")&amp;"[Stock]"))</f>
        <v>14</v>
      </c>
      <c r="I342" s="69" t="str">
        <f ca="1">IF((Insumos_a_comprar[[#This Row],[Stock actual]]-Insumos_a_comprar[[#This Row],[Stock mínimo]])&lt;0,"Si","No")</f>
        <v>No</v>
      </c>
      <c r="J342" s="67" t="str">
        <f ca="1">INDEX(Table12[Acción],MATCH(Insumos_a_comprar[[#This Row],[Planilla]],Table12[Planilla],0))</f>
        <v>Constante</v>
      </c>
      <c r="K342" s="77">
        <v>10</v>
      </c>
      <c r="L34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2" s="206"/>
      <c r="N342" s="206"/>
      <c r="O342" s="206"/>
      <c r="P342" s="179"/>
      <c r="Q342" s="1"/>
      <c r="R342" s="1"/>
    </row>
    <row r="343" spans="1:18" x14ac:dyDescent="0.25">
      <c r="A343" s="22" t="s">
        <v>526</v>
      </c>
      <c r="B343" s="23" t="s">
        <v>440</v>
      </c>
      <c r="C343" s="61" t="str">
        <f>HYPERLINK("#'"&amp;Insumos_a_comprar[[#This Row],[Planilla]]&amp;"'!D1","Ir")</f>
        <v>Ir</v>
      </c>
      <c r="D343" s="11" t="s">
        <v>397</v>
      </c>
      <c r="E343" s="73" t="s">
        <v>397</v>
      </c>
      <c r="F343" s="74">
        <v>1</v>
      </c>
      <c r="G343" s="75" t="s">
        <v>65</v>
      </c>
      <c r="H343" s="76">
        <f ca="1">SUMIF(INDIRECT(SUBSTITUTE(B343," ","_")&amp;"[Insumo]"),Insumos_a_comprar[[#This Row],[Insumo]],INDIRECT(SUBSTITUTE(B343," ","_")&amp;"[Stock]"))</f>
        <v>0</v>
      </c>
      <c r="I343" s="69" t="str">
        <f ca="1">IF((Insumos_a_comprar[[#This Row],[Stock actual]]-Insumos_a_comprar[[#This Row],[Stock mínimo]])&lt;0,"Si","No")</f>
        <v>Si</v>
      </c>
      <c r="J343" s="67" t="str">
        <f ca="1">INDEX(Table12[Acción],MATCH(Insumos_a_comprar[[#This Row],[Planilla]],Table12[Planilla],0))</f>
        <v>Constante</v>
      </c>
      <c r="K343" s="77">
        <v>1</v>
      </c>
      <c r="L34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343" s="206">
        <v>44245</v>
      </c>
      <c r="N343" s="206"/>
      <c r="O343" s="206"/>
      <c r="P343" s="179"/>
      <c r="Q343" s="1"/>
      <c r="R343" s="1"/>
    </row>
    <row r="344" spans="1:18" x14ac:dyDescent="0.25">
      <c r="A344" s="22" t="s">
        <v>543</v>
      </c>
      <c r="B344" s="23" t="s">
        <v>440</v>
      </c>
      <c r="C344" s="61" t="str">
        <f>HYPERLINK("#'"&amp;Insumos_a_comprar[[#This Row],[Planilla]]&amp;"'!D1","Ir")</f>
        <v>Ir</v>
      </c>
      <c r="D344" s="11" t="s">
        <v>397</v>
      </c>
      <c r="E344" s="73" t="s">
        <v>397</v>
      </c>
      <c r="F344" s="74">
        <v>10</v>
      </c>
      <c r="G344" s="75" t="s">
        <v>65</v>
      </c>
      <c r="H344" s="76">
        <f ca="1">SUMIF(INDIRECT(SUBSTITUTE(B344," ","_")&amp;"[Insumo]"),Insumos_a_comprar[[#This Row],[Insumo]],INDIRECT(SUBSTITUTE(B344," ","_")&amp;"[Stock]"))</f>
        <v>250</v>
      </c>
      <c r="I344" s="69" t="str">
        <f ca="1">IF((Insumos_a_comprar[[#This Row],[Stock actual]]-Insumos_a_comprar[[#This Row],[Stock mínimo]])&lt;0,"Si","No")</f>
        <v>No</v>
      </c>
      <c r="J344" s="67" t="str">
        <f ca="1">INDEX(Table12[Acción],MATCH(Insumos_a_comprar[[#This Row],[Planilla]],Table12[Planilla],0))</f>
        <v>Constante</v>
      </c>
      <c r="K344" s="77">
        <v>100</v>
      </c>
      <c r="L34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4" s="367"/>
      <c r="N344" s="367"/>
      <c r="O344" s="367"/>
      <c r="P344" s="179"/>
      <c r="Q344" s="1"/>
      <c r="R344" s="1"/>
    </row>
    <row r="345" spans="1:18" x14ac:dyDescent="0.25">
      <c r="A345" s="22" t="s">
        <v>542</v>
      </c>
      <c r="B345" s="23" t="s">
        <v>440</v>
      </c>
      <c r="C345" s="61" t="str">
        <f>HYPERLINK("#'"&amp;Insumos_a_comprar[[#This Row],[Planilla]]&amp;"'!D1","Ir")</f>
        <v>Ir</v>
      </c>
      <c r="D345" s="11" t="s">
        <v>397</v>
      </c>
      <c r="E345" s="73" t="s">
        <v>397</v>
      </c>
      <c r="F345" s="74">
        <v>10</v>
      </c>
      <c r="G345" s="75" t="s">
        <v>65</v>
      </c>
      <c r="H345" s="76">
        <f ca="1">SUMIF(INDIRECT(SUBSTITUTE(B345," ","_")&amp;"[Insumo]"),Insumos_a_comprar[[#This Row],[Insumo]],INDIRECT(SUBSTITUTE(B345," ","_")&amp;"[Stock]"))</f>
        <v>100</v>
      </c>
      <c r="I345" s="69" t="str">
        <f ca="1">IF((Insumos_a_comprar[[#This Row],[Stock actual]]-Insumos_a_comprar[[#This Row],[Stock mínimo]])&lt;0,"Si","No")</f>
        <v>No</v>
      </c>
      <c r="J345" s="67" t="str">
        <f ca="1">INDEX(Table12[Acción],MATCH(Insumos_a_comprar[[#This Row],[Planilla]],Table12[Planilla],0))</f>
        <v>Constante</v>
      </c>
      <c r="K345" s="77">
        <v>100</v>
      </c>
      <c r="L34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5" s="367"/>
      <c r="N345" s="367"/>
      <c r="O345" s="367"/>
      <c r="P345" s="179"/>
      <c r="Q345" s="1"/>
      <c r="R345" s="1"/>
    </row>
    <row r="346" spans="1:18" x14ac:dyDescent="0.25">
      <c r="A346" s="10" t="s">
        <v>144</v>
      </c>
      <c r="B346" s="11" t="s">
        <v>398</v>
      </c>
      <c r="C346" s="61" t="str">
        <f>HYPERLINK("#'"&amp;Insumos_a_comprar[[#This Row],[Planilla]]&amp;"'!D1","Ir")</f>
        <v>Ir</v>
      </c>
      <c r="D346" s="11" t="s">
        <v>463</v>
      </c>
      <c r="E346" s="66" t="s">
        <v>817</v>
      </c>
      <c r="F346" s="67">
        <v>1</v>
      </c>
      <c r="G346" s="68" t="s">
        <v>399</v>
      </c>
      <c r="H346" s="72">
        <f ca="1">SUMIF(INDIRECT(SUBSTITUTE(B346," ","_")&amp;"[Insumo]"),Insumos_a_comprar[[#This Row],[Insumo]],INDIRECT(SUBSTITUTE(B346," ","_")&amp;"[Stock]"))</f>
        <v>0.6</v>
      </c>
      <c r="I346" s="69" t="str">
        <f ca="1">IF((Insumos_a_comprar[[#This Row],[Stock actual]]-Insumos_a_comprar[[#This Row],[Stock mínimo]])&lt;0,"Si","No")</f>
        <v>Si</v>
      </c>
      <c r="J346" s="67" t="str">
        <f ca="1">INDEX(Table12[Acción],MATCH(Insumos_a_comprar[[#This Row],[Planilla]],Table12[Planilla],0))</f>
        <v>Vigente</v>
      </c>
      <c r="K346" s="71">
        <v>2</v>
      </c>
      <c r="L34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Pedir</v>
      </c>
      <c r="M346" s="65"/>
      <c r="N346" s="65"/>
      <c r="O346" s="65"/>
      <c r="P346" s="178"/>
      <c r="Q346" s="1"/>
      <c r="R346" s="1"/>
    </row>
    <row r="347" spans="1:18" x14ac:dyDescent="0.25">
      <c r="A347" s="22" t="s">
        <v>655</v>
      </c>
      <c r="B347" s="23" t="s">
        <v>597</v>
      </c>
      <c r="C347" s="61" t="str">
        <f>HYPERLINK("#'"&amp;Insumos_a_comprar[[#This Row],[Planilla]]&amp;"'!D1","Ir")</f>
        <v>Ir</v>
      </c>
      <c r="D347" s="11" t="s">
        <v>397</v>
      </c>
      <c r="E347" s="73" t="s">
        <v>397</v>
      </c>
      <c r="F347" s="74">
        <v>5</v>
      </c>
      <c r="G347" s="75" t="s">
        <v>65</v>
      </c>
      <c r="H347" s="76">
        <f ca="1">SUMIF(INDIRECT(SUBSTITUTE(B347," ","_")&amp;"[Insumo]"),Insumos_a_comprar[[#This Row],[Insumo]],INDIRECT(SUBSTITUTE(B347," ","_")&amp;"[Stock]"))</f>
        <v>5</v>
      </c>
      <c r="I347" s="69" t="str">
        <f ca="1">IF((Insumos_a_comprar[[#This Row],[Stock actual]]-Insumos_a_comprar[[#This Row],[Stock mínimo]])&lt;0,"Si","No")</f>
        <v>No</v>
      </c>
      <c r="J347" s="77" t="str">
        <f ca="1">INDEX(Table12[Acción],MATCH(Insumos_a_comprar[[#This Row],[Planilla]],Table12[Planilla],0))</f>
        <v>Vencido</v>
      </c>
      <c r="K347" s="77">
        <v>5</v>
      </c>
      <c r="L34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7" s="206"/>
      <c r="N347" s="206"/>
      <c r="O347" s="206"/>
      <c r="P347" s="179"/>
      <c r="Q347" s="1"/>
      <c r="R347" s="1"/>
    </row>
    <row r="348" spans="1:18" x14ac:dyDescent="0.25">
      <c r="A348" s="22" t="s">
        <v>986</v>
      </c>
      <c r="B348" s="23" t="s">
        <v>63</v>
      </c>
      <c r="C348" s="193" t="str">
        <f>HYPERLINK("#'"&amp;Insumos_a_comprar[[#This Row],[Planilla]]&amp;"'!D1","Ir")</f>
        <v>Ir</v>
      </c>
      <c r="D348" s="23" t="s">
        <v>397</v>
      </c>
      <c r="E348" s="73"/>
      <c r="F348" s="74"/>
      <c r="G348" s="75" t="s">
        <v>65</v>
      </c>
      <c r="H348" s="76">
        <f ca="1">SUMIF(INDIRECT(SUBSTITUTE(B348," ","_")&amp;"[Insumo]"),Insumos_a_comprar[[#This Row],[Insumo]],INDIRECT(SUBSTITUTE(B348," ","_")&amp;"[Stock]"))</f>
        <v>2</v>
      </c>
      <c r="I348" s="194" t="str">
        <f ca="1">IF((Insumos_a_comprar[[#This Row],[Stock actual]]-Insumos_a_comprar[[#This Row],[Stock mínimo]])&lt;0,"Si","No")</f>
        <v>No</v>
      </c>
      <c r="J348" s="77" t="str">
        <f ca="1">INDEX(Table12[Acción],MATCH(Insumos_a_comprar[[#This Row],[Planilla]],Table12[Planilla],0))</f>
        <v>Constante</v>
      </c>
      <c r="K348" s="77"/>
      <c r="L34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8" s="367"/>
      <c r="N348" s="367"/>
      <c r="O348" s="367"/>
      <c r="P348" s="179"/>
      <c r="Q348" s="1"/>
      <c r="R348" s="1"/>
    </row>
    <row r="349" spans="1:18" x14ac:dyDescent="0.25">
      <c r="A349" s="22" t="s">
        <v>79</v>
      </c>
      <c r="B349" s="23" t="s">
        <v>594</v>
      </c>
      <c r="C349" s="61" t="str">
        <f>HYPERLINK("#'"&amp;Insumos_a_comprar[[#This Row],[Planilla]]&amp;"'!D1","Ir")</f>
        <v>Ir</v>
      </c>
      <c r="D349" s="11" t="s">
        <v>397</v>
      </c>
      <c r="E349" s="73" t="s">
        <v>397</v>
      </c>
      <c r="F349" s="74">
        <v>1</v>
      </c>
      <c r="G349" s="75" t="s">
        <v>65</v>
      </c>
      <c r="H349" s="76">
        <f ca="1">SUMIF(INDIRECT(SUBSTITUTE(B349," ","_")&amp;"[Insumo]"),Insumos_a_comprar[[#This Row],[Insumo]],INDIRECT(SUBSTITUTE(B349," ","_")&amp;"[Stock]"))</f>
        <v>1</v>
      </c>
      <c r="I349" s="69" t="str">
        <f ca="1">IF((Insumos_a_comprar[[#This Row],[Stock actual]]-Insumos_a_comprar[[#This Row],[Stock mínimo]])&lt;0,"Si","No")</f>
        <v>No</v>
      </c>
      <c r="J349" s="67" t="str">
        <f ca="1">INDEX(Table12[Acción],MATCH(Insumos_a_comprar[[#This Row],[Planilla]],Table12[Planilla],0))</f>
        <v>Constante</v>
      </c>
      <c r="K349" s="77">
        <v>1</v>
      </c>
      <c r="L34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49" s="367"/>
      <c r="N349" s="367"/>
      <c r="O349" s="367"/>
      <c r="P349" s="179"/>
      <c r="Q349" s="1"/>
      <c r="R349" s="1"/>
    </row>
    <row r="350" spans="1:18" x14ac:dyDescent="0.25">
      <c r="A350" s="10" t="s">
        <v>51</v>
      </c>
      <c r="B350" s="11" t="s">
        <v>393</v>
      </c>
      <c r="C350" s="61" t="str">
        <f>HYPERLINK("#'"&amp;Insumos_a_comprar[[#This Row],[Planilla]]&amp;"'!D1","Ir")</f>
        <v>Ir</v>
      </c>
      <c r="D350" s="11" t="s">
        <v>463</v>
      </c>
      <c r="E350" s="66" t="s">
        <v>817</v>
      </c>
      <c r="F350" s="67">
        <v>10</v>
      </c>
      <c r="G350" s="68" t="s">
        <v>7</v>
      </c>
      <c r="H350" s="66">
        <f ca="1">SUMIF(INDIRECT(SUBSTITUTE(B350," ","_")&amp;"[Insumo]"),Insumos_a_comprar[[#This Row],[Insumo]],INDIRECT(SUBSTITUTE(B350," ","_")&amp;"[Stock]"))</f>
        <v>13</v>
      </c>
      <c r="I350" s="69" t="str">
        <f ca="1">IF((Insumos_a_comprar[[#This Row],[Stock actual]]-Insumos_a_comprar[[#This Row],[Stock mínimo]])&lt;0,"Si","No")</f>
        <v>No</v>
      </c>
      <c r="J350" s="67" t="str">
        <f ca="1">INDEX(Table12[Acción],MATCH(Insumos_a_comprar[[#This Row],[Planilla]],Table12[Planilla],0))</f>
        <v>Vencido</v>
      </c>
      <c r="K350" s="71">
        <v>5</v>
      </c>
      <c r="L35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0" s="65"/>
      <c r="N350" s="65"/>
      <c r="O350" s="65"/>
      <c r="P350" s="178"/>
      <c r="Q350" s="1"/>
      <c r="R350" s="1"/>
    </row>
    <row r="351" spans="1:18" x14ac:dyDescent="0.25">
      <c r="A351" s="10" t="s">
        <v>35</v>
      </c>
      <c r="B351" s="11" t="s">
        <v>60</v>
      </c>
      <c r="C351" s="61" t="str">
        <f>HYPERLINK("#'"&amp;Insumos_a_comprar[[#This Row],[Planilla]]&amp;"'!D1","Ir")</f>
        <v>Ir</v>
      </c>
      <c r="D351" s="11" t="s">
        <v>463</v>
      </c>
      <c r="E351" s="66" t="s">
        <v>837</v>
      </c>
      <c r="F351" s="67">
        <v>100</v>
      </c>
      <c r="G351" s="68" t="s">
        <v>7</v>
      </c>
      <c r="H351" s="66">
        <f ca="1">SUMIF(INDIRECT(SUBSTITUTE(B351," ","_")&amp;"[Insumo]"),Insumos_a_comprar[[#This Row],[Insumo]],INDIRECT(SUBSTITUTE(B351," ","_")&amp;"[Stock]"))</f>
        <v>115</v>
      </c>
      <c r="I351" s="69" t="str">
        <f ca="1">IF((Insumos_a_comprar[[#This Row],[Stock actual]]-Insumos_a_comprar[[#This Row],[Stock mínimo]])&lt;0,"Si","No")</f>
        <v>No</v>
      </c>
      <c r="J351" s="67" t="str">
        <f ca="1">INDEX(Table12[Acción],MATCH(Insumos_a_comprar[[#This Row],[Planilla]],Table12[Planilla],0))</f>
        <v>Vigente</v>
      </c>
      <c r="K351" s="71">
        <v>25</v>
      </c>
      <c r="L35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1" s="65"/>
      <c r="N351" s="65"/>
      <c r="O351" s="65"/>
      <c r="P351" s="178"/>
      <c r="Q351" s="1"/>
      <c r="R351" s="1"/>
    </row>
    <row r="352" spans="1:18" x14ac:dyDescent="0.25">
      <c r="A352" s="10" t="s">
        <v>36</v>
      </c>
      <c r="B352" s="11" t="s">
        <v>60</v>
      </c>
      <c r="C352" s="61" t="str">
        <f>HYPERLINK("#'"&amp;Insumos_a_comprar[[#This Row],[Planilla]]&amp;"'!D1","Ir")</f>
        <v>Ir</v>
      </c>
      <c r="D352" s="11" t="s">
        <v>463</v>
      </c>
      <c r="E352" s="66" t="s">
        <v>932</v>
      </c>
      <c r="F352" s="67">
        <v>25</v>
      </c>
      <c r="G352" s="68" t="s">
        <v>7</v>
      </c>
      <c r="H352" s="66">
        <f ca="1">SUMIF(INDIRECT(SUBSTITUTE(B352," ","_")&amp;"[Insumo]"),Insumos_a_comprar[[#This Row],[Insumo]],INDIRECT(SUBSTITUTE(B352," ","_")&amp;"[Stock]"))</f>
        <v>20</v>
      </c>
      <c r="I352" s="69" t="str">
        <f ca="1">IF((Insumos_a_comprar[[#This Row],[Stock actual]]-Insumos_a_comprar[[#This Row],[Stock mínimo]])&lt;0,"Si","No")</f>
        <v>Si</v>
      </c>
      <c r="J352" s="67" t="str">
        <f ca="1">INDEX(Table12[Acción],MATCH(Insumos_a_comprar[[#This Row],[Planilla]],Table12[Planilla],0))</f>
        <v>Vigente</v>
      </c>
      <c r="K352" s="71">
        <v>25</v>
      </c>
      <c r="L35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352" s="65">
        <v>44245</v>
      </c>
      <c r="N352" s="65"/>
      <c r="O352" s="65"/>
      <c r="P352" s="178" t="s">
        <v>1019</v>
      </c>
      <c r="Q352" s="1"/>
      <c r="R352" s="1"/>
    </row>
    <row r="353" spans="1:18" x14ac:dyDescent="0.25">
      <c r="A353" s="22" t="s">
        <v>712</v>
      </c>
      <c r="B353" s="23" t="s">
        <v>739</v>
      </c>
      <c r="C353" s="61" t="str">
        <f>HYPERLINK("#'"&amp;Insumos_a_comprar[[#This Row],[Planilla]]&amp;"'!D1","Ir")</f>
        <v>Ir</v>
      </c>
      <c r="D353" s="11" t="s">
        <v>397</v>
      </c>
      <c r="E353" s="73" t="s">
        <v>397</v>
      </c>
      <c r="F353" s="74">
        <v>0.5</v>
      </c>
      <c r="G353" s="75" t="s">
        <v>65</v>
      </c>
      <c r="H353" s="76">
        <f ca="1">SUMIF(INDIRECT(SUBSTITUTE(B353," ","_")&amp;"[Insumo]"),Insumos_a_comprar[[#This Row],[Insumo]],INDIRECT(SUBSTITUTE(B353," ","_")&amp;"[Stock]"))</f>
        <v>0.8</v>
      </c>
      <c r="I353" s="69" t="str">
        <f ca="1">IF((Insumos_a_comprar[[#This Row],[Stock actual]]-Insumos_a_comprar[[#This Row],[Stock mínimo]])&lt;0,"Si","No")</f>
        <v>No</v>
      </c>
      <c r="J353" s="77" t="str">
        <f ca="1">INDEX(Table12[Acción],MATCH(Insumos_a_comprar[[#This Row],[Planilla]],Table12[Planilla],0))</f>
        <v>Vencido</v>
      </c>
      <c r="K353" s="77">
        <v>1</v>
      </c>
      <c r="L35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3" s="367"/>
      <c r="N353" s="367"/>
      <c r="O353" s="367"/>
      <c r="P353" s="179"/>
      <c r="Q353" s="1"/>
      <c r="R353" s="1"/>
    </row>
    <row r="354" spans="1:18" x14ac:dyDescent="0.25">
      <c r="A354" s="22" t="s">
        <v>78</v>
      </c>
      <c r="B354" s="23" t="s">
        <v>594</v>
      </c>
      <c r="C354" s="61" t="str">
        <f>HYPERLINK("#'"&amp;Insumos_a_comprar[[#This Row],[Planilla]]&amp;"'!D1","Ir")</f>
        <v>Ir</v>
      </c>
      <c r="D354" s="11" t="s">
        <v>397</v>
      </c>
      <c r="E354" s="73" t="s">
        <v>397</v>
      </c>
      <c r="F354" s="74">
        <v>1</v>
      </c>
      <c r="G354" s="75" t="s">
        <v>65</v>
      </c>
      <c r="H354" s="76">
        <f ca="1">SUMIF(INDIRECT(SUBSTITUTE(B354," ","_")&amp;"[Insumo]"),Insumos_a_comprar[[#This Row],[Insumo]],INDIRECT(SUBSTITUTE(B354," ","_")&amp;"[Stock]"))</f>
        <v>1.6</v>
      </c>
      <c r="I354" s="69" t="str">
        <f ca="1">IF((Insumos_a_comprar[[#This Row],[Stock actual]]-Insumos_a_comprar[[#This Row],[Stock mínimo]])&lt;0,"Si","No")</f>
        <v>No</v>
      </c>
      <c r="J354" s="67" t="str">
        <f ca="1">INDEX(Table12[Acción],MATCH(Insumos_a_comprar[[#This Row],[Planilla]],Table12[Planilla],0))</f>
        <v>Constante</v>
      </c>
      <c r="K354" s="77">
        <v>1</v>
      </c>
      <c r="L35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4" s="367"/>
      <c r="N354" s="367"/>
      <c r="O354" s="367">
        <v>44376</v>
      </c>
      <c r="P354" s="179"/>
      <c r="Q354" s="1"/>
      <c r="R354" s="1"/>
    </row>
    <row r="355" spans="1:18" x14ac:dyDescent="0.25">
      <c r="A355" s="10" t="s">
        <v>37</v>
      </c>
      <c r="B355" s="11" t="s">
        <v>60</v>
      </c>
      <c r="C355" s="61" t="str">
        <f>HYPERLINK("#'"&amp;Insumos_a_comprar[[#This Row],[Planilla]]&amp;"'!D1","Ir")</f>
        <v>Ir</v>
      </c>
      <c r="D355" s="11" t="s">
        <v>463</v>
      </c>
      <c r="E355" s="66" t="s">
        <v>817</v>
      </c>
      <c r="F355" s="67">
        <v>250</v>
      </c>
      <c r="G355" s="68" t="s">
        <v>7</v>
      </c>
      <c r="H355" s="66">
        <f ca="1">SUMIF(INDIRECT(SUBSTITUTE(B355," ","_")&amp;"[Insumo]"),Insumos_a_comprar[[#This Row],[Insumo]],INDIRECT(SUBSTITUTE(B355," ","_")&amp;"[Stock]"))</f>
        <v>400</v>
      </c>
      <c r="I355" s="69" t="str">
        <f ca="1">IF((Insumos_a_comprar[[#This Row],[Stock actual]]-Insumos_a_comprar[[#This Row],[Stock mínimo]])&lt;0,"Si","No")</f>
        <v>No</v>
      </c>
      <c r="J355" s="67" t="str">
        <f ca="1">INDEX(Table12[Acción],MATCH(Insumos_a_comprar[[#This Row],[Planilla]],Table12[Planilla],0))</f>
        <v>Vigente</v>
      </c>
      <c r="K355" s="71">
        <v>250</v>
      </c>
      <c r="L35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5" s="65"/>
      <c r="N355" s="65"/>
      <c r="O355" s="65">
        <v>44175</v>
      </c>
      <c r="P355" s="178"/>
      <c r="Q355" s="1"/>
      <c r="R355" s="1"/>
    </row>
    <row r="356" spans="1:18" x14ac:dyDescent="0.25">
      <c r="A356" s="13" t="s">
        <v>233</v>
      </c>
      <c r="B356" s="11" t="s">
        <v>392</v>
      </c>
      <c r="C356" s="61" t="str">
        <f>HYPERLINK("#'"&amp;Insumos_a_comprar[[#This Row],[Planilla]]&amp;"'!D1","Ir")</f>
        <v>Ir</v>
      </c>
      <c r="D356" s="11" t="s">
        <v>463</v>
      </c>
      <c r="E356" s="66"/>
      <c r="F356" s="67">
        <v>10</v>
      </c>
      <c r="G356" s="68" t="s">
        <v>7</v>
      </c>
      <c r="H356" s="72">
        <f ca="1">SUMIF(INDIRECT(SUBSTITUTE(B356," ","_")&amp;"[Insumo]"),Insumos_a_comprar[[#This Row],[Insumo]],INDIRECT(SUBSTITUTE(B356," ","_")&amp;"[Stock]"))</f>
        <v>0</v>
      </c>
      <c r="I356" s="69" t="str">
        <f ca="1">IF((Insumos_a_comprar[[#This Row],[Stock actual]]-Insumos_a_comprar[[#This Row],[Stock mínimo]])&lt;0,"Si","No")</f>
        <v>Si</v>
      </c>
      <c r="J356" s="67" t="str">
        <f ca="1">INDEX(Table12[Acción],MATCH(Insumos_a_comprar[[#This Row],[Planilla]],Table12[Planilla],0))</f>
        <v>Vencido</v>
      </c>
      <c r="K356" s="71">
        <v>250</v>
      </c>
      <c r="L35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356" s="65">
        <v>44245</v>
      </c>
      <c r="N356" s="65">
        <v>44042</v>
      </c>
      <c r="O356" s="65"/>
      <c r="P356" s="178" t="s">
        <v>1020</v>
      </c>
      <c r="Q356" s="1"/>
      <c r="R356" s="1"/>
    </row>
    <row r="357" spans="1:18" x14ac:dyDescent="0.25">
      <c r="A357" s="22" t="s">
        <v>74</v>
      </c>
      <c r="B357" s="23" t="s">
        <v>594</v>
      </c>
      <c r="C357" s="61" t="str">
        <f>HYPERLINK("#'"&amp;Insumos_a_comprar[[#This Row],[Planilla]]&amp;"'!D1","Ir")</f>
        <v>Ir</v>
      </c>
      <c r="D357" s="11" t="s">
        <v>397</v>
      </c>
      <c r="E357" s="73" t="s">
        <v>397</v>
      </c>
      <c r="F357" s="74">
        <v>1</v>
      </c>
      <c r="G357" s="75" t="s">
        <v>65</v>
      </c>
      <c r="H357" s="76">
        <f ca="1">SUMIF(INDIRECT(SUBSTITUTE(B357," ","_")&amp;"[Insumo]"),Insumos_a_comprar[[#This Row],[Insumo]],INDIRECT(SUBSTITUTE(B357," ","_")&amp;"[Stock]"))</f>
        <v>2</v>
      </c>
      <c r="I357" s="69" t="str">
        <f ca="1">IF((Insumos_a_comprar[[#This Row],[Stock actual]]-Insumos_a_comprar[[#This Row],[Stock mínimo]])&lt;0,"Si","No")</f>
        <v>No</v>
      </c>
      <c r="J357" s="67" t="str">
        <f ca="1">INDEX(Table12[Acción],MATCH(Insumos_a_comprar[[#This Row],[Planilla]],Table12[Planilla],0))</f>
        <v>Constante</v>
      </c>
      <c r="K357" s="77">
        <v>1</v>
      </c>
      <c r="L35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7" s="367"/>
      <c r="N357" s="367"/>
      <c r="O357" s="367"/>
      <c r="P357" s="179"/>
      <c r="Q357" s="1"/>
      <c r="R357" s="1"/>
    </row>
    <row r="358" spans="1:18" x14ac:dyDescent="0.25">
      <c r="A358" s="10" t="s">
        <v>38</v>
      </c>
      <c r="B358" s="11" t="s">
        <v>60</v>
      </c>
      <c r="C358" s="61" t="str">
        <f>HYPERLINK("#'"&amp;Insumos_a_comprar[[#This Row],[Planilla]]&amp;"'!D1","Ir")</f>
        <v>Ir</v>
      </c>
      <c r="D358" s="11" t="s">
        <v>463</v>
      </c>
      <c r="E358" s="66" t="s">
        <v>839</v>
      </c>
      <c r="F358" s="67">
        <v>250</v>
      </c>
      <c r="G358" s="68" t="s">
        <v>7</v>
      </c>
      <c r="H358" s="66">
        <f ca="1">SUMIF(INDIRECT(SUBSTITUTE(B358," ","_")&amp;"[Insumo]"),Insumos_a_comprar[[#This Row],[Insumo]],INDIRECT(SUBSTITUTE(B358," ","_")&amp;"[Stock]"))</f>
        <v>500</v>
      </c>
      <c r="I358" s="69" t="str">
        <f ca="1">IF((Insumos_a_comprar[[#This Row],[Stock actual]]-Insumos_a_comprar[[#This Row],[Stock mínimo]])&lt;0,"Si","No")</f>
        <v>No</v>
      </c>
      <c r="J358" s="67" t="str">
        <f ca="1">INDEX(Table12[Acción],MATCH(Insumos_a_comprar[[#This Row],[Planilla]],Table12[Planilla],0))</f>
        <v>Vigente</v>
      </c>
      <c r="K358" s="71">
        <v>250</v>
      </c>
      <c r="L35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8" s="65"/>
      <c r="N358" s="65"/>
      <c r="O358" s="65"/>
      <c r="P358" s="178"/>
      <c r="Q358" s="1"/>
      <c r="R358" s="1"/>
    </row>
    <row r="359" spans="1:18" x14ac:dyDescent="0.25">
      <c r="A359" s="10" t="s">
        <v>39</v>
      </c>
      <c r="B359" s="11" t="s">
        <v>60</v>
      </c>
      <c r="C359" s="61" t="str">
        <f>HYPERLINK("#'"&amp;Insumos_a_comprar[[#This Row],[Planilla]]&amp;"'!D1","Ir")</f>
        <v>Ir</v>
      </c>
      <c r="D359" s="11" t="s">
        <v>463</v>
      </c>
      <c r="E359" s="66" t="s">
        <v>837</v>
      </c>
      <c r="F359" s="67">
        <v>100</v>
      </c>
      <c r="G359" s="68" t="s">
        <v>7</v>
      </c>
      <c r="H359" s="66">
        <f ca="1">SUMIF(INDIRECT(SUBSTITUTE(B359," ","_")&amp;"[Insumo]"),Insumos_a_comprar[[#This Row],[Insumo]],INDIRECT(SUBSTITUTE(B359," ","_")&amp;"[Stock]"))</f>
        <v>300</v>
      </c>
      <c r="I359" s="69" t="str">
        <f ca="1">IF((Insumos_a_comprar[[#This Row],[Stock actual]]-Insumos_a_comprar[[#This Row],[Stock mínimo]])&lt;0,"Si","No")</f>
        <v>No</v>
      </c>
      <c r="J359" s="67" t="str">
        <f ca="1">INDEX(Table12[Acción],MATCH(Insumos_a_comprar[[#This Row],[Planilla]],Table12[Planilla],0))</f>
        <v>Vigente</v>
      </c>
      <c r="K359" s="71">
        <v>100</v>
      </c>
      <c r="L35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59" s="65"/>
      <c r="N359" s="65"/>
      <c r="O359" s="65">
        <v>44175</v>
      </c>
      <c r="P359" s="178"/>
      <c r="Q359" s="1"/>
      <c r="R359" s="1"/>
    </row>
    <row r="360" spans="1:18" x14ac:dyDescent="0.25">
      <c r="A360" s="13" t="s">
        <v>234</v>
      </c>
      <c r="B360" s="11" t="s">
        <v>392</v>
      </c>
      <c r="C360" s="61" t="str">
        <f>HYPERLINK("#'"&amp;Insumos_a_comprar[[#This Row],[Planilla]]&amp;"'!D1","Ir")</f>
        <v>Ir</v>
      </c>
      <c r="D360" s="11" t="s">
        <v>463</v>
      </c>
      <c r="E360" s="66"/>
      <c r="F360" s="67">
        <v>100</v>
      </c>
      <c r="G360" s="68" t="s">
        <v>7</v>
      </c>
      <c r="H360" s="72">
        <f ca="1">SUMIF(INDIRECT(SUBSTITUTE(B360," ","_")&amp;"[Insumo]"),Insumos_a_comprar[[#This Row],[Insumo]],INDIRECT(SUBSTITUTE(B360," ","_")&amp;"[Stock]"))</f>
        <v>700</v>
      </c>
      <c r="I360" s="69" t="str">
        <f ca="1">IF((Insumos_a_comprar[[#This Row],[Stock actual]]-Insumos_a_comprar[[#This Row],[Stock mínimo]])&lt;0,"Si","No")</f>
        <v>No</v>
      </c>
      <c r="J360" s="67" t="str">
        <f ca="1">INDEX(Table12[Acción],MATCH(Insumos_a_comprar[[#This Row],[Planilla]],Table12[Planilla],0))</f>
        <v>Vencido</v>
      </c>
      <c r="K360" s="71">
        <v>100</v>
      </c>
      <c r="L36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0" s="65"/>
      <c r="N360" s="65"/>
      <c r="O360" s="65"/>
      <c r="P360" s="178"/>
      <c r="Q360" s="1"/>
      <c r="R360" s="1"/>
    </row>
    <row r="361" spans="1:18" x14ac:dyDescent="0.25">
      <c r="A361" s="10" t="s">
        <v>40</v>
      </c>
      <c r="B361" s="11" t="s">
        <v>60</v>
      </c>
      <c r="C361" s="61" t="str">
        <f>HYPERLINK("#'"&amp;Insumos_a_comprar[[#This Row],[Planilla]]&amp;"'!D1","Ir")</f>
        <v>Ir</v>
      </c>
      <c r="D361" s="11" t="s">
        <v>463</v>
      </c>
      <c r="E361" s="66" t="s">
        <v>804</v>
      </c>
      <c r="F361" s="67">
        <v>250</v>
      </c>
      <c r="G361" s="68" t="s">
        <v>7</v>
      </c>
      <c r="H361" s="66">
        <f ca="1">SUMIF(INDIRECT(SUBSTITUTE(B361," ","_")&amp;"[Insumo]"),Insumos_a_comprar[[#This Row],[Insumo]],INDIRECT(SUBSTITUTE(B361," ","_")&amp;"[Stock]"))</f>
        <v>340</v>
      </c>
      <c r="I361" s="69" t="str">
        <f ca="1">IF((Insumos_a_comprar[[#This Row],[Stock actual]]-Insumos_a_comprar[[#This Row],[Stock mínimo]])&lt;0,"Si","No")</f>
        <v>No</v>
      </c>
      <c r="J361" s="67" t="str">
        <f ca="1">INDEX(Table12[Acción],MATCH(Insumos_a_comprar[[#This Row],[Planilla]],Table12[Planilla],0))</f>
        <v>Vigente</v>
      </c>
      <c r="K361" s="71">
        <v>250</v>
      </c>
      <c r="L36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1" s="65"/>
      <c r="N361" s="65"/>
      <c r="O361" s="65"/>
      <c r="P361" s="178"/>
      <c r="Q361" s="1"/>
      <c r="R361" s="1"/>
    </row>
    <row r="362" spans="1:18" ht="31.5" x14ac:dyDescent="0.25">
      <c r="A362" s="22" t="s">
        <v>905</v>
      </c>
      <c r="B362" s="23" t="s">
        <v>392</v>
      </c>
      <c r="C362" s="193" t="str">
        <f>HYPERLINK("#'"&amp;Insumos_a_comprar[[#This Row],[Planilla]]&amp;"'!D1","Ir")</f>
        <v>Ir</v>
      </c>
      <c r="D362" s="11" t="s">
        <v>463</v>
      </c>
      <c r="E362" s="73"/>
      <c r="F362" s="74">
        <v>100</v>
      </c>
      <c r="G362" s="75" t="s">
        <v>7</v>
      </c>
      <c r="H362" s="76">
        <f ca="1">SUMIF(INDIRECT(SUBSTITUTE(B362," ","_")&amp;"[Insumo]"),Insumos_a_comprar[[#This Row],[Insumo]],INDIRECT(SUBSTITUTE(B362," ","_")&amp;"[Stock]"))</f>
        <v>250</v>
      </c>
      <c r="I362" s="194" t="str">
        <f ca="1">IF((Insumos_a_comprar[[#This Row],[Stock actual]]-Insumos_a_comprar[[#This Row],[Stock mínimo]])&lt;0,"Si","No")</f>
        <v>No</v>
      </c>
      <c r="J362" s="77" t="str">
        <f ca="1">INDEX(Table12[Acción],MATCH(Insumos_a_comprar[[#This Row],[Planilla]],Table12[Planilla],0))</f>
        <v>Vencido</v>
      </c>
      <c r="K362" s="77">
        <v>100</v>
      </c>
      <c r="L36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2" s="367"/>
      <c r="N362" s="367"/>
      <c r="O362" s="367"/>
      <c r="P362" s="179"/>
      <c r="Q362" s="1"/>
      <c r="R362" s="1"/>
    </row>
    <row r="363" spans="1:18" x14ac:dyDescent="0.25">
      <c r="A363" s="10" t="s">
        <v>42</v>
      </c>
      <c r="B363" s="11" t="s">
        <v>60</v>
      </c>
      <c r="C363" s="61" t="str">
        <f>HYPERLINK("#'"&amp;Insumos_a_comprar[[#This Row],[Planilla]]&amp;"'!D1","Ir")</f>
        <v>Ir</v>
      </c>
      <c r="D363" s="11" t="s">
        <v>463</v>
      </c>
      <c r="E363" s="66"/>
      <c r="F363" s="67">
        <v>500</v>
      </c>
      <c r="G363" s="68" t="s">
        <v>7</v>
      </c>
      <c r="H363" s="66">
        <f ca="1">SUMIF(INDIRECT(SUBSTITUTE(B363," ","_")&amp;"[Insumo]"),Insumos_a_comprar[[#This Row],[Insumo]],INDIRECT(SUBSTITUTE(B363," ","_")&amp;"[Stock]"))</f>
        <v>650</v>
      </c>
      <c r="I363" s="69" t="str">
        <f ca="1">IF((Insumos_a_comprar[[#This Row],[Stock actual]]-Insumos_a_comprar[[#This Row],[Stock mínimo]])&lt;0,"Si","No")</f>
        <v>No</v>
      </c>
      <c r="J363" s="67" t="str">
        <f ca="1">INDEX(Table12[Acción],MATCH(Insumos_a_comprar[[#This Row],[Planilla]],Table12[Planilla],0))</f>
        <v>Vigente</v>
      </c>
      <c r="K363" s="71">
        <v>500</v>
      </c>
      <c r="L36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3" s="65"/>
      <c r="N363" s="65"/>
      <c r="O363" s="65"/>
      <c r="P363" s="178"/>
      <c r="Q363" s="1"/>
      <c r="R363" s="1"/>
    </row>
    <row r="364" spans="1:18" x14ac:dyDescent="0.25">
      <c r="A364" s="10" t="s">
        <v>43</v>
      </c>
      <c r="B364" s="11" t="s">
        <v>60</v>
      </c>
      <c r="C364" s="61" t="str">
        <f>HYPERLINK("#'"&amp;Insumos_a_comprar[[#This Row],[Planilla]]&amp;"'!D1","Ir")</f>
        <v>Ir</v>
      </c>
      <c r="D364" s="11" t="s">
        <v>463</v>
      </c>
      <c r="E364" s="66"/>
      <c r="F364" s="67">
        <v>500</v>
      </c>
      <c r="G364" s="68" t="s">
        <v>7</v>
      </c>
      <c r="H364" s="66">
        <f ca="1">SUMIF(INDIRECT(SUBSTITUTE(B364," ","_")&amp;"[Insumo]"),Insumos_a_comprar[[#This Row],[Insumo]],INDIRECT(SUBSTITUTE(B364," ","_")&amp;"[Stock]"))</f>
        <v>650</v>
      </c>
      <c r="I364" s="69" t="str">
        <f ca="1">IF((Insumos_a_comprar[[#This Row],[Stock actual]]-Insumos_a_comprar[[#This Row],[Stock mínimo]])&lt;0,"Si","No")</f>
        <v>No</v>
      </c>
      <c r="J364" s="67" t="str">
        <f ca="1">INDEX(Table12[Acción],MATCH(Insumos_a_comprar[[#This Row],[Planilla]],Table12[Planilla],0))</f>
        <v>Vigente</v>
      </c>
      <c r="K364" s="71">
        <v>500</v>
      </c>
      <c r="L36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4" s="65"/>
      <c r="N364" s="65"/>
      <c r="O364" s="65"/>
      <c r="P364" s="178"/>
      <c r="Q364" s="1"/>
      <c r="R364" s="1"/>
    </row>
    <row r="365" spans="1:18" x14ac:dyDescent="0.25">
      <c r="A365" s="13" t="s">
        <v>589</v>
      </c>
      <c r="B365" s="11" t="s">
        <v>392</v>
      </c>
      <c r="C365" s="61" t="str">
        <f>HYPERLINK("#'"&amp;Insumos_a_comprar[[#This Row],[Planilla]]&amp;"'!D1","Ir")</f>
        <v>Ir</v>
      </c>
      <c r="D365" s="11" t="s">
        <v>463</v>
      </c>
      <c r="E365" s="66"/>
      <c r="F365" s="67">
        <v>1</v>
      </c>
      <c r="G365" s="68" t="s">
        <v>7</v>
      </c>
      <c r="H365" s="72">
        <f ca="1">SUMIF(INDIRECT(SUBSTITUTE(B365," ","_")&amp;"[Insumo]"),Insumos_a_comprar[[#This Row],[Insumo]],INDIRECT(SUBSTITUTE(B365," ","_")&amp;"[Stock]"))</f>
        <v>2</v>
      </c>
      <c r="I365" s="69" t="str">
        <f ca="1">IF((Insumos_a_comprar[[#This Row],[Stock actual]]-Insumos_a_comprar[[#This Row],[Stock mínimo]])&lt;0,"Si","No")</f>
        <v>No</v>
      </c>
      <c r="J365" s="67" t="str">
        <f ca="1">INDEX(Table12[Acción],MATCH(Insumos_a_comprar[[#This Row],[Planilla]],Table12[Planilla],0))</f>
        <v>Vencido</v>
      </c>
      <c r="K365" s="71">
        <v>250</v>
      </c>
      <c r="L36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5" s="65"/>
      <c r="N365" s="65"/>
      <c r="O365" s="65"/>
      <c r="P365" s="178"/>
      <c r="Q365" s="1"/>
      <c r="R365" s="1"/>
    </row>
    <row r="366" spans="1:18" x14ac:dyDescent="0.25">
      <c r="A366" s="13" t="s">
        <v>588</v>
      </c>
      <c r="B366" s="11" t="s">
        <v>60</v>
      </c>
      <c r="C366" s="61" t="str">
        <f>HYPERLINK("#'"&amp;Insumos_a_comprar[[#This Row],[Planilla]]&amp;"'!D1","Ir")</f>
        <v>Ir</v>
      </c>
      <c r="D366" s="11" t="s">
        <v>465</v>
      </c>
      <c r="E366" s="66" t="s">
        <v>831</v>
      </c>
      <c r="F366" s="67">
        <v>100</v>
      </c>
      <c r="G366" s="68" t="s">
        <v>7</v>
      </c>
      <c r="H366" s="72">
        <f ca="1">SUMIF(INDIRECT(SUBSTITUTE(B366," ","_")&amp;"[Insumo]"),Insumos_a_comprar[[#This Row],[Insumo]],INDIRECT(SUBSTITUTE(B366," ","_")&amp;"[Stock]"))</f>
        <v>550</v>
      </c>
      <c r="I366" s="69" t="str">
        <f ca="1">IF((Insumos_a_comprar[[#This Row],[Stock actual]]-Insumos_a_comprar[[#This Row],[Stock mínimo]])&lt;0,"Si","No")</f>
        <v>No</v>
      </c>
      <c r="J366" s="67" t="str">
        <f ca="1">INDEX(Table12[Acción],MATCH(Insumos_a_comprar[[#This Row],[Planilla]],Table12[Planilla],0))</f>
        <v>Vigente</v>
      </c>
      <c r="K366" s="71">
        <v>250</v>
      </c>
      <c r="L36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6" s="65"/>
      <c r="N366" s="65"/>
      <c r="O366" s="65"/>
      <c r="P366" s="178"/>
      <c r="Q366" s="1"/>
      <c r="R366" s="1"/>
    </row>
    <row r="367" spans="1:18" x14ac:dyDescent="0.25">
      <c r="A367" s="10" t="s">
        <v>44</v>
      </c>
      <c r="B367" s="11" t="s">
        <v>60</v>
      </c>
      <c r="C367" s="61" t="str">
        <f>HYPERLINK("#'"&amp;Insumos_a_comprar[[#This Row],[Planilla]]&amp;"'!D1","Ir")</f>
        <v>Ir</v>
      </c>
      <c r="D367" s="11" t="s">
        <v>463</v>
      </c>
      <c r="E367" s="66"/>
      <c r="F367" s="67">
        <v>250</v>
      </c>
      <c r="G367" s="68" t="s">
        <v>7</v>
      </c>
      <c r="H367" s="66">
        <f ca="1">SUMIF(INDIRECT(SUBSTITUTE(B367," ","_")&amp;"[Insumo]"),Insumos_a_comprar[[#This Row],[Insumo]],INDIRECT(SUBSTITUTE(B367," ","_")&amp;"[Stock]"))</f>
        <v>380</v>
      </c>
      <c r="I367" s="69" t="str">
        <f ca="1">IF((Insumos_a_comprar[[#This Row],[Stock actual]]-Insumos_a_comprar[[#This Row],[Stock mínimo]])&lt;0,"Si","No")</f>
        <v>No</v>
      </c>
      <c r="J367" s="67" t="str">
        <f ca="1">INDEX(Table12[Acción],MATCH(Insumos_a_comprar[[#This Row],[Planilla]],Table12[Planilla],0))</f>
        <v>Vigente</v>
      </c>
      <c r="K367" s="71">
        <v>250</v>
      </c>
      <c r="L36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7" s="65"/>
      <c r="N367" s="65"/>
      <c r="O367" s="65">
        <v>44175</v>
      </c>
      <c r="P367" s="178"/>
      <c r="Q367" s="1"/>
      <c r="R367" s="1"/>
    </row>
    <row r="368" spans="1:18" x14ac:dyDescent="0.25">
      <c r="A368" s="10" t="s">
        <v>45</v>
      </c>
      <c r="B368" s="11" t="s">
        <v>60</v>
      </c>
      <c r="C368" s="61" t="str">
        <f>HYPERLINK("#'"&amp;Insumos_a_comprar[[#This Row],[Planilla]]&amp;"'!D1","Ir")</f>
        <v>Ir</v>
      </c>
      <c r="D368" s="11" t="s">
        <v>463</v>
      </c>
      <c r="E368" s="66" t="s">
        <v>817</v>
      </c>
      <c r="F368" s="67">
        <v>250</v>
      </c>
      <c r="G368" s="68" t="s">
        <v>7</v>
      </c>
      <c r="H368" s="66">
        <f ca="1">SUMIF(INDIRECT(SUBSTITUTE(B368," ","_")&amp;"[Insumo]"),Insumos_a_comprar[[#This Row],[Insumo]],INDIRECT(SUBSTITUTE(B368," ","_")&amp;"[Stock]"))</f>
        <v>175</v>
      </c>
      <c r="I368" s="69" t="str">
        <f ca="1">IF((Insumos_a_comprar[[#This Row],[Stock actual]]-Insumos_a_comprar[[#This Row],[Stock mínimo]])&lt;0,"Si","No")</f>
        <v>Si</v>
      </c>
      <c r="J368" s="67" t="str">
        <f ca="1">INDEX(Table12[Acción],MATCH(Insumos_a_comprar[[#This Row],[Planilla]],Table12[Planilla],0))</f>
        <v>Vigente</v>
      </c>
      <c r="K368" s="71">
        <v>250</v>
      </c>
      <c r="L36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Pedir</v>
      </c>
      <c r="M368" s="65"/>
      <c r="N368" s="65"/>
      <c r="O368" s="65">
        <v>44336</v>
      </c>
      <c r="P368" s="178"/>
      <c r="Q368" s="1"/>
      <c r="R368" s="1"/>
    </row>
    <row r="369" spans="1:18" ht="31.5" x14ac:dyDescent="0.25">
      <c r="A369" s="13" t="s">
        <v>693</v>
      </c>
      <c r="B369" s="11" t="s">
        <v>392</v>
      </c>
      <c r="C369" s="61" t="str">
        <f>HYPERLINK("#'"&amp;Insumos_a_comprar[[#This Row],[Planilla]]&amp;"'!D1","Ir")</f>
        <v>Ir</v>
      </c>
      <c r="D369" s="11" t="s">
        <v>463</v>
      </c>
      <c r="E369" s="66" t="s">
        <v>838</v>
      </c>
      <c r="F369" s="67">
        <v>100</v>
      </c>
      <c r="G369" s="68" t="s">
        <v>7</v>
      </c>
      <c r="H369" s="72">
        <f ca="1">SUMIF(INDIRECT(SUBSTITUTE(B369," ","_")&amp;"[Insumo]"),Insumos_a_comprar[[#This Row],[Insumo]],INDIRECT(SUBSTITUTE(B369," ","_")&amp;"[Stock]"))</f>
        <v>200</v>
      </c>
      <c r="I369" s="69" t="str">
        <f ca="1">IF((Insumos_a_comprar[[#This Row],[Stock actual]]-Insumos_a_comprar[[#This Row],[Stock mínimo]])&lt;0,"Si","No")</f>
        <v>No</v>
      </c>
      <c r="J369" s="67" t="str">
        <f ca="1">INDEX(Table12[Acción],MATCH(Insumos_a_comprar[[#This Row],[Planilla]],Table12[Planilla],0))</f>
        <v>Vencido</v>
      </c>
      <c r="K369" s="71">
        <v>250</v>
      </c>
      <c r="L36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69" s="65"/>
      <c r="N369" s="65"/>
      <c r="O369" s="65"/>
      <c r="P369" s="178"/>
      <c r="Q369" s="1"/>
      <c r="R369" s="1"/>
    </row>
    <row r="370" spans="1:18" x14ac:dyDescent="0.25">
      <c r="A370" s="10" t="s">
        <v>46</v>
      </c>
      <c r="B370" s="11" t="s">
        <v>60</v>
      </c>
      <c r="C370" s="61" t="str">
        <f>HYPERLINK("#'"&amp;Insumos_a_comprar[[#This Row],[Planilla]]&amp;"'!D1","Ir")</f>
        <v>Ir</v>
      </c>
      <c r="D370" s="11" t="s">
        <v>465</v>
      </c>
      <c r="E370" s="66" t="s">
        <v>84</v>
      </c>
      <c r="F370" s="67">
        <v>50</v>
      </c>
      <c r="G370" s="68" t="s">
        <v>7</v>
      </c>
      <c r="H370" s="66">
        <f ca="1">SUMIF(INDIRECT(SUBSTITUTE(B370," ","_")&amp;"[Insumo]"),Insumos_a_comprar[[#This Row],[Insumo]],INDIRECT(SUBSTITUTE(B370," ","_")&amp;"[Stock]"))</f>
        <v>100</v>
      </c>
      <c r="I370" s="69" t="str">
        <f ca="1">IF((Insumos_a_comprar[[#This Row],[Stock actual]]-Insumos_a_comprar[[#This Row],[Stock mínimo]])&lt;0,"Si","No")</f>
        <v>No</v>
      </c>
      <c r="J370" s="67" t="str">
        <f ca="1">INDEX(Table12[Acción],MATCH(Insumos_a_comprar[[#This Row],[Planilla]],Table12[Planilla],0))</f>
        <v>Vigente</v>
      </c>
      <c r="K370" s="71">
        <v>250</v>
      </c>
      <c r="L37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0" s="65"/>
      <c r="N370" s="65"/>
      <c r="O370" s="65">
        <v>44299</v>
      </c>
      <c r="P370" s="178"/>
      <c r="Q370" s="1"/>
      <c r="R370" s="1"/>
    </row>
    <row r="371" spans="1:18" x14ac:dyDescent="0.25">
      <c r="A371" s="13" t="s">
        <v>694</v>
      </c>
      <c r="B371" s="11" t="s">
        <v>392</v>
      </c>
      <c r="C371" s="61" t="str">
        <f>HYPERLINK("#'"&amp;Insumos_a_comprar[[#This Row],[Planilla]]&amp;"'!D1","Ir")</f>
        <v>Ir</v>
      </c>
      <c r="D371" s="11" t="s">
        <v>463</v>
      </c>
      <c r="E371" s="66"/>
      <c r="F371" s="67">
        <v>100</v>
      </c>
      <c r="G371" s="68" t="s">
        <v>7</v>
      </c>
      <c r="H371" s="72">
        <f ca="1">SUMIF(INDIRECT(SUBSTITUTE(B371," ","_")&amp;"[Insumo]"),Insumos_a_comprar[[#This Row],[Insumo]],INDIRECT(SUBSTITUTE(B371," ","_")&amp;"[Stock]"))</f>
        <v>700</v>
      </c>
      <c r="I371" s="69" t="str">
        <f ca="1">IF((Insumos_a_comprar[[#This Row],[Stock actual]]-Insumos_a_comprar[[#This Row],[Stock mínimo]])&lt;0,"Si","No")</f>
        <v>No</v>
      </c>
      <c r="J371" s="67" t="str">
        <f ca="1">INDEX(Table12[Acción],MATCH(Insumos_a_comprar[[#This Row],[Planilla]],Table12[Planilla],0))</f>
        <v>Vencido</v>
      </c>
      <c r="K371" s="71" t="s">
        <v>206</v>
      </c>
      <c r="L37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1" s="65"/>
      <c r="N371" s="65"/>
      <c r="O371" s="65"/>
      <c r="P371" s="178"/>
      <c r="Q371" s="1"/>
      <c r="R371" s="1"/>
    </row>
    <row r="372" spans="1:18" x14ac:dyDescent="0.25">
      <c r="A372" s="22" t="s">
        <v>551</v>
      </c>
      <c r="B372" s="23" t="s">
        <v>440</v>
      </c>
      <c r="C372" s="61" t="str">
        <f>HYPERLINK("#'"&amp;Insumos_a_comprar[[#This Row],[Planilla]]&amp;"'!D1","Ir")</f>
        <v>Ir</v>
      </c>
      <c r="D372" s="11" t="s">
        <v>397</v>
      </c>
      <c r="E372" s="73" t="s">
        <v>397</v>
      </c>
      <c r="F372" s="74">
        <v>1</v>
      </c>
      <c r="G372" s="75" t="s">
        <v>65</v>
      </c>
      <c r="H372" s="76">
        <f ca="1">SUMIF(INDIRECT(SUBSTITUTE(B372," ","_")&amp;"[Insumo]"),Insumos_a_comprar[[#This Row],[Insumo]],INDIRECT(SUBSTITUTE(B372," ","_")&amp;"[Stock]"))</f>
        <v>1</v>
      </c>
      <c r="I372" s="69" t="str">
        <f ca="1">IF((Insumos_a_comprar[[#This Row],[Stock actual]]-Insumos_a_comprar[[#This Row],[Stock mínimo]])&lt;0,"Si","No")</f>
        <v>No</v>
      </c>
      <c r="J372" s="67" t="str">
        <f ca="1">INDEX(Table12[Acción],MATCH(Insumos_a_comprar[[#This Row],[Planilla]],Table12[Planilla],0))</f>
        <v>Constante</v>
      </c>
      <c r="K372" s="77">
        <v>1</v>
      </c>
      <c r="L37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2" s="206"/>
      <c r="N372" s="206"/>
      <c r="O372" s="206"/>
      <c r="P372" s="179"/>
      <c r="Q372" s="1"/>
      <c r="R372" s="1"/>
    </row>
    <row r="373" spans="1:18" x14ac:dyDescent="0.25">
      <c r="A373" s="22" t="s">
        <v>553</v>
      </c>
      <c r="B373" s="23" t="s">
        <v>440</v>
      </c>
      <c r="C373" s="61" t="str">
        <f>HYPERLINK("#'"&amp;Insumos_a_comprar[[#This Row],[Planilla]]&amp;"'!D1","Ir")</f>
        <v>Ir</v>
      </c>
      <c r="D373" s="11" t="s">
        <v>397</v>
      </c>
      <c r="E373" s="73" t="s">
        <v>397</v>
      </c>
      <c r="F373" s="74">
        <v>1</v>
      </c>
      <c r="G373" s="75" t="s">
        <v>65</v>
      </c>
      <c r="H373" s="76">
        <f ca="1">SUMIF(INDIRECT(SUBSTITUTE(B373," ","_")&amp;"[Insumo]"),Insumos_a_comprar[[#This Row],[Insumo]],INDIRECT(SUBSTITUTE(B373," ","_")&amp;"[Stock]"))</f>
        <v>4</v>
      </c>
      <c r="I373" s="69" t="str">
        <f ca="1">IF((Insumos_a_comprar[[#This Row],[Stock actual]]-Insumos_a_comprar[[#This Row],[Stock mínimo]])&lt;0,"Si","No")</f>
        <v>No</v>
      </c>
      <c r="J373" s="67" t="str">
        <f ca="1">INDEX(Table12[Acción],MATCH(Insumos_a_comprar[[#This Row],[Planilla]],Table12[Planilla],0))</f>
        <v>Constante</v>
      </c>
      <c r="K373" s="77">
        <v>1</v>
      </c>
      <c r="L37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3" s="206"/>
      <c r="N373" s="206"/>
      <c r="O373" s="206"/>
      <c r="P373" s="179"/>
      <c r="Q373" s="1"/>
      <c r="R373" s="1"/>
    </row>
    <row r="374" spans="1:18" x14ac:dyDescent="0.25">
      <c r="A374" s="22" t="s">
        <v>550</v>
      </c>
      <c r="B374" s="23" t="s">
        <v>440</v>
      </c>
      <c r="C374" s="61" t="str">
        <f>HYPERLINK("#'"&amp;Insumos_a_comprar[[#This Row],[Planilla]]&amp;"'!D1","Ir")</f>
        <v>Ir</v>
      </c>
      <c r="D374" s="11" t="s">
        <v>397</v>
      </c>
      <c r="E374" s="73" t="s">
        <v>397</v>
      </c>
      <c r="F374" s="74">
        <v>1</v>
      </c>
      <c r="G374" s="75" t="s">
        <v>65</v>
      </c>
      <c r="H374" s="76">
        <f ca="1">SUMIF(INDIRECT(SUBSTITUTE(B374," ","_")&amp;"[Insumo]"),Insumos_a_comprar[[#This Row],[Insumo]],INDIRECT(SUBSTITUTE(B374," ","_")&amp;"[Stock]"))</f>
        <v>4</v>
      </c>
      <c r="I374" s="69" t="str">
        <f ca="1">IF((Insumos_a_comprar[[#This Row],[Stock actual]]-Insumos_a_comprar[[#This Row],[Stock mínimo]])&lt;0,"Si","No")</f>
        <v>No</v>
      </c>
      <c r="J374" s="67" t="str">
        <f ca="1">INDEX(Table12[Acción],MATCH(Insumos_a_comprar[[#This Row],[Planilla]],Table12[Planilla],0))</f>
        <v>Constante</v>
      </c>
      <c r="K374" s="77">
        <v>1</v>
      </c>
      <c r="L37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4" s="206"/>
      <c r="N374" s="206"/>
      <c r="O374" s="206"/>
      <c r="P374" s="179"/>
      <c r="Q374" s="1"/>
      <c r="R374" s="1"/>
    </row>
    <row r="375" spans="1:18" x14ac:dyDescent="0.25">
      <c r="A375" s="22" t="s">
        <v>552</v>
      </c>
      <c r="B375" s="23" t="s">
        <v>440</v>
      </c>
      <c r="C375" s="61" t="str">
        <f>HYPERLINK("#'"&amp;Insumos_a_comprar[[#This Row],[Planilla]]&amp;"'!D1","Ir")</f>
        <v>Ir</v>
      </c>
      <c r="D375" s="11" t="s">
        <v>397</v>
      </c>
      <c r="E375" s="73" t="s">
        <v>397</v>
      </c>
      <c r="F375" s="74">
        <v>1</v>
      </c>
      <c r="G375" s="75" t="s">
        <v>65</v>
      </c>
      <c r="H375" s="76">
        <f ca="1">SUMIF(INDIRECT(SUBSTITUTE(B375," ","_")&amp;"[Insumo]"),Insumos_a_comprar[[#This Row],[Insumo]],INDIRECT(SUBSTITUTE(B375," ","_")&amp;"[Stock]"))</f>
        <v>4</v>
      </c>
      <c r="I375" s="69" t="str">
        <f ca="1">IF((Insumos_a_comprar[[#This Row],[Stock actual]]-Insumos_a_comprar[[#This Row],[Stock mínimo]])&lt;0,"Si","No")</f>
        <v>No</v>
      </c>
      <c r="J375" s="67" t="str">
        <f ca="1">INDEX(Table12[Acción],MATCH(Insumos_a_comprar[[#This Row],[Planilla]],Table12[Planilla],0))</f>
        <v>Constante</v>
      </c>
      <c r="K375" s="77">
        <v>1</v>
      </c>
      <c r="L37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5" s="206"/>
      <c r="N375" s="206"/>
      <c r="O375" s="206"/>
      <c r="P375" s="179"/>
      <c r="Q375" s="1"/>
      <c r="R375" s="1"/>
    </row>
    <row r="376" spans="1:18" x14ac:dyDescent="0.25">
      <c r="A376" s="22" t="s">
        <v>547</v>
      </c>
      <c r="B376" s="23" t="s">
        <v>440</v>
      </c>
      <c r="C376" s="61" t="str">
        <f>HYPERLINK("#'"&amp;Insumos_a_comprar[[#This Row],[Planilla]]&amp;"'!D1","Ir")</f>
        <v>Ir</v>
      </c>
      <c r="D376" s="11" t="s">
        <v>397</v>
      </c>
      <c r="E376" s="73" t="s">
        <v>397</v>
      </c>
      <c r="F376" s="74">
        <v>4</v>
      </c>
      <c r="G376" s="75" t="s">
        <v>65</v>
      </c>
      <c r="H376" s="76">
        <f ca="1">SUMIF(INDIRECT(SUBSTITUTE(B376," ","_")&amp;"[Insumo]"),Insumos_a_comprar[[#This Row],[Insumo]],INDIRECT(SUBSTITUTE(B376," ","_")&amp;"[Stock]"))</f>
        <v>13</v>
      </c>
      <c r="I376" s="69" t="str">
        <f ca="1">IF((Insumos_a_comprar[[#This Row],[Stock actual]]-Insumos_a_comprar[[#This Row],[Stock mínimo]])&lt;0,"Si","No")</f>
        <v>No</v>
      </c>
      <c r="J376" s="67" t="str">
        <f ca="1">INDEX(Table12[Acción],MATCH(Insumos_a_comprar[[#This Row],[Planilla]],Table12[Planilla],0))</f>
        <v>Constante</v>
      </c>
      <c r="K376" s="77">
        <v>4</v>
      </c>
      <c r="L37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6" s="206"/>
      <c r="N376" s="206"/>
      <c r="O376" s="206"/>
      <c r="P376" s="179"/>
      <c r="Q376" s="1"/>
      <c r="R376" s="1"/>
    </row>
    <row r="377" spans="1:18" x14ac:dyDescent="0.25">
      <c r="A377" s="22" t="s">
        <v>544</v>
      </c>
      <c r="B377" s="23" t="s">
        <v>440</v>
      </c>
      <c r="C377" s="61" t="str">
        <f>HYPERLINK("#'"&amp;Insumos_a_comprar[[#This Row],[Planilla]]&amp;"'!D1","Ir")</f>
        <v>Ir</v>
      </c>
      <c r="D377" s="11" t="s">
        <v>397</v>
      </c>
      <c r="E377" s="73" t="s">
        <v>397</v>
      </c>
      <c r="F377" s="74">
        <v>1</v>
      </c>
      <c r="G377" s="75" t="s">
        <v>65</v>
      </c>
      <c r="H377" s="76">
        <f ca="1">SUMIF(INDIRECT(SUBSTITUTE(B377," ","_")&amp;"[Insumo]"),Insumos_a_comprar[[#This Row],[Insumo]],INDIRECT(SUBSTITUTE(B377," ","_")&amp;"[Stock]"))</f>
        <v>2</v>
      </c>
      <c r="I377" s="69" t="str">
        <f ca="1">IF((Insumos_a_comprar[[#This Row],[Stock actual]]-Insumos_a_comprar[[#This Row],[Stock mínimo]])&lt;0,"Si","No")</f>
        <v>No</v>
      </c>
      <c r="J377" s="67" t="str">
        <f ca="1">INDEX(Table12[Acción],MATCH(Insumos_a_comprar[[#This Row],[Planilla]],Table12[Planilla],0))</f>
        <v>Constante</v>
      </c>
      <c r="K377" s="77">
        <v>1</v>
      </c>
      <c r="L37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7" s="206"/>
      <c r="N377" s="206"/>
      <c r="O377" s="206"/>
      <c r="P377" s="179"/>
      <c r="Q377" s="1"/>
      <c r="R377" s="1"/>
    </row>
    <row r="378" spans="1:18" x14ac:dyDescent="0.25">
      <c r="A378" s="22" t="s">
        <v>549</v>
      </c>
      <c r="B378" s="23" t="s">
        <v>440</v>
      </c>
      <c r="C378" s="61" t="str">
        <f>HYPERLINK("#'"&amp;Insumos_a_comprar[[#This Row],[Planilla]]&amp;"'!D1","Ir")</f>
        <v>Ir</v>
      </c>
      <c r="D378" s="11" t="s">
        <v>397</v>
      </c>
      <c r="E378" s="73" t="s">
        <v>397</v>
      </c>
      <c r="F378" s="74">
        <v>4</v>
      </c>
      <c r="G378" s="75" t="s">
        <v>65</v>
      </c>
      <c r="H378" s="76">
        <f ca="1">SUMIF(INDIRECT(SUBSTITUTE(B378," ","_")&amp;"[Insumo]"),Insumos_a_comprar[[#This Row],[Insumo]],INDIRECT(SUBSTITUTE(B378," ","_")&amp;"[Stock]"))</f>
        <v>4</v>
      </c>
      <c r="I378" s="69" t="str">
        <f ca="1">IF((Insumos_a_comprar[[#This Row],[Stock actual]]-Insumos_a_comprar[[#This Row],[Stock mínimo]])&lt;0,"Si","No")</f>
        <v>No</v>
      </c>
      <c r="J378" s="67" t="str">
        <f ca="1">INDEX(Table12[Acción],MATCH(Insumos_a_comprar[[#This Row],[Planilla]],Table12[Planilla],0))</f>
        <v>Constante</v>
      </c>
      <c r="K378" s="77">
        <v>4</v>
      </c>
      <c r="L37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8" s="206"/>
      <c r="N378" s="206"/>
      <c r="O378" s="206"/>
      <c r="P378" s="179"/>
      <c r="Q378" s="1"/>
      <c r="R378" s="1"/>
    </row>
    <row r="379" spans="1:18" x14ac:dyDescent="0.25">
      <c r="A379" s="22" t="s">
        <v>546</v>
      </c>
      <c r="B379" s="23" t="s">
        <v>440</v>
      </c>
      <c r="C379" s="61" t="str">
        <f>HYPERLINK("#'"&amp;Insumos_a_comprar[[#This Row],[Planilla]]&amp;"'!D1","Ir")</f>
        <v>Ir</v>
      </c>
      <c r="D379" s="11" t="s">
        <v>397</v>
      </c>
      <c r="E379" s="73" t="s">
        <v>397</v>
      </c>
      <c r="F379" s="74">
        <v>4</v>
      </c>
      <c r="G379" s="75" t="s">
        <v>65</v>
      </c>
      <c r="H379" s="76">
        <f ca="1">SUMIF(INDIRECT(SUBSTITUTE(B379," ","_")&amp;"[Insumo]"),Insumos_a_comprar[[#This Row],[Insumo]],INDIRECT(SUBSTITUTE(B379," ","_")&amp;"[Stock]"))</f>
        <v>4</v>
      </c>
      <c r="I379" s="69" t="str">
        <f ca="1">IF((Insumos_a_comprar[[#This Row],[Stock actual]]-Insumos_a_comprar[[#This Row],[Stock mínimo]])&lt;0,"Si","No")</f>
        <v>No</v>
      </c>
      <c r="J379" s="67" t="str">
        <f ca="1">INDEX(Table12[Acción],MATCH(Insumos_a_comprar[[#This Row],[Planilla]],Table12[Planilla],0))</f>
        <v>Constante</v>
      </c>
      <c r="K379" s="77">
        <v>4</v>
      </c>
      <c r="L37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79" s="206"/>
      <c r="N379" s="206"/>
      <c r="O379" s="206"/>
      <c r="P379" s="179"/>
      <c r="Q379" s="1"/>
      <c r="R379" s="1"/>
    </row>
    <row r="380" spans="1:18" x14ac:dyDescent="0.25">
      <c r="A380" s="22" t="s">
        <v>548</v>
      </c>
      <c r="B380" s="23" t="s">
        <v>440</v>
      </c>
      <c r="C380" s="61" t="str">
        <f>HYPERLINK("#'"&amp;Insumos_a_comprar[[#This Row],[Planilla]]&amp;"'!D1","Ir")</f>
        <v>Ir</v>
      </c>
      <c r="D380" s="11" t="s">
        <v>397</v>
      </c>
      <c r="E380" s="73" t="s">
        <v>397</v>
      </c>
      <c r="F380" s="74">
        <v>4</v>
      </c>
      <c r="G380" s="75" t="s">
        <v>65</v>
      </c>
      <c r="H380" s="76">
        <f ca="1">SUMIF(INDIRECT(SUBSTITUTE(B380," ","_")&amp;"[Insumo]"),Insumos_a_comprar[[#This Row],[Insumo]],INDIRECT(SUBSTITUTE(B380," ","_")&amp;"[Stock]"))</f>
        <v>5</v>
      </c>
      <c r="I380" s="69" t="str">
        <f ca="1">IF((Insumos_a_comprar[[#This Row],[Stock actual]]-Insumos_a_comprar[[#This Row],[Stock mínimo]])&lt;0,"Si","No")</f>
        <v>No</v>
      </c>
      <c r="J380" s="67" t="str">
        <f ca="1">INDEX(Table12[Acción],MATCH(Insumos_a_comprar[[#This Row],[Planilla]],Table12[Planilla],0))</f>
        <v>Constante</v>
      </c>
      <c r="K380" s="77">
        <v>4</v>
      </c>
      <c r="L38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0" s="206"/>
      <c r="N380" s="206"/>
      <c r="O380" s="206"/>
      <c r="P380" s="179"/>
      <c r="Q380" s="1"/>
      <c r="R380" s="1"/>
    </row>
    <row r="381" spans="1:18" x14ac:dyDescent="0.25">
      <c r="A381" s="22" t="s">
        <v>545</v>
      </c>
      <c r="B381" s="23" t="s">
        <v>440</v>
      </c>
      <c r="C381" s="61" t="str">
        <f>HYPERLINK("#'"&amp;Insumos_a_comprar[[#This Row],[Planilla]]&amp;"'!D1","Ir")</f>
        <v>Ir</v>
      </c>
      <c r="D381" s="11" t="s">
        <v>397</v>
      </c>
      <c r="E381" s="73" t="s">
        <v>397</v>
      </c>
      <c r="F381" s="74">
        <v>2</v>
      </c>
      <c r="G381" s="75" t="s">
        <v>65</v>
      </c>
      <c r="H381" s="76">
        <f ca="1">SUMIF(INDIRECT(SUBSTITUTE(B381," ","_")&amp;"[Insumo]"),Insumos_a_comprar[[#This Row],[Insumo]],INDIRECT(SUBSTITUTE(B381," ","_")&amp;"[Stock]"))</f>
        <v>2</v>
      </c>
      <c r="I381" s="69" t="str">
        <f ca="1">IF((Insumos_a_comprar[[#This Row],[Stock actual]]-Insumos_a_comprar[[#This Row],[Stock mínimo]])&lt;0,"Si","No")</f>
        <v>No</v>
      </c>
      <c r="J381" s="67" t="str">
        <f ca="1">INDEX(Table12[Acción],MATCH(Insumos_a_comprar[[#This Row],[Planilla]],Table12[Planilla],0))</f>
        <v>Constante</v>
      </c>
      <c r="K381" s="77">
        <v>1</v>
      </c>
      <c r="L38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1" s="367"/>
      <c r="N381" s="367"/>
      <c r="O381" s="367"/>
      <c r="P381" s="179"/>
      <c r="Q381" s="1"/>
      <c r="R381" s="1"/>
    </row>
    <row r="382" spans="1:18" x14ac:dyDescent="0.25">
      <c r="A382" s="22" t="s">
        <v>585</v>
      </c>
      <c r="B382" s="23" t="s">
        <v>440</v>
      </c>
      <c r="C382" s="61" t="str">
        <f>HYPERLINK("#'"&amp;Insumos_a_comprar[[#This Row],[Planilla]]&amp;"'!D1","Ir")</f>
        <v>Ir</v>
      </c>
      <c r="D382" s="11" t="s">
        <v>397</v>
      </c>
      <c r="E382" s="73" t="s">
        <v>397</v>
      </c>
      <c r="F382" s="74">
        <v>2</v>
      </c>
      <c r="G382" s="75" t="s">
        <v>65</v>
      </c>
      <c r="H382" s="76">
        <f ca="1">SUMIF(INDIRECT(SUBSTITUTE(B382," ","_")&amp;"[Insumo]"),Insumos_a_comprar[[#This Row],[Insumo]],INDIRECT(SUBSTITUTE(B382," ","_")&amp;"[Stock]"))</f>
        <v>4</v>
      </c>
      <c r="I382" s="69" t="str">
        <f ca="1">IF((Insumos_a_comprar[[#This Row],[Stock actual]]-Insumos_a_comprar[[#This Row],[Stock mínimo]])&lt;0,"Si","No")</f>
        <v>No</v>
      </c>
      <c r="J382" s="67" t="str">
        <f ca="1">INDEX(Table12[Acción],MATCH(Insumos_a_comprar[[#This Row],[Planilla]],Table12[Planilla],0))</f>
        <v>Constante</v>
      </c>
      <c r="K382" s="77">
        <v>2</v>
      </c>
      <c r="L38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2" s="367"/>
      <c r="N382" s="367"/>
      <c r="O382" s="367"/>
      <c r="P382" s="179"/>
      <c r="Q382" s="1"/>
      <c r="R382" s="1"/>
    </row>
    <row r="383" spans="1:18" x14ac:dyDescent="0.25">
      <c r="A383" s="13" t="s">
        <v>684</v>
      </c>
      <c r="B383" s="11" t="s">
        <v>393</v>
      </c>
      <c r="C383" s="61" t="str">
        <f>HYPERLINK("#'"&amp;Insumos_a_comprar[[#This Row],[Planilla]]&amp;"'!D1","Ir")</f>
        <v>Ir</v>
      </c>
      <c r="D383" s="11" t="s">
        <v>463</v>
      </c>
      <c r="E383" s="66"/>
      <c r="F383" s="67">
        <v>2</v>
      </c>
      <c r="G383" s="68" t="s">
        <v>7</v>
      </c>
      <c r="H383" s="72">
        <f ca="1">SUMIF(INDIRECT(SUBSTITUTE(B383," ","_")&amp;"[Insumo]"),Insumos_a_comprar[[#This Row],[Insumo]],INDIRECT(SUBSTITUTE(B383," ","_")&amp;"[Stock]"))</f>
        <v>2.5</v>
      </c>
      <c r="I383" s="69" t="str">
        <f ca="1">IF((Insumos_a_comprar[[#This Row],[Stock actual]]-Insumos_a_comprar[[#This Row],[Stock mínimo]])&lt;0,"Si","No")</f>
        <v>No</v>
      </c>
      <c r="J383" s="67" t="str">
        <f ca="1">INDEX(Table12[Acción],MATCH(Insumos_a_comprar[[#This Row],[Planilla]],Table12[Planilla],0))</f>
        <v>Vencido</v>
      </c>
      <c r="K383" s="71" t="s">
        <v>206</v>
      </c>
      <c r="L38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3" s="65"/>
      <c r="N383" s="65"/>
      <c r="O383" s="65"/>
      <c r="P383" s="178"/>
      <c r="Q383" s="1"/>
      <c r="R383" s="1"/>
    </row>
    <row r="384" spans="1:18" x14ac:dyDescent="0.25">
      <c r="A384" s="22" t="s">
        <v>987</v>
      </c>
      <c r="B384" s="23" t="s">
        <v>63</v>
      </c>
      <c r="C384" s="193" t="str">
        <f>HYPERLINK("#'"&amp;Insumos_a_comprar[[#This Row],[Planilla]]&amp;"'!D1","Ir")</f>
        <v>Ir</v>
      </c>
      <c r="D384" s="23" t="s">
        <v>397</v>
      </c>
      <c r="E384" s="73"/>
      <c r="F384" s="74">
        <v>5</v>
      </c>
      <c r="G384" s="75" t="s">
        <v>65</v>
      </c>
      <c r="H384" s="76">
        <f ca="1">SUMIF(INDIRECT(SUBSTITUTE(B384," ","_")&amp;"[Insumo]"),Insumos_a_comprar[[#This Row],[Insumo]],INDIRECT(SUBSTITUTE(B384," ","_")&amp;"[Stock]"))</f>
        <v>8</v>
      </c>
      <c r="I384" s="194" t="str">
        <f ca="1">IF((Insumos_a_comprar[[#This Row],[Stock actual]]-Insumos_a_comprar[[#This Row],[Stock mínimo]])&lt;0,"Si","No")</f>
        <v>No</v>
      </c>
      <c r="J384" s="77" t="str">
        <f ca="1">INDEX(Table12[Acción],MATCH(Insumos_a_comprar[[#This Row],[Planilla]],Table12[Planilla],0))</f>
        <v>Constante</v>
      </c>
      <c r="K384" s="77"/>
      <c r="L38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4" s="367"/>
      <c r="N384" s="367"/>
      <c r="O384" s="367"/>
      <c r="P384" s="179"/>
      <c r="Q384" s="1"/>
      <c r="R384" s="1"/>
    </row>
    <row r="385" spans="1:18" x14ac:dyDescent="0.25">
      <c r="A385" s="22" t="s">
        <v>988</v>
      </c>
      <c r="B385" s="23" t="s">
        <v>63</v>
      </c>
      <c r="C385" s="193" t="str">
        <f>HYPERLINK("#'"&amp;Insumos_a_comprar[[#This Row],[Planilla]]&amp;"'!D1","Ir")</f>
        <v>Ir</v>
      </c>
      <c r="D385" s="23" t="s">
        <v>397</v>
      </c>
      <c r="E385" s="73"/>
      <c r="F385" s="74">
        <v>2</v>
      </c>
      <c r="G385" s="75" t="s">
        <v>65</v>
      </c>
      <c r="H385" s="76">
        <f ca="1">SUMIF(INDIRECT(SUBSTITUTE(B385," ","_")&amp;"[Insumo]"),Insumos_a_comprar[[#This Row],[Insumo]],INDIRECT(SUBSTITUTE(B385," ","_")&amp;"[Stock]"))</f>
        <v>7</v>
      </c>
      <c r="I385" s="194" t="str">
        <f ca="1">IF((Insumos_a_comprar[[#This Row],[Stock actual]]-Insumos_a_comprar[[#This Row],[Stock mínimo]])&lt;0,"Si","No")</f>
        <v>No</v>
      </c>
      <c r="J385" s="77" t="str">
        <f ca="1">INDEX(Table12[Acción],MATCH(Insumos_a_comprar[[#This Row],[Planilla]],Table12[Planilla],0))</f>
        <v>Constante</v>
      </c>
      <c r="K385" s="77">
        <v>1</v>
      </c>
      <c r="L38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5" s="367"/>
      <c r="N385" s="367"/>
      <c r="O385" s="367"/>
      <c r="P385" s="179"/>
      <c r="Q385" s="1"/>
      <c r="R385" s="1"/>
    </row>
    <row r="386" spans="1:18" x14ac:dyDescent="0.25">
      <c r="A386" s="10" t="s">
        <v>142</v>
      </c>
      <c r="B386" s="11" t="s">
        <v>398</v>
      </c>
      <c r="C386" s="61" t="str">
        <f>HYPERLINK("#'"&amp;Insumos_a_comprar[[#This Row],[Planilla]]&amp;"'!D1","Ir")</f>
        <v>Ir</v>
      </c>
      <c r="D386" s="11" t="s">
        <v>465</v>
      </c>
      <c r="E386" s="66" t="s">
        <v>854</v>
      </c>
      <c r="F386" s="67">
        <v>0.05</v>
      </c>
      <c r="G386" s="68" t="s">
        <v>399</v>
      </c>
      <c r="H386" s="72">
        <f ca="1">SUMIF(INDIRECT(SUBSTITUTE(B386," ","_")&amp;"[Insumo]"),Insumos_a_comprar[[#This Row],[Insumo]],INDIRECT(SUBSTITUTE(B386," ","_")&amp;"[Stock]"))</f>
        <v>0.9</v>
      </c>
      <c r="I386" s="69" t="str">
        <f ca="1">IF((Insumos_a_comprar[[#This Row],[Stock actual]]-Insumos_a_comprar[[#This Row],[Stock mínimo]])&lt;0,"Si","No")</f>
        <v>No</v>
      </c>
      <c r="J386" s="67" t="str">
        <f ca="1">INDEX(Table12[Acción],MATCH(Insumos_a_comprar[[#This Row],[Planilla]],Table12[Planilla],0))</f>
        <v>Vigente</v>
      </c>
      <c r="K386" s="71">
        <v>0.5</v>
      </c>
      <c r="L38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6" s="65"/>
      <c r="N386" s="65"/>
      <c r="O386" s="65"/>
      <c r="P386" s="178"/>
      <c r="Q386" s="1"/>
      <c r="R386" s="1"/>
    </row>
    <row r="387" spans="1:18" x14ac:dyDescent="0.25">
      <c r="A387" s="22" t="s">
        <v>73</v>
      </c>
      <c r="B387" s="23" t="s">
        <v>594</v>
      </c>
      <c r="C387" s="61" t="str">
        <f>HYPERLINK("#'"&amp;Insumos_a_comprar[[#This Row],[Planilla]]&amp;"'!D1","Ir")</f>
        <v>Ir</v>
      </c>
      <c r="D387" s="11" t="s">
        <v>397</v>
      </c>
      <c r="E387" s="73" t="s">
        <v>397</v>
      </c>
      <c r="F387" s="74">
        <v>1</v>
      </c>
      <c r="G387" s="75" t="s">
        <v>65</v>
      </c>
      <c r="H387" s="76">
        <f ca="1">SUMIF(INDIRECT(SUBSTITUTE(B387," ","_")&amp;"[Insumo]"),Insumos_a_comprar[[#This Row],[Insumo]],INDIRECT(SUBSTITUTE(B387," ","_")&amp;"[Stock]"))</f>
        <v>2</v>
      </c>
      <c r="I387" s="69" t="str">
        <f ca="1">IF((Insumos_a_comprar[[#This Row],[Stock actual]]-Insumos_a_comprar[[#This Row],[Stock mínimo]])&lt;0,"Si","No")</f>
        <v>No</v>
      </c>
      <c r="J387" s="67" t="str">
        <f ca="1">INDEX(Table12[Acción],MATCH(Insumos_a_comprar[[#This Row],[Planilla]],Table12[Planilla],0))</f>
        <v>Constante</v>
      </c>
      <c r="K387" s="77">
        <v>1</v>
      </c>
      <c r="L38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7" s="206"/>
      <c r="N387" s="206"/>
      <c r="O387" s="206">
        <v>44376</v>
      </c>
      <c r="P387" s="179"/>
      <c r="Q387" s="1"/>
      <c r="R387" s="1"/>
    </row>
    <row r="388" spans="1:18" x14ac:dyDescent="0.25">
      <c r="A388" s="22" t="s">
        <v>990</v>
      </c>
      <c r="B388" s="23" t="s">
        <v>63</v>
      </c>
      <c r="C388" s="193" t="str">
        <f>HYPERLINK("#'"&amp;Insumos_a_comprar[[#This Row],[Planilla]]&amp;"'!D1","Ir")</f>
        <v>Ir</v>
      </c>
      <c r="D388" s="23" t="s">
        <v>397</v>
      </c>
      <c r="E388" s="73"/>
      <c r="F388" s="74">
        <v>1</v>
      </c>
      <c r="G388" s="75" t="s">
        <v>65</v>
      </c>
      <c r="H388" s="76">
        <f ca="1">SUMIF(INDIRECT(SUBSTITUTE(B388," ","_")&amp;"[Insumo]"),Insumos_a_comprar[[#This Row],[Insumo]],INDIRECT(SUBSTITUTE(B388," ","_")&amp;"[Stock]"))</f>
        <v>1</v>
      </c>
      <c r="I388" s="194" t="str">
        <f ca="1">IF((Insumos_a_comprar[[#This Row],[Stock actual]]-Insumos_a_comprar[[#This Row],[Stock mínimo]])&lt;0,"Si","No")</f>
        <v>No</v>
      </c>
      <c r="J388" s="77" t="str">
        <f ca="1">INDEX(Table12[Acción],MATCH(Insumos_a_comprar[[#This Row],[Planilla]],Table12[Planilla],0))</f>
        <v>Constante</v>
      </c>
      <c r="K388" s="77"/>
      <c r="L38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8" s="206"/>
      <c r="N388" s="206"/>
      <c r="O388" s="206"/>
      <c r="P388" s="179"/>
      <c r="Q388" s="1"/>
      <c r="R388" s="1"/>
    </row>
    <row r="389" spans="1:18" x14ac:dyDescent="0.25">
      <c r="A389" s="22" t="s">
        <v>991</v>
      </c>
      <c r="B389" s="23" t="s">
        <v>63</v>
      </c>
      <c r="C389" s="193" t="str">
        <f>HYPERLINK("#'"&amp;Insumos_a_comprar[[#This Row],[Planilla]]&amp;"'!D1","Ir")</f>
        <v>Ir</v>
      </c>
      <c r="D389" s="23" t="s">
        <v>397</v>
      </c>
      <c r="E389" s="73"/>
      <c r="F389" s="74">
        <v>1</v>
      </c>
      <c r="G389" s="75" t="s">
        <v>65</v>
      </c>
      <c r="H389" s="76">
        <f ca="1">SUMIF(INDIRECT(SUBSTITUTE(B389," ","_")&amp;"[Insumo]"),Insumos_a_comprar[[#This Row],[Insumo]],INDIRECT(SUBSTITUTE(B389," ","_")&amp;"[Stock]"))</f>
        <v>2</v>
      </c>
      <c r="I389" s="194" t="str">
        <f ca="1">IF((Insumos_a_comprar[[#This Row],[Stock actual]]-Insumos_a_comprar[[#This Row],[Stock mínimo]])&lt;0,"Si","No")</f>
        <v>No</v>
      </c>
      <c r="J389" s="77" t="str">
        <f ca="1">INDEX(Table12[Acción],MATCH(Insumos_a_comprar[[#This Row],[Planilla]],Table12[Planilla],0))</f>
        <v>Constante</v>
      </c>
      <c r="K389" s="77"/>
      <c r="L38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89" s="206"/>
      <c r="N389" s="206"/>
      <c r="O389" s="206"/>
      <c r="P389" s="179"/>
      <c r="Q389" s="1"/>
      <c r="R389" s="1"/>
    </row>
    <row r="390" spans="1:18" x14ac:dyDescent="0.25">
      <c r="A390" s="22" t="s">
        <v>995</v>
      </c>
      <c r="B390" s="23" t="s">
        <v>63</v>
      </c>
      <c r="C390" s="193" t="str">
        <f>HYPERLINK("#'"&amp;Insumos_a_comprar[[#This Row],[Planilla]]&amp;"'!D1","Ir")</f>
        <v>Ir</v>
      </c>
      <c r="D390" s="23" t="s">
        <v>397</v>
      </c>
      <c r="E390" s="73"/>
      <c r="F390" s="74"/>
      <c r="G390" s="75" t="s">
        <v>65</v>
      </c>
      <c r="H390" s="76">
        <f ca="1">SUMIF(INDIRECT(SUBSTITUTE(B390," ","_")&amp;"[Insumo]"),Insumos_a_comprar[[#This Row],[Insumo]],INDIRECT(SUBSTITUTE(B390," ","_")&amp;"[Stock]"))</f>
        <v>1</v>
      </c>
      <c r="I390" s="194" t="str">
        <f ca="1">IF((Insumos_a_comprar[[#This Row],[Stock actual]]-Insumos_a_comprar[[#This Row],[Stock mínimo]])&lt;0,"Si","No")</f>
        <v>No</v>
      </c>
      <c r="J390" s="77" t="str">
        <f ca="1">INDEX(Table12[Acción],MATCH(Insumos_a_comprar[[#This Row],[Planilla]],Table12[Planilla],0))</f>
        <v>Constante</v>
      </c>
      <c r="K390" s="77"/>
      <c r="L39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0" s="206"/>
      <c r="N390" s="206"/>
      <c r="O390" s="206"/>
      <c r="P390" s="179"/>
      <c r="Q390" s="1"/>
      <c r="R390" s="1"/>
    </row>
    <row r="391" spans="1:18" x14ac:dyDescent="0.25">
      <c r="A391" s="22" t="s">
        <v>992</v>
      </c>
      <c r="B391" s="23" t="s">
        <v>63</v>
      </c>
      <c r="C391" s="193" t="str">
        <f>HYPERLINK("#'"&amp;Insumos_a_comprar[[#This Row],[Planilla]]&amp;"'!D1","Ir")</f>
        <v>Ir</v>
      </c>
      <c r="D391" s="23" t="s">
        <v>397</v>
      </c>
      <c r="E391" s="73"/>
      <c r="F391" s="74">
        <v>10</v>
      </c>
      <c r="G391" s="75" t="s">
        <v>65</v>
      </c>
      <c r="H391" s="76">
        <f ca="1">SUMIF(INDIRECT(SUBSTITUTE(B391," ","_")&amp;"[Insumo]"),Insumos_a_comprar[[#This Row],[Insumo]],INDIRECT(SUBSTITUTE(B391," ","_")&amp;"[Stock]"))</f>
        <v>87</v>
      </c>
      <c r="I391" s="194" t="str">
        <f ca="1">IF((Insumos_a_comprar[[#This Row],[Stock actual]]-Insumos_a_comprar[[#This Row],[Stock mínimo]])&lt;0,"Si","No")</f>
        <v>No</v>
      </c>
      <c r="J391" s="77" t="str">
        <f ca="1">INDEX(Table12[Acción],MATCH(Insumos_a_comprar[[#This Row],[Planilla]],Table12[Planilla],0))</f>
        <v>Constante</v>
      </c>
      <c r="K391" s="77">
        <v>50</v>
      </c>
      <c r="L39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1" s="206"/>
      <c r="N391" s="206"/>
      <c r="O391" s="206"/>
      <c r="P391" s="179"/>
      <c r="Q391" s="1"/>
      <c r="R391" s="1"/>
    </row>
    <row r="392" spans="1:18" x14ac:dyDescent="0.25">
      <c r="A392" s="22" t="s">
        <v>994</v>
      </c>
      <c r="B392" s="23" t="s">
        <v>63</v>
      </c>
      <c r="C392" s="193" t="str">
        <f>HYPERLINK("#'"&amp;Insumos_a_comprar[[#This Row],[Planilla]]&amp;"'!D1","Ir")</f>
        <v>Ir</v>
      </c>
      <c r="D392" s="23" t="s">
        <v>397</v>
      </c>
      <c r="E392" s="73"/>
      <c r="F392" s="74">
        <v>25</v>
      </c>
      <c r="G392" s="75" t="s">
        <v>65</v>
      </c>
      <c r="H392" s="76">
        <f ca="1">SUMIF(INDIRECT(SUBSTITUTE(B392," ","_")&amp;"[Insumo]"),Insumos_a_comprar[[#This Row],[Insumo]],INDIRECT(SUBSTITUTE(B392," ","_")&amp;"[Stock]"))</f>
        <v>40</v>
      </c>
      <c r="I392" s="194" t="str">
        <f ca="1">IF((Insumos_a_comprar[[#This Row],[Stock actual]]-Insumos_a_comprar[[#This Row],[Stock mínimo]])&lt;0,"Si","No")</f>
        <v>No</v>
      </c>
      <c r="J392" s="77" t="str">
        <f ca="1">INDEX(Table12[Acción],MATCH(Insumos_a_comprar[[#This Row],[Planilla]],Table12[Planilla],0))</f>
        <v>Constante</v>
      </c>
      <c r="K392" s="77">
        <v>50</v>
      </c>
      <c r="L39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2" s="367"/>
      <c r="N392" s="367"/>
      <c r="O392" s="367"/>
      <c r="P392" s="179"/>
      <c r="Q392" s="1"/>
      <c r="R392" s="1"/>
    </row>
    <row r="393" spans="1:18" x14ac:dyDescent="0.25">
      <c r="A393" s="22" t="s">
        <v>993</v>
      </c>
      <c r="B393" s="23" t="s">
        <v>63</v>
      </c>
      <c r="C393" s="193" t="str">
        <f>HYPERLINK("#'"&amp;Insumos_a_comprar[[#This Row],[Planilla]]&amp;"'!D1","Ir")</f>
        <v>Ir</v>
      </c>
      <c r="D393" s="23" t="s">
        <v>397</v>
      </c>
      <c r="E393" s="73"/>
      <c r="F393" s="74">
        <v>10</v>
      </c>
      <c r="G393" s="75" t="s">
        <v>65</v>
      </c>
      <c r="H393" s="76">
        <f ca="1">SUMIF(INDIRECT(SUBSTITUTE(B393," ","_")&amp;"[Insumo]"),Insumos_a_comprar[[#This Row],[Insumo]],INDIRECT(SUBSTITUTE(B393," ","_")&amp;"[Stock]"))</f>
        <v>23</v>
      </c>
      <c r="I393" s="194" t="str">
        <f ca="1">IF((Insumos_a_comprar[[#This Row],[Stock actual]]-Insumos_a_comprar[[#This Row],[Stock mínimo]])&lt;0,"Si","No")</f>
        <v>No</v>
      </c>
      <c r="J393" s="77" t="str">
        <f ca="1">INDEX(Table12[Acción],MATCH(Insumos_a_comprar[[#This Row],[Planilla]],Table12[Planilla],0))</f>
        <v>Constante</v>
      </c>
      <c r="K393" s="77">
        <v>50</v>
      </c>
      <c r="L39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3" s="367"/>
      <c r="N393" s="367"/>
      <c r="O393" s="367"/>
      <c r="P393" s="179"/>
      <c r="Q393" s="1"/>
      <c r="R393" s="1"/>
    </row>
    <row r="394" spans="1:18" x14ac:dyDescent="0.25">
      <c r="A394" s="13" t="s">
        <v>236</v>
      </c>
      <c r="B394" s="11" t="s">
        <v>392</v>
      </c>
      <c r="C394" s="61" t="str">
        <f>HYPERLINK("#'"&amp;Insumos_a_comprar[[#This Row],[Planilla]]&amp;"'!D1","Ir")</f>
        <v>Ir</v>
      </c>
      <c r="D394" s="11" t="s">
        <v>463</v>
      </c>
      <c r="E394" s="66"/>
      <c r="F394" s="67">
        <v>10</v>
      </c>
      <c r="G394" s="68" t="s">
        <v>7</v>
      </c>
      <c r="H394" s="72">
        <f ca="1">SUMIF(INDIRECT(SUBSTITUTE(B394," ","_")&amp;"[Insumo]"),Insumos_a_comprar[[#This Row],[Insumo]],INDIRECT(SUBSTITUTE(B394," ","_")&amp;"[Stock]"))</f>
        <v>1000</v>
      </c>
      <c r="I394" s="69" t="str">
        <f ca="1">IF((Insumos_a_comprar[[#This Row],[Stock actual]]-Insumos_a_comprar[[#This Row],[Stock mínimo]])&lt;0,"Si","No")</f>
        <v>No</v>
      </c>
      <c r="J394" s="67" t="str">
        <f ca="1">INDEX(Table12[Acción],MATCH(Insumos_a_comprar[[#This Row],[Planilla]],Table12[Planilla],0))</f>
        <v>Vencido</v>
      </c>
      <c r="K394" s="71" t="s">
        <v>206</v>
      </c>
      <c r="L39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4" s="65"/>
      <c r="N394" s="65"/>
      <c r="O394" s="65"/>
      <c r="P394" s="178"/>
      <c r="Q394" s="1"/>
      <c r="R394" s="1"/>
    </row>
    <row r="395" spans="1:18" x14ac:dyDescent="0.25">
      <c r="A395" s="10" t="s">
        <v>182</v>
      </c>
      <c r="B395" s="11" t="s">
        <v>400</v>
      </c>
      <c r="C395" s="61" t="str">
        <f>HYPERLINK("#'"&amp;Insumos_a_comprar[[#This Row],[Planilla]]&amp;"'!D1","Ir")</f>
        <v>Ir</v>
      </c>
      <c r="D395" s="11" t="s">
        <v>397</v>
      </c>
      <c r="E395" s="66"/>
      <c r="F395" s="67">
        <v>50</v>
      </c>
      <c r="G395" s="68" t="s">
        <v>152</v>
      </c>
      <c r="H395" s="72">
        <f ca="1">SUMIF(INDIRECT(SUBSTITUTE(B395," ","_")&amp;"[Insumo]"),Insumos_a_comprar[[#This Row],[Insumo]],INDIRECT(SUBSTITUTE(B395," ","_")&amp;"[Stock]"))</f>
        <v>90</v>
      </c>
      <c r="I395" s="69" t="str">
        <f ca="1">IF((Insumos_a_comprar[[#This Row],[Stock actual]]-Insumos_a_comprar[[#This Row],[Stock mínimo]])&lt;0,"Si","No")</f>
        <v>No</v>
      </c>
      <c r="J395" s="67" t="str">
        <f ca="1">INDEX(Table12[Acción],MATCH(Insumos_a_comprar[[#This Row],[Planilla]],Table12[Planilla],0))</f>
        <v>Vencido</v>
      </c>
      <c r="K395" s="71"/>
      <c r="L39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5" s="65"/>
      <c r="N395" s="65"/>
      <c r="O395" s="65"/>
      <c r="P395" s="178"/>
      <c r="Q395" s="1"/>
      <c r="R395" s="1"/>
    </row>
    <row r="396" spans="1:18" x14ac:dyDescent="0.25">
      <c r="A396" s="10" t="s">
        <v>184</v>
      </c>
      <c r="B396" s="11" t="s">
        <v>400</v>
      </c>
      <c r="C396" s="61" t="str">
        <f>HYPERLINK("#'"&amp;Insumos_a_comprar[[#This Row],[Planilla]]&amp;"'!D1","Ir")</f>
        <v>Ir</v>
      </c>
      <c r="D396" s="11" t="s">
        <v>397</v>
      </c>
      <c r="E396" s="66"/>
      <c r="F396" s="67">
        <v>50</v>
      </c>
      <c r="G396" s="68" t="s">
        <v>152</v>
      </c>
      <c r="H396" s="72">
        <f ca="1">SUMIF(INDIRECT(SUBSTITUTE(B396," ","_")&amp;"[Insumo]"),Insumos_a_comprar[[#This Row],[Insumo]],INDIRECT(SUBSTITUTE(B396," ","_")&amp;"[Stock]"))</f>
        <v>90</v>
      </c>
      <c r="I396" s="69" t="str">
        <f ca="1">IF((Insumos_a_comprar[[#This Row],[Stock actual]]-Insumos_a_comprar[[#This Row],[Stock mínimo]])&lt;0,"Si","No")</f>
        <v>No</v>
      </c>
      <c r="J396" s="67" t="str">
        <f ca="1">INDEX(Table12[Acción],MATCH(Insumos_a_comprar[[#This Row],[Planilla]],Table12[Planilla],0))</f>
        <v>Vencido</v>
      </c>
      <c r="K396" s="71"/>
      <c r="L39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6" s="65"/>
      <c r="N396" s="65"/>
      <c r="O396" s="65"/>
      <c r="P396" s="178"/>
      <c r="Q396" s="1"/>
      <c r="R396" s="1"/>
    </row>
    <row r="397" spans="1:18" x14ac:dyDescent="0.25">
      <c r="A397" s="10" t="s">
        <v>186</v>
      </c>
      <c r="B397" s="11" t="s">
        <v>400</v>
      </c>
      <c r="C397" s="61" t="str">
        <f>HYPERLINK("#'"&amp;Insumos_a_comprar[[#This Row],[Planilla]]&amp;"'!D1","Ir")</f>
        <v>Ir</v>
      </c>
      <c r="D397" s="11" t="s">
        <v>397</v>
      </c>
      <c r="E397" s="66"/>
      <c r="F397" s="67">
        <v>50</v>
      </c>
      <c r="G397" s="68" t="s">
        <v>152</v>
      </c>
      <c r="H397" s="72">
        <f ca="1">SUMIF(INDIRECT(SUBSTITUTE(B397," ","_")&amp;"[Insumo]"),Insumos_a_comprar[[#This Row],[Insumo]],INDIRECT(SUBSTITUTE(B397," ","_")&amp;"[Stock]"))</f>
        <v>94</v>
      </c>
      <c r="I397" s="69" t="str">
        <f ca="1">IF((Insumos_a_comprar[[#This Row],[Stock actual]]-Insumos_a_comprar[[#This Row],[Stock mínimo]])&lt;0,"Si","No")</f>
        <v>No</v>
      </c>
      <c r="J397" s="67" t="str">
        <f ca="1">INDEX(Table12[Acción],MATCH(Insumos_a_comprar[[#This Row],[Planilla]],Table12[Planilla],0))</f>
        <v>Vencido</v>
      </c>
      <c r="K397" s="71"/>
      <c r="L39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7" s="65"/>
      <c r="N397" s="65"/>
      <c r="O397" s="65"/>
      <c r="P397" s="178"/>
      <c r="Q397" s="1"/>
      <c r="R397" s="1"/>
    </row>
    <row r="398" spans="1:18" x14ac:dyDescent="0.25">
      <c r="A398" s="13" t="s">
        <v>235</v>
      </c>
      <c r="B398" s="11" t="s">
        <v>392</v>
      </c>
      <c r="C398" s="61" t="str">
        <f>HYPERLINK("#'"&amp;Insumos_a_comprar[[#This Row],[Planilla]]&amp;"'!D1","Ir")</f>
        <v>Ir</v>
      </c>
      <c r="D398" s="11" t="s">
        <v>463</v>
      </c>
      <c r="E398" s="66" t="s">
        <v>938</v>
      </c>
      <c r="F398" s="67">
        <v>500</v>
      </c>
      <c r="G398" s="68" t="s">
        <v>7</v>
      </c>
      <c r="H398" s="72">
        <f ca="1">SUMIF(INDIRECT(SUBSTITUTE(B398," ","_")&amp;"[Insumo]"),Insumos_a_comprar[[#This Row],[Insumo]],INDIRECT(SUBSTITUTE(B398," ","_")&amp;"[Stock]"))</f>
        <v>1900</v>
      </c>
      <c r="I398" s="69" t="str">
        <f ca="1">IF((Insumos_a_comprar[[#This Row],[Stock actual]]-Insumos_a_comprar[[#This Row],[Stock mínimo]])&lt;0,"Si","No")</f>
        <v>No</v>
      </c>
      <c r="J398" s="67" t="str">
        <f ca="1">INDEX(Table12[Acción],MATCH(Insumos_a_comprar[[#This Row],[Planilla]],Table12[Planilla],0))</f>
        <v>Vencido</v>
      </c>
      <c r="K398" s="71" t="s">
        <v>206</v>
      </c>
      <c r="L39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8" s="65"/>
      <c r="N398" s="65"/>
      <c r="O398" s="65"/>
      <c r="P398" s="178"/>
      <c r="Q398" s="1"/>
      <c r="R398" s="1"/>
    </row>
    <row r="399" spans="1:18" x14ac:dyDescent="0.25">
      <c r="A399" s="22" t="s">
        <v>72</v>
      </c>
      <c r="B399" s="23" t="s">
        <v>594</v>
      </c>
      <c r="C399" s="61" t="str">
        <f>HYPERLINK("#'"&amp;Insumos_a_comprar[[#This Row],[Planilla]]&amp;"'!D1","Ir")</f>
        <v>Ir</v>
      </c>
      <c r="D399" s="11" t="s">
        <v>397</v>
      </c>
      <c r="E399" s="73" t="s">
        <v>397</v>
      </c>
      <c r="F399" s="74">
        <v>1</v>
      </c>
      <c r="G399" s="75" t="s">
        <v>65</v>
      </c>
      <c r="H399" s="76">
        <f ca="1">SUMIF(INDIRECT(SUBSTITUTE(B399," ","_")&amp;"[Insumo]"),Insumos_a_comprar[[#This Row],[Insumo]],INDIRECT(SUBSTITUTE(B399," ","_")&amp;"[Stock]"))</f>
        <v>1</v>
      </c>
      <c r="I399" s="69" t="str">
        <f ca="1">IF((Insumos_a_comprar[[#This Row],[Stock actual]]-Insumos_a_comprar[[#This Row],[Stock mínimo]])&lt;0,"Si","No")</f>
        <v>No</v>
      </c>
      <c r="J399" s="67" t="str">
        <f ca="1">INDEX(Table12[Acción],MATCH(Insumos_a_comprar[[#This Row],[Planilla]],Table12[Planilla],0))</f>
        <v>Constante</v>
      </c>
      <c r="K399" s="77">
        <v>1</v>
      </c>
      <c r="L39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399" s="367"/>
      <c r="N399" s="367"/>
      <c r="O399" s="367"/>
      <c r="P399" s="179"/>
      <c r="Q399" s="1"/>
      <c r="R399" s="1"/>
    </row>
    <row r="400" spans="1:18" x14ac:dyDescent="0.25">
      <c r="A400" s="22" t="s">
        <v>71</v>
      </c>
      <c r="B400" s="23" t="s">
        <v>594</v>
      </c>
      <c r="C400" s="61" t="str">
        <f>HYPERLINK("#'"&amp;Insumos_a_comprar[[#This Row],[Planilla]]&amp;"'!D1","Ir")</f>
        <v>Ir</v>
      </c>
      <c r="D400" s="11" t="s">
        <v>397</v>
      </c>
      <c r="E400" s="73" t="s">
        <v>397</v>
      </c>
      <c r="F400" s="74">
        <v>1</v>
      </c>
      <c r="G400" s="75" t="s">
        <v>65</v>
      </c>
      <c r="H400" s="76">
        <f ca="1">SUMIF(INDIRECT(SUBSTITUTE(B400," ","_")&amp;"[Insumo]"),Insumos_a_comprar[[#This Row],[Insumo]],INDIRECT(SUBSTITUTE(B400," ","_")&amp;"[Stock]"))</f>
        <v>2</v>
      </c>
      <c r="I400" s="69" t="str">
        <f ca="1">IF((Insumos_a_comprar[[#This Row],[Stock actual]]-Insumos_a_comprar[[#This Row],[Stock mínimo]])&lt;0,"Si","No")</f>
        <v>No</v>
      </c>
      <c r="J400" s="67" t="str">
        <f ca="1">INDEX(Table12[Acción],MATCH(Insumos_a_comprar[[#This Row],[Planilla]],Table12[Planilla],0))</f>
        <v>Constante</v>
      </c>
      <c r="K400" s="77">
        <v>1</v>
      </c>
      <c r="L40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0" s="367"/>
      <c r="N400" s="367"/>
      <c r="O400" s="367"/>
      <c r="P400" s="179"/>
      <c r="Q400" s="1"/>
      <c r="R400" s="1"/>
    </row>
    <row r="401" spans="1:18" x14ac:dyDescent="0.25">
      <c r="A401" s="13" t="s">
        <v>237</v>
      </c>
      <c r="B401" s="11" t="s">
        <v>392</v>
      </c>
      <c r="C401" s="61" t="str">
        <f>HYPERLINK("#'"&amp;Insumos_a_comprar[[#This Row],[Planilla]]&amp;"'!D1","Ir")</f>
        <v>Ir</v>
      </c>
      <c r="D401" s="11" t="s">
        <v>463</v>
      </c>
      <c r="E401" s="66" t="s">
        <v>805</v>
      </c>
      <c r="F401" s="67">
        <v>10</v>
      </c>
      <c r="G401" s="68" t="s">
        <v>7</v>
      </c>
      <c r="H401" s="72">
        <f ca="1">SUMIF(INDIRECT(SUBSTITUTE(B401," ","_")&amp;"[Insumo]"),Insumos_a_comprar[[#This Row],[Insumo]],INDIRECT(SUBSTITUTE(B401," ","_")&amp;"[Stock]"))</f>
        <v>50</v>
      </c>
      <c r="I401" s="69" t="str">
        <f ca="1">IF((Insumos_a_comprar[[#This Row],[Stock actual]]-Insumos_a_comprar[[#This Row],[Stock mínimo]])&lt;0,"Si","No")</f>
        <v>No</v>
      </c>
      <c r="J401" s="67" t="str">
        <f ca="1">INDEX(Table12[Acción],MATCH(Insumos_a_comprar[[#This Row],[Planilla]],Table12[Planilla],0))</f>
        <v>Vencido</v>
      </c>
      <c r="K401" s="71" t="s">
        <v>206</v>
      </c>
      <c r="L40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1" s="65"/>
      <c r="N401" s="65"/>
      <c r="O401" s="65"/>
      <c r="P401" s="178"/>
      <c r="Q401" s="1"/>
      <c r="R401" s="1"/>
    </row>
    <row r="402" spans="1:18" x14ac:dyDescent="0.25">
      <c r="A402" s="10" t="s">
        <v>52</v>
      </c>
      <c r="B402" s="11" t="s">
        <v>60</v>
      </c>
      <c r="C402" s="61" t="str">
        <f>HYPERLINK("#'"&amp;Insumos_a_comprar[[#This Row],[Planilla]]&amp;"'!D1","Ir")</f>
        <v>Ir</v>
      </c>
      <c r="D402" s="11" t="s">
        <v>463</v>
      </c>
      <c r="E402" s="66" t="s">
        <v>839</v>
      </c>
      <c r="F402" s="67">
        <v>100</v>
      </c>
      <c r="G402" s="68" t="s">
        <v>7</v>
      </c>
      <c r="H402" s="66">
        <f ca="1">SUMIF(INDIRECT(SUBSTITUTE(B402," ","_")&amp;"[Insumo]"),Insumos_a_comprar[[#This Row],[Insumo]],INDIRECT(SUBSTITUTE(B402," ","_")&amp;"[Stock]"))</f>
        <v>145</v>
      </c>
      <c r="I402" s="69" t="str">
        <f ca="1">IF((Insumos_a_comprar[[#This Row],[Stock actual]]-Insumos_a_comprar[[#This Row],[Stock mínimo]])&lt;0,"Si","No")</f>
        <v>No</v>
      </c>
      <c r="J402" s="67" t="str">
        <f ca="1">INDEX(Table12[Acción],MATCH(Insumos_a_comprar[[#This Row],[Planilla]],Table12[Planilla],0))</f>
        <v>Vigente</v>
      </c>
      <c r="K402" s="71">
        <v>100</v>
      </c>
      <c r="L40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2" s="65">
        <v>44245</v>
      </c>
      <c r="N402" s="65"/>
      <c r="O402" s="65">
        <v>44183</v>
      </c>
      <c r="P402" s="178"/>
      <c r="Q402" s="1"/>
      <c r="R402" s="1"/>
    </row>
    <row r="403" spans="1:18" x14ac:dyDescent="0.25">
      <c r="A403" s="10" t="s">
        <v>666</v>
      </c>
      <c r="B403" s="11" t="s">
        <v>60</v>
      </c>
      <c r="C403" s="61" t="str">
        <f>HYPERLINK("#'"&amp;Insumos_a_comprar[[#This Row],[Planilla]]&amp;"'!D1","Ir")</f>
        <v>Ir</v>
      </c>
      <c r="D403" s="11" t="s">
        <v>464</v>
      </c>
      <c r="E403" s="66" t="s">
        <v>837</v>
      </c>
      <c r="F403" s="67">
        <v>250</v>
      </c>
      <c r="G403" s="68" t="s">
        <v>7</v>
      </c>
      <c r="H403" s="66">
        <f ca="1">SUMIF(INDIRECT(SUBSTITUTE(B403," ","_")&amp;"[Insumo]"),Insumos_a_comprar[[#This Row],[Insumo]],INDIRECT(SUBSTITUTE(B403," ","_")&amp;"[Stock]"))</f>
        <v>800</v>
      </c>
      <c r="I403" s="69" t="str">
        <f ca="1">IF((Insumos_a_comprar[[#This Row],[Stock actual]]-Insumos_a_comprar[[#This Row],[Stock mínimo]])&lt;0,"Si","No")</f>
        <v>No</v>
      </c>
      <c r="J403" s="67" t="str">
        <f ca="1">INDEX(Table12[Acción],MATCH(Insumos_a_comprar[[#This Row],[Planilla]],Table12[Planilla],0))</f>
        <v>Vigente</v>
      </c>
      <c r="K403" s="71">
        <v>250</v>
      </c>
      <c r="L40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3" s="65"/>
      <c r="N403" s="65"/>
      <c r="O403" s="65"/>
      <c r="P403" s="178"/>
      <c r="Q403" s="1"/>
      <c r="R403" s="1"/>
    </row>
    <row r="404" spans="1:18" x14ac:dyDescent="0.25">
      <c r="A404" s="13" t="s">
        <v>238</v>
      </c>
      <c r="B404" s="11" t="s">
        <v>392</v>
      </c>
      <c r="C404" s="61" t="str">
        <f>HYPERLINK("#'"&amp;Insumos_a_comprar[[#This Row],[Planilla]]&amp;"'!D1","Ir")</f>
        <v>Ir</v>
      </c>
      <c r="D404" s="11" t="s">
        <v>463</v>
      </c>
      <c r="E404" s="66"/>
      <c r="F404" s="67">
        <v>100</v>
      </c>
      <c r="G404" s="68" t="s">
        <v>7</v>
      </c>
      <c r="H404" s="72">
        <f ca="1">SUMIF(INDIRECT(SUBSTITUTE(B404," ","_")&amp;"[Insumo]"),Insumos_a_comprar[[#This Row],[Insumo]],INDIRECT(SUBSTITUTE(B404," ","_")&amp;"[Stock]"))</f>
        <v>500</v>
      </c>
      <c r="I404" s="69" t="str">
        <f ca="1">IF((Insumos_a_comprar[[#This Row],[Stock actual]]-Insumos_a_comprar[[#This Row],[Stock mínimo]])&lt;0,"Si","No")</f>
        <v>No</v>
      </c>
      <c r="J404" s="67" t="str">
        <f ca="1">INDEX(Table12[Acción],MATCH(Insumos_a_comprar[[#This Row],[Planilla]],Table12[Planilla],0))</f>
        <v>Vencido</v>
      </c>
      <c r="K404" s="71"/>
      <c r="L40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4" s="65"/>
      <c r="N404" s="65"/>
      <c r="O404" s="65"/>
      <c r="P404" s="178"/>
      <c r="Q404" s="1"/>
      <c r="R404" s="1"/>
    </row>
    <row r="405" spans="1:18" x14ac:dyDescent="0.25">
      <c r="A405" s="10" t="s">
        <v>47</v>
      </c>
      <c r="B405" s="11" t="s">
        <v>60</v>
      </c>
      <c r="C405" s="61" t="str">
        <f>HYPERLINK("#'"&amp;Insumos_a_comprar[[#This Row],[Planilla]]&amp;"'!D1","Ir")</f>
        <v>Ir</v>
      </c>
      <c r="D405" s="11" t="s">
        <v>463</v>
      </c>
      <c r="E405" s="66" t="s">
        <v>817</v>
      </c>
      <c r="F405" s="67">
        <v>250</v>
      </c>
      <c r="G405" s="68" t="s">
        <v>7</v>
      </c>
      <c r="H405" s="66">
        <f ca="1">SUMIF(INDIRECT(SUBSTITUTE(B405," ","_")&amp;"[Insumo]"),Insumos_a_comprar[[#This Row],[Insumo]],INDIRECT(SUBSTITUTE(B405," ","_")&amp;"[Stock]"))</f>
        <v>215</v>
      </c>
      <c r="I405" s="69" t="str">
        <f ca="1">IF((Insumos_a_comprar[[#This Row],[Stock actual]]-Insumos_a_comprar[[#This Row],[Stock mínimo]])&lt;0,"Si","No")</f>
        <v>Si</v>
      </c>
      <c r="J405" s="67" t="str">
        <f ca="1">INDEX(Table12[Acción],MATCH(Insumos_a_comprar[[#This Row],[Planilla]],Table12[Planilla],0))</f>
        <v>Vigente</v>
      </c>
      <c r="K405" s="71">
        <v>250</v>
      </c>
      <c r="L40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Pedir</v>
      </c>
      <c r="M405" s="65"/>
      <c r="N405" s="65"/>
      <c r="O405" s="65">
        <v>44369</v>
      </c>
      <c r="P405" s="178" t="s">
        <v>1073</v>
      </c>
      <c r="Q405" s="1"/>
      <c r="R405" s="1"/>
    </row>
    <row r="406" spans="1:18" x14ac:dyDescent="0.25">
      <c r="A406" s="10" t="s">
        <v>667</v>
      </c>
      <c r="B406" s="11" t="s">
        <v>60</v>
      </c>
      <c r="C406" s="61" t="str">
        <f>HYPERLINK("#'"&amp;Insumos_a_comprar[[#This Row],[Planilla]]&amp;"'!D1","Ir")</f>
        <v>Ir</v>
      </c>
      <c r="D406" s="11" t="s">
        <v>465</v>
      </c>
      <c r="E406" s="66"/>
      <c r="F406" s="67">
        <v>250</v>
      </c>
      <c r="G406" s="68" t="s">
        <v>7</v>
      </c>
      <c r="H406" s="66">
        <f ca="1">SUMIF(INDIRECT(SUBSTITUTE(B406," ","_")&amp;"[Insumo]"),Insumos_a_comprar[[#This Row],[Insumo]],INDIRECT(SUBSTITUTE(B406," ","_")&amp;"[Stock]"))</f>
        <v>550</v>
      </c>
      <c r="I406" s="69" t="str">
        <f ca="1">IF((Insumos_a_comprar[[#This Row],[Stock actual]]-Insumos_a_comprar[[#This Row],[Stock mínimo]])&lt;0,"Si","No")</f>
        <v>No</v>
      </c>
      <c r="J406" s="67" t="str">
        <f ca="1">INDEX(Table12[Acción],MATCH(Insumos_a_comprar[[#This Row],[Planilla]],Table12[Planilla],0))</f>
        <v>Vigente</v>
      </c>
      <c r="K406" s="71">
        <v>250</v>
      </c>
      <c r="L40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6" s="65"/>
      <c r="N406" s="65"/>
      <c r="O406" s="65"/>
      <c r="P406" s="178"/>
      <c r="Q406" s="1"/>
      <c r="R406" s="1"/>
    </row>
    <row r="407" spans="1:18" ht="47.25" x14ac:dyDescent="0.25">
      <c r="A407" s="10" t="s">
        <v>672</v>
      </c>
      <c r="B407" s="11" t="s">
        <v>60</v>
      </c>
      <c r="C407" s="61" t="str">
        <f>HYPERLINK("#'"&amp;Insumos_a_comprar[[#This Row],[Planilla]]&amp;"'!D1","Ir")</f>
        <v>Ir</v>
      </c>
      <c r="D407" s="11" t="s">
        <v>463</v>
      </c>
      <c r="E407" s="66" t="s">
        <v>933</v>
      </c>
      <c r="F407" s="67">
        <v>250</v>
      </c>
      <c r="G407" s="68" t="s">
        <v>7</v>
      </c>
      <c r="H407" s="66">
        <f ca="1">SUMIF(INDIRECT(SUBSTITUTE(B407," ","_")&amp;"[Insumo]"),Insumos_a_comprar[[#This Row],[Insumo]],INDIRECT(SUBSTITUTE(B407," ","_")&amp;"[Stock]"))</f>
        <v>3300</v>
      </c>
      <c r="I407" s="69" t="str">
        <f ca="1">IF((Insumos_a_comprar[[#This Row],[Stock actual]]-Insumos_a_comprar[[#This Row],[Stock mínimo]])&lt;0,"Si","No")</f>
        <v>No</v>
      </c>
      <c r="J407" s="67" t="str">
        <f ca="1">INDEX(Table12[Acción],MATCH(Insumos_a_comprar[[#This Row],[Planilla]],Table12[Planilla],0))</f>
        <v>Vigente</v>
      </c>
      <c r="K407" s="71">
        <v>250</v>
      </c>
      <c r="L40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7" s="65"/>
      <c r="N407" s="65"/>
      <c r="O407" s="65"/>
      <c r="P407" s="178"/>
      <c r="Q407" s="1"/>
      <c r="R407" s="1"/>
    </row>
    <row r="408" spans="1:18" x14ac:dyDescent="0.25">
      <c r="A408" s="13" t="s">
        <v>239</v>
      </c>
      <c r="B408" s="11" t="s">
        <v>392</v>
      </c>
      <c r="C408" s="61" t="str">
        <f>HYPERLINK("#'"&amp;Insumos_a_comprar[[#This Row],[Planilla]]&amp;"'!D1","Ir")</f>
        <v>Ir</v>
      </c>
      <c r="D408" s="11" t="s">
        <v>463</v>
      </c>
      <c r="E408" s="66"/>
      <c r="F408" s="67">
        <v>100</v>
      </c>
      <c r="G408" s="68" t="s">
        <v>7</v>
      </c>
      <c r="H408" s="72">
        <f ca="1">SUMIF(INDIRECT(SUBSTITUTE(B408," ","_")&amp;"[Insumo]"),Insumos_a_comprar[[#This Row],[Insumo]],INDIRECT(SUBSTITUTE(B408," ","_")&amp;"[Stock]"))</f>
        <v>700</v>
      </c>
      <c r="I408" s="69" t="str">
        <f ca="1">IF((Insumos_a_comprar[[#This Row],[Stock actual]]-Insumos_a_comprar[[#This Row],[Stock mínimo]])&lt;0,"Si","No")</f>
        <v>No</v>
      </c>
      <c r="J408" s="67" t="str">
        <f ca="1">INDEX(Table12[Acción],MATCH(Insumos_a_comprar[[#This Row],[Planilla]],Table12[Planilla],0))</f>
        <v>Vencido</v>
      </c>
      <c r="K408" s="71">
        <v>100</v>
      </c>
      <c r="L40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8" s="65"/>
      <c r="N408" s="65"/>
      <c r="O408" s="65"/>
      <c r="P408" s="178"/>
      <c r="Q408" s="1"/>
      <c r="R408" s="1"/>
    </row>
    <row r="409" spans="1:18" x14ac:dyDescent="0.25">
      <c r="A409" s="13" t="s">
        <v>240</v>
      </c>
      <c r="B409" s="11" t="s">
        <v>392</v>
      </c>
      <c r="C409" s="61" t="str">
        <f>HYPERLINK("#'"&amp;Insumos_a_comprar[[#This Row],[Planilla]]&amp;"'!D1","Ir")</f>
        <v>Ir</v>
      </c>
      <c r="D409" s="11" t="s">
        <v>463</v>
      </c>
      <c r="E409" s="66" t="s">
        <v>934</v>
      </c>
      <c r="F409" s="67">
        <v>100</v>
      </c>
      <c r="G409" s="68" t="s">
        <v>7</v>
      </c>
      <c r="H409" s="72">
        <f ca="1">SUMIF(INDIRECT(SUBSTITUTE(B409," ","_")&amp;"[Insumo]"),Insumos_a_comprar[[#This Row],[Insumo]],INDIRECT(SUBSTITUTE(B409," ","_")&amp;"[Stock]"))</f>
        <v>600</v>
      </c>
      <c r="I409" s="69" t="str">
        <f ca="1">IF((Insumos_a_comprar[[#This Row],[Stock actual]]-Insumos_a_comprar[[#This Row],[Stock mínimo]])&lt;0,"Si","No")</f>
        <v>No</v>
      </c>
      <c r="J409" s="67" t="str">
        <f ca="1">INDEX(Table12[Acción],MATCH(Insumos_a_comprar[[#This Row],[Planilla]],Table12[Planilla],0))</f>
        <v>Vencido</v>
      </c>
      <c r="K409" s="71">
        <v>100</v>
      </c>
      <c r="L40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09" s="65"/>
      <c r="N409" s="65"/>
      <c r="O409" s="65"/>
      <c r="P409" s="178"/>
      <c r="Q409" s="1"/>
      <c r="R409" s="1"/>
    </row>
    <row r="410" spans="1:18" x14ac:dyDescent="0.25">
      <c r="A410" s="22" t="s">
        <v>1061</v>
      </c>
      <c r="B410" s="11" t="s">
        <v>392</v>
      </c>
      <c r="C410" s="297" t="str">
        <f>HYPERLINK("#'"&amp;Insumos_a_comprar[[#This Row],[Planilla]]&amp;"'!D1","Ir")</f>
        <v>Ir</v>
      </c>
      <c r="D410" s="290" t="s">
        <v>397</v>
      </c>
      <c r="E410" s="73"/>
      <c r="F410" s="74">
        <v>50</v>
      </c>
      <c r="G410" s="313" t="s">
        <v>7</v>
      </c>
      <c r="H410" s="76">
        <f ca="1">SUMIF(INDIRECT(SUBSTITUTE(B410," ","_")&amp;"[Insumo]"),Insumos_a_comprar[[#This Row],[Insumo]],INDIRECT(SUBSTITUTE(B410," ","_")&amp;"[Stock]"))</f>
        <v>100</v>
      </c>
      <c r="I410" s="194" t="str">
        <f ca="1">IF((Insumos_a_comprar[[#This Row],[Stock actual]]-Insumos_a_comprar[[#This Row],[Stock mínimo]])&lt;0,"Si","No")</f>
        <v>No</v>
      </c>
      <c r="J410" s="77" t="str">
        <f ca="1">INDEX(Table12[Acción],MATCH(Insumos_a_comprar[[#This Row],[Planilla]],Table12[Planilla],0))</f>
        <v>Vencido</v>
      </c>
      <c r="K410" s="77">
        <v>250</v>
      </c>
      <c r="L410" s="366"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0" s="367"/>
      <c r="N410" s="367"/>
      <c r="O410" s="367"/>
      <c r="P410" s="179"/>
      <c r="Q410" s="1"/>
      <c r="R410" s="1"/>
    </row>
    <row r="411" spans="1:18" ht="31.5" x14ac:dyDescent="0.25">
      <c r="A411" s="13" t="s">
        <v>679</v>
      </c>
      <c r="B411" s="11" t="s">
        <v>393</v>
      </c>
      <c r="C411" s="61" t="str">
        <f>HYPERLINK("#'"&amp;Insumos_a_comprar[[#This Row],[Planilla]]&amp;"'!D1","Ir")</f>
        <v>Ir</v>
      </c>
      <c r="D411" s="11" t="s">
        <v>463</v>
      </c>
      <c r="E411" s="66"/>
      <c r="F411" s="67">
        <v>100</v>
      </c>
      <c r="G411" s="68" t="s">
        <v>7</v>
      </c>
      <c r="H411" s="72">
        <f ca="1">SUMIF(INDIRECT(SUBSTITUTE(B411," ","_")&amp;"[Insumo]"),Insumos_a_comprar[[#This Row],[Insumo]],INDIRECT(SUBSTITUTE(B411," ","_")&amp;"[Stock]"))</f>
        <v>250</v>
      </c>
      <c r="I411" s="69" t="str">
        <f ca="1">IF((Insumos_a_comprar[[#This Row],[Stock actual]]-Insumos_a_comprar[[#This Row],[Stock mínimo]])&lt;0,"Si","No")</f>
        <v>No</v>
      </c>
      <c r="J411" s="67" t="str">
        <f ca="1">INDEX(Table12[Acción],MATCH(Insumos_a_comprar[[#This Row],[Planilla]],Table12[Planilla],0))</f>
        <v>Vencido</v>
      </c>
      <c r="K411" s="71">
        <v>250</v>
      </c>
      <c r="L41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1" s="65"/>
      <c r="N411" s="65"/>
      <c r="O411" s="65"/>
      <c r="P411" s="178"/>
      <c r="Q411" s="1"/>
      <c r="R411" s="1"/>
    </row>
    <row r="412" spans="1:18" x14ac:dyDescent="0.25">
      <c r="A412" s="10" t="s">
        <v>668</v>
      </c>
      <c r="B412" s="11" t="s">
        <v>60</v>
      </c>
      <c r="C412" s="61" t="str">
        <f>HYPERLINK("#'"&amp;Insumos_a_comprar[[#This Row],[Planilla]]&amp;"'!D1","Ir")</f>
        <v>Ir</v>
      </c>
      <c r="D412" s="11" t="s">
        <v>463</v>
      </c>
      <c r="E412" s="66" t="s">
        <v>821</v>
      </c>
      <c r="F412" s="67">
        <v>250</v>
      </c>
      <c r="G412" s="68" t="s">
        <v>7</v>
      </c>
      <c r="H412" s="66">
        <f ca="1">SUMIF(INDIRECT(SUBSTITUTE(B412," ","_")&amp;"[Insumo]"),Insumos_a_comprar[[#This Row],[Insumo]],INDIRECT(SUBSTITUTE(B412," ","_")&amp;"[Stock]"))</f>
        <v>580</v>
      </c>
      <c r="I412" s="69" t="str">
        <f ca="1">IF((Insumos_a_comprar[[#This Row],[Stock actual]]-Insumos_a_comprar[[#This Row],[Stock mínimo]])&lt;0,"Si","No")</f>
        <v>No</v>
      </c>
      <c r="J412" s="67" t="str">
        <f ca="1">INDEX(Table12[Acción],MATCH(Insumos_a_comprar[[#This Row],[Planilla]],Table12[Planilla],0))</f>
        <v>Vigente</v>
      </c>
      <c r="K412" s="71">
        <v>250</v>
      </c>
      <c r="L41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2" s="65"/>
      <c r="N412" s="65"/>
      <c r="O412" s="65">
        <v>44369</v>
      </c>
      <c r="P412" s="178"/>
      <c r="Q412" s="1"/>
      <c r="R412" s="1"/>
    </row>
    <row r="413" spans="1:18" x14ac:dyDescent="0.25">
      <c r="A413" s="13" t="s">
        <v>695</v>
      </c>
      <c r="B413" s="11" t="s">
        <v>392</v>
      </c>
      <c r="C413" s="61" t="str">
        <f>HYPERLINK("#'"&amp;Insumos_a_comprar[[#This Row],[Planilla]]&amp;"'!D1","Ir")</f>
        <v>Ir</v>
      </c>
      <c r="D413" s="11" t="s">
        <v>463</v>
      </c>
      <c r="E413" s="66"/>
      <c r="F413" s="67">
        <v>100</v>
      </c>
      <c r="G413" s="68" t="s">
        <v>7</v>
      </c>
      <c r="H413" s="72">
        <f ca="1">SUMIF(INDIRECT(SUBSTITUTE(B413," ","_")&amp;"[Insumo]"),Insumos_a_comprar[[#This Row],[Insumo]],INDIRECT(SUBSTITUTE(B413," ","_")&amp;"[Stock]"))</f>
        <v>450</v>
      </c>
      <c r="I413" s="69" t="str">
        <f ca="1">IF((Insumos_a_comprar[[#This Row],[Stock actual]]-Insumos_a_comprar[[#This Row],[Stock mínimo]])&lt;0,"Si","No")</f>
        <v>No</v>
      </c>
      <c r="J413" s="67" t="str">
        <f ca="1">INDEX(Table12[Acción],MATCH(Insumos_a_comprar[[#This Row],[Planilla]],Table12[Planilla],0))</f>
        <v>Vencido</v>
      </c>
      <c r="K413" s="71">
        <v>100</v>
      </c>
      <c r="L41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3" s="65"/>
      <c r="N413" s="65"/>
      <c r="O413" s="65"/>
      <c r="P413" s="178"/>
      <c r="Q413" s="1"/>
      <c r="R413" s="1"/>
    </row>
    <row r="414" spans="1:18" ht="31.5" x14ac:dyDescent="0.25">
      <c r="A414" s="10" t="s">
        <v>587</v>
      </c>
      <c r="B414" s="11" t="s">
        <v>60</v>
      </c>
      <c r="C414" s="61" t="str">
        <f>HYPERLINK("#'"&amp;Insumos_a_comprar[[#This Row],[Planilla]]&amp;"'!D1","Ir")</f>
        <v>Ir</v>
      </c>
      <c r="D414" s="11" t="s">
        <v>465</v>
      </c>
      <c r="E414" s="66" t="s">
        <v>840</v>
      </c>
      <c r="F414" s="67">
        <v>5000</v>
      </c>
      <c r="G414" s="68" t="s">
        <v>7</v>
      </c>
      <c r="H414" s="66">
        <f ca="1">SUMIF(INDIRECT(SUBSTITUTE(B414," ","_")&amp;"[Insumo]"),Insumos_a_comprar[[#This Row],[Insumo]],INDIRECT(SUBSTITUTE(B414," ","_")&amp;"[Stock]"))</f>
        <v>6600</v>
      </c>
      <c r="I414" s="69" t="str">
        <f ca="1">IF((Insumos_a_comprar[[#This Row],[Stock actual]]-Insumos_a_comprar[[#This Row],[Stock mínimo]])&lt;0,"Si","No")</f>
        <v>No</v>
      </c>
      <c r="J414" s="67" t="str">
        <f ca="1">INDEX(Table12[Acción],MATCH(Insumos_a_comprar[[#This Row],[Planilla]],Table12[Planilla],0))</f>
        <v>Vigente</v>
      </c>
      <c r="K414" s="71">
        <v>5000</v>
      </c>
      <c r="L41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4" s="65"/>
      <c r="N414" s="65"/>
      <c r="O414" s="65"/>
      <c r="P414" s="178"/>
      <c r="Q414" s="1"/>
      <c r="R414" s="1"/>
    </row>
    <row r="415" spans="1:18" x14ac:dyDescent="0.25">
      <c r="A415" s="13" t="s">
        <v>696</v>
      </c>
      <c r="B415" s="11" t="s">
        <v>392</v>
      </c>
      <c r="C415" s="61" t="str">
        <f>HYPERLINK("#'"&amp;Insumos_a_comprar[[#This Row],[Planilla]]&amp;"'!D1","Ir")</f>
        <v>Ir</v>
      </c>
      <c r="D415" s="11" t="s">
        <v>463</v>
      </c>
      <c r="E415" s="66" t="s">
        <v>841</v>
      </c>
      <c r="F415" s="67">
        <v>100</v>
      </c>
      <c r="G415" s="68" t="s">
        <v>7</v>
      </c>
      <c r="H415" s="72">
        <f ca="1">SUMIF(INDIRECT(SUBSTITUTE(B415," ","_")&amp;"[Insumo]"),Insumos_a_comprar[[#This Row],[Insumo]],INDIRECT(SUBSTITUTE(B415," ","_")&amp;"[Stock]"))</f>
        <v>400</v>
      </c>
      <c r="I415" s="69" t="str">
        <f ca="1">IF((Insumos_a_comprar[[#This Row],[Stock actual]]-Insumos_a_comprar[[#This Row],[Stock mínimo]])&lt;0,"Si","No")</f>
        <v>No</v>
      </c>
      <c r="J415" s="67" t="str">
        <f ca="1">INDEX(Table12[Acción],MATCH(Insumos_a_comprar[[#This Row],[Planilla]],Table12[Planilla],0))</f>
        <v>Vencido</v>
      </c>
      <c r="K415" s="71">
        <v>100</v>
      </c>
      <c r="L41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5" s="65"/>
      <c r="N415" s="65"/>
      <c r="O415" s="65"/>
      <c r="P415" s="178"/>
      <c r="Q415" s="1"/>
      <c r="R415" s="1"/>
    </row>
    <row r="416" spans="1:18" ht="31.5" x14ac:dyDescent="0.25">
      <c r="A416" s="13" t="s">
        <v>241</v>
      </c>
      <c r="B416" s="11" t="s">
        <v>392</v>
      </c>
      <c r="C416" s="61" t="str">
        <f>HYPERLINK("#'"&amp;Insumos_a_comprar[[#This Row],[Planilla]]&amp;"'!D1","Ir")</f>
        <v>Ir</v>
      </c>
      <c r="D416" s="11" t="s">
        <v>463</v>
      </c>
      <c r="E416" s="66" t="s">
        <v>935</v>
      </c>
      <c r="F416" s="67">
        <v>100</v>
      </c>
      <c r="G416" s="68" t="s">
        <v>7</v>
      </c>
      <c r="H416" s="72">
        <f ca="1">SUMIF(INDIRECT(SUBSTITUTE(B416," ","_")&amp;"[Insumo]"),Insumos_a_comprar[[#This Row],[Insumo]],INDIRECT(SUBSTITUTE(B416," ","_")&amp;"[Stock]"))</f>
        <v>0</v>
      </c>
      <c r="I416" s="69" t="str">
        <f ca="1">IF((Insumos_a_comprar[[#This Row],[Stock actual]]-Insumos_a_comprar[[#This Row],[Stock mínimo]])&lt;0,"Si","No")</f>
        <v>Si</v>
      </c>
      <c r="J416" s="67" t="str">
        <f ca="1">INDEX(Table12[Acción],MATCH(Insumos_a_comprar[[#This Row],[Planilla]],Table12[Planilla],0))</f>
        <v>Vencido</v>
      </c>
      <c r="K416" s="71">
        <v>100</v>
      </c>
      <c r="L41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416" s="65">
        <v>44245</v>
      </c>
      <c r="N416" s="65"/>
      <c r="O416" s="65"/>
      <c r="P416" s="178" t="s">
        <v>1066</v>
      </c>
      <c r="Q416" s="1"/>
      <c r="R416" s="1"/>
    </row>
    <row r="417" spans="1:18" x14ac:dyDescent="0.25">
      <c r="A417" s="13" t="s">
        <v>242</v>
      </c>
      <c r="B417" s="11" t="s">
        <v>392</v>
      </c>
      <c r="C417" s="61" t="str">
        <f>HYPERLINK("#'"&amp;Insumos_a_comprar[[#This Row],[Planilla]]&amp;"'!D1","Ir")</f>
        <v>Ir</v>
      </c>
      <c r="D417" s="11" t="s">
        <v>463</v>
      </c>
      <c r="E417" s="66" t="s">
        <v>936</v>
      </c>
      <c r="F417" s="67">
        <v>100</v>
      </c>
      <c r="G417" s="68" t="s">
        <v>7</v>
      </c>
      <c r="H417" s="72">
        <f ca="1">SUMIF(INDIRECT(SUBSTITUTE(B417," ","_")&amp;"[Insumo]"),Insumos_a_comprar[[#This Row],[Insumo]],INDIRECT(SUBSTITUTE(B417," ","_")&amp;"[Stock]"))</f>
        <v>250</v>
      </c>
      <c r="I417" s="69" t="str">
        <f ca="1">IF((Insumos_a_comprar[[#This Row],[Stock actual]]-Insumos_a_comprar[[#This Row],[Stock mínimo]])&lt;0,"Si","No")</f>
        <v>No</v>
      </c>
      <c r="J417" s="67" t="str">
        <f ca="1">INDEX(Table12[Acción],MATCH(Insumos_a_comprar[[#This Row],[Planilla]],Table12[Planilla],0))</f>
        <v>Vencido</v>
      </c>
      <c r="K417" s="71">
        <v>100</v>
      </c>
      <c r="L41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7" s="65"/>
      <c r="N417" s="65"/>
      <c r="O417" s="65"/>
      <c r="P417" s="178"/>
      <c r="Q417" s="1"/>
      <c r="R417" s="1"/>
    </row>
    <row r="418" spans="1:18" x14ac:dyDescent="0.25">
      <c r="A418" s="10" t="s">
        <v>669</v>
      </c>
      <c r="B418" s="11" t="s">
        <v>60</v>
      </c>
      <c r="C418" s="61" t="str">
        <f>HYPERLINK("#'"&amp;Insumos_a_comprar[[#This Row],[Planilla]]&amp;"'!D1","Ir")</f>
        <v>Ir</v>
      </c>
      <c r="D418" s="11" t="s">
        <v>463</v>
      </c>
      <c r="E418" s="66" t="s">
        <v>937</v>
      </c>
      <c r="F418" s="67">
        <v>250</v>
      </c>
      <c r="G418" s="68" t="s">
        <v>7</v>
      </c>
      <c r="H418" s="66">
        <f ca="1">SUMIF(INDIRECT(SUBSTITUTE(B418," ","_")&amp;"[Insumo]"),Insumos_a_comprar[[#This Row],[Insumo]],INDIRECT(SUBSTITUTE(B418," ","_")&amp;"[Stock]"))</f>
        <v>290</v>
      </c>
      <c r="I418" s="69" t="str">
        <f ca="1">IF((Insumos_a_comprar[[#This Row],[Stock actual]]-Insumos_a_comprar[[#This Row],[Stock mínimo]])&lt;0,"Si","No")</f>
        <v>No</v>
      </c>
      <c r="J418" s="67" t="str">
        <f ca="1">INDEX(Table12[Acción],MATCH(Insumos_a_comprar[[#This Row],[Planilla]],Table12[Planilla],0))</f>
        <v>Vigente</v>
      </c>
      <c r="K418" s="71">
        <v>250</v>
      </c>
      <c r="L41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8" s="65"/>
      <c r="N418" s="65"/>
      <c r="O418" s="65">
        <v>44175</v>
      </c>
      <c r="P418" s="178"/>
      <c r="Q418" s="1"/>
      <c r="R418" s="1"/>
    </row>
    <row r="419" spans="1:18" ht="31.5" x14ac:dyDescent="0.25">
      <c r="A419" s="10" t="s">
        <v>673</v>
      </c>
      <c r="B419" s="11" t="s">
        <v>60</v>
      </c>
      <c r="C419" s="61" t="str">
        <f>HYPERLINK("#'"&amp;Insumos_a_comprar[[#This Row],[Planilla]]&amp;"'!D1","Ir")</f>
        <v>Ir</v>
      </c>
      <c r="D419" s="11" t="s">
        <v>465</v>
      </c>
      <c r="E419" s="66" t="s">
        <v>842</v>
      </c>
      <c r="F419" s="67">
        <v>2000</v>
      </c>
      <c r="G419" s="68" t="s">
        <v>7</v>
      </c>
      <c r="H419" s="66">
        <f ca="1">SUMIF(INDIRECT(SUBSTITUTE(B419," ","_")&amp;"[Insumo]"),Insumos_a_comprar[[#This Row],[Insumo]],INDIRECT(SUBSTITUTE(B419," ","_")&amp;"[Stock]"))</f>
        <v>4350</v>
      </c>
      <c r="I419" s="69" t="str">
        <f ca="1">IF((Insumos_a_comprar[[#This Row],[Stock actual]]-Insumos_a_comprar[[#This Row],[Stock mínimo]])&lt;0,"Si","No")</f>
        <v>No</v>
      </c>
      <c r="J419" s="67" t="str">
        <f ca="1">INDEX(Table12[Acción],MATCH(Insumos_a_comprar[[#This Row],[Planilla]],Table12[Planilla],0))</f>
        <v>Vigente</v>
      </c>
      <c r="K419" s="71">
        <v>2000</v>
      </c>
      <c r="L41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19" s="65"/>
      <c r="N419" s="65"/>
      <c r="O419" s="65"/>
      <c r="P419" s="178"/>
      <c r="Q419" s="1"/>
      <c r="R419" s="1"/>
    </row>
    <row r="420" spans="1:18" x14ac:dyDescent="0.25">
      <c r="A420" s="13" t="s">
        <v>243</v>
      </c>
      <c r="B420" s="11" t="s">
        <v>392</v>
      </c>
      <c r="C420" s="61" t="str">
        <f>HYPERLINK("#'"&amp;Insumos_a_comprar[[#This Row],[Planilla]]&amp;"'!D1","Ir")</f>
        <v>Ir</v>
      </c>
      <c r="D420" s="11" t="s">
        <v>463</v>
      </c>
      <c r="E420" s="66"/>
      <c r="F420" s="67">
        <v>100</v>
      </c>
      <c r="G420" s="68" t="s">
        <v>7</v>
      </c>
      <c r="H420" s="72">
        <f ca="1">SUMIF(INDIRECT(SUBSTITUTE(B420," ","_")&amp;"[Insumo]"),Insumos_a_comprar[[#This Row],[Insumo]],INDIRECT(SUBSTITUTE(B420," ","_")&amp;"[Stock]"))</f>
        <v>600</v>
      </c>
      <c r="I420" s="69" t="str">
        <f ca="1">IF((Insumos_a_comprar[[#This Row],[Stock actual]]-Insumos_a_comprar[[#This Row],[Stock mínimo]])&lt;0,"Si","No")</f>
        <v>No</v>
      </c>
      <c r="J420" s="67" t="str">
        <f ca="1">INDEX(Table12[Acción],MATCH(Insumos_a_comprar[[#This Row],[Planilla]],Table12[Planilla],0))</f>
        <v>Vencido</v>
      </c>
      <c r="K420" s="71">
        <v>100</v>
      </c>
      <c r="L42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20" s="65"/>
      <c r="N420" s="65"/>
      <c r="O420" s="65"/>
      <c r="P420" s="178"/>
      <c r="Q420" s="1"/>
      <c r="R420" s="1"/>
    </row>
    <row r="421" spans="1:18" x14ac:dyDescent="0.25">
      <c r="A421" s="13" t="s">
        <v>244</v>
      </c>
      <c r="B421" s="11" t="s">
        <v>392</v>
      </c>
      <c r="C421" s="61" t="str">
        <f>HYPERLINK("#'"&amp;Insumos_a_comprar[[#This Row],[Planilla]]&amp;"'!D1","Ir")</f>
        <v>Ir</v>
      </c>
      <c r="D421" s="11" t="s">
        <v>463</v>
      </c>
      <c r="E421" s="66" t="s">
        <v>930</v>
      </c>
      <c r="F421" s="67">
        <v>100</v>
      </c>
      <c r="G421" s="68" t="s">
        <v>7</v>
      </c>
      <c r="H421" s="72">
        <f ca="1">SUMIF(INDIRECT(SUBSTITUTE(B421," ","_")&amp;"[Insumo]"),Insumos_a_comprar[[#This Row],[Insumo]],INDIRECT(SUBSTITUTE(B421," ","_")&amp;"[Stock]"))</f>
        <v>100</v>
      </c>
      <c r="I421" s="69" t="str">
        <f ca="1">IF((Insumos_a_comprar[[#This Row],[Stock actual]]-Insumos_a_comprar[[#This Row],[Stock mínimo]])&lt;0,"Si","No")</f>
        <v>No</v>
      </c>
      <c r="J421" s="67" t="str">
        <f ca="1">INDEX(Table12[Acción],MATCH(Insumos_a_comprar[[#This Row],[Planilla]],Table12[Planilla],0))</f>
        <v>Vencido</v>
      </c>
      <c r="K421" s="71">
        <v>100</v>
      </c>
      <c r="L42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21" s="65"/>
      <c r="N421" s="65"/>
      <c r="O421" s="65"/>
      <c r="P421" s="178"/>
      <c r="Q421" s="1"/>
      <c r="R421" s="1"/>
    </row>
    <row r="422" spans="1:18" x14ac:dyDescent="0.25">
      <c r="A422" s="10" t="s">
        <v>670</v>
      </c>
      <c r="B422" s="11" t="s">
        <v>60</v>
      </c>
      <c r="C422" s="61" t="str">
        <f>HYPERLINK("#'"&amp;Insumos_a_comprar[[#This Row],[Planilla]]&amp;"'!D1","Ir")</f>
        <v>Ir</v>
      </c>
      <c r="D422" s="11" t="s">
        <v>463</v>
      </c>
      <c r="E422" s="66" t="s">
        <v>930</v>
      </c>
      <c r="F422" s="67">
        <v>250</v>
      </c>
      <c r="G422" s="68" t="s">
        <v>7</v>
      </c>
      <c r="H422" s="66">
        <f ca="1">SUMIF(INDIRECT(SUBSTITUTE(B422," ","_")&amp;"[Insumo]"),Insumos_a_comprar[[#This Row],[Insumo]],INDIRECT(SUBSTITUTE(B422," ","_")&amp;"[Stock]"))</f>
        <v>400</v>
      </c>
      <c r="I422" s="69" t="str">
        <f ca="1">IF((Insumos_a_comprar[[#This Row],[Stock actual]]-Insumos_a_comprar[[#This Row],[Stock mínimo]])&lt;0,"Si","No")</f>
        <v>No</v>
      </c>
      <c r="J422" s="67" t="str">
        <f ca="1">INDEX(Table12[Acción],MATCH(Insumos_a_comprar[[#This Row],[Planilla]],Table12[Planilla],0))</f>
        <v>Vigente</v>
      </c>
      <c r="K422" s="71">
        <v>250</v>
      </c>
      <c r="L42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22" s="65"/>
      <c r="N422" s="65"/>
      <c r="O422" s="65"/>
      <c r="P422" s="178"/>
      <c r="Q422" s="1"/>
      <c r="R422" s="1"/>
    </row>
    <row r="423" spans="1:18" x14ac:dyDescent="0.25">
      <c r="A423" s="22" t="s">
        <v>713</v>
      </c>
      <c r="B423" s="23" t="s">
        <v>739</v>
      </c>
      <c r="C423" s="61" t="str">
        <f>HYPERLINK("#'"&amp;Insumos_a_comprar[[#This Row],[Planilla]]&amp;"'!D1","Ir")</f>
        <v>Ir</v>
      </c>
      <c r="D423" s="11" t="s">
        <v>397</v>
      </c>
      <c r="E423" s="73" t="s">
        <v>397</v>
      </c>
      <c r="F423" s="74">
        <v>0.5</v>
      </c>
      <c r="G423" s="75" t="s">
        <v>65</v>
      </c>
      <c r="H423" s="76">
        <f ca="1">SUMIF(INDIRECT(SUBSTITUTE(B423," ","_")&amp;"[Insumo]"),Insumos_a_comprar[[#This Row],[Insumo]],INDIRECT(SUBSTITUTE(B423," ","_")&amp;"[Stock]"))</f>
        <v>1</v>
      </c>
      <c r="I423" s="69" t="str">
        <f ca="1">IF((Insumos_a_comprar[[#This Row],[Stock actual]]-Insumos_a_comprar[[#This Row],[Stock mínimo]])&lt;0,"Si","No")</f>
        <v>No</v>
      </c>
      <c r="J423" s="77" t="str">
        <f ca="1">INDEX(Table12[Acción],MATCH(Insumos_a_comprar[[#This Row],[Planilla]],Table12[Planilla],0))</f>
        <v>Vencido</v>
      </c>
      <c r="K423" s="77">
        <v>1</v>
      </c>
      <c r="L42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23" s="367"/>
      <c r="N423" s="367"/>
      <c r="O423" s="367"/>
      <c r="P423" s="179"/>
      <c r="Q423" s="1"/>
      <c r="R423" s="1"/>
    </row>
    <row r="424" spans="1:18" x14ac:dyDescent="0.25">
      <c r="A424" s="22" t="s">
        <v>778</v>
      </c>
      <c r="B424" s="23" t="s">
        <v>739</v>
      </c>
      <c r="C424" s="61" t="str">
        <f>HYPERLINK("#'"&amp;Insumos_a_comprar[[#This Row],[Planilla]]&amp;"'!D1","Ir")</f>
        <v>Ir</v>
      </c>
      <c r="D424" s="11" t="s">
        <v>397</v>
      </c>
      <c r="E424" s="73" t="s">
        <v>397</v>
      </c>
      <c r="F424" s="74">
        <v>0.5</v>
      </c>
      <c r="G424" s="75"/>
      <c r="H424" s="76">
        <f ca="1">SUMIF(INDIRECT(SUBSTITUTE(B424," ","_")&amp;"[Insumo]"),Insumos_a_comprar[[#This Row],[Insumo]],INDIRECT(SUBSTITUTE(B424," ","_")&amp;"[Stock]"))</f>
        <v>1</v>
      </c>
      <c r="I424" s="69" t="str">
        <f ca="1">IF((Insumos_a_comprar[[#This Row],[Stock actual]]-Insumos_a_comprar[[#This Row],[Stock mínimo]])&lt;0,"Si","No")</f>
        <v>No</v>
      </c>
      <c r="J424" s="77" t="str">
        <f ca="1">INDEX(Table12[Acción],MATCH(Insumos_a_comprar[[#This Row],[Planilla]],Table12[Planilla],0))</f>
        <v>Vencido</v>
      </c>
      <c r="K424" s="77">
        <v>1</v>
      </c>
      <c r="L42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24" s="367"/>
      <c r="N424" s="367"/>
      <c r="O424" s="367"/>
      <c r="P424" s="179"/>
      <c r="Q424" s="1"/>
      <c r="R424" s="1"/>
    </row>
    <row r="425" spans="1:18" x14ac:dyDescent="0.25">
      <c r="A425" s="10" t="s">
        <v>671</v>
      </c>
      <c r="B425" s="11" t="s">
        <v>60</v>
      </c>
      <c r="C425" s="61" t="str">
        <f>HYPERLINK("#'"&amp;Insumos_a_comprar[[#This Row],[Planilla]]&amp;"'!D1","Ir")</f>
        <v>Ir</v>
      </c>
      <c r="D425" s="11" t="s">
        <v>463</v>
      </c>
      <c r="E425" s="66" t="s">
        <v>806</v>
      </c>
      <c r="F425" s="67">
        <v>250</v>
      </c>
      <c r="G425" s="68" t="s">
        <v>7</v>
      </c>
      <c r="H425" s="66">
        <f ca="1">SUMIF(INDIRECT(SUBSTITUTE(B425," ","_")&amp;"[Insumo]"),Insumos_a_comprar[[#This Row],[Insumo]],INDIRECT(SUBSTITUTE(B425," ","_")&amp;"[Stock]"))</f>
        <v>100</v>
      </c>
      <c r="I425" s="69" t="str">
        <f ca="1">IF((Insumos_a_comprar[[#This Row],[Stock actual]]-Insumos_a_comprar[[#This Row],[Stock mínimo]])&lt;0,"Si","No")</f>
        <v>Si</v>
      </c>
      <c r="J425" s="67" t="str">
        <f ca="1">INDEX(Table12[Acción],MATCH(Insumos_a_comprar[[#This Row],[Planilla]],Table12[Planilla],0))</f>
        <v>Vigente</v>
      </c>
      <c r="K425" s="71">
        <v>250</v>
      </c>
      <c r="L42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425" s="65">
        <v>44245</v>
      </c>
      <c r="N425" s="65"/>
      <c r="O425" s="65">
        <v>44175</v>
      </c>
      <c r="P425" s="178" t="s">
        <v>1017</v>
      </c>
      <c r="Q425" s="1"/>
      <c r="R425" s="1"/>
    </row>
    <row r="426" spans="1:18" x14ac:dyDescent="0.25">
      <c r="A426" s="10" t="s">
        <v>169</v>
      </c>
      <c r="B426" s="11" t="s">
        <v>400</v>
      </c>
      <c r="C426" s="61" t="str">
        <f>HYPERLINK("#'"&amp;Insumos_a_comprar[[#This Row],[Planilla]]&amp;"'!D1","Ir")</f>
        <v>Ir</v>
      </c>
      <c r="D426" s="11" t="s">
        <v>397</v>
      </c>
      <c r="E426" s="66" t="s">
        <v>805</v>
      </c>
      <c r="F426" s="67">
        <v>200</v>
      </c>
      <c r="G426" s="68" t="s">
        <v>152</v>
      </c>
      <c r="H426" s="72">
        <f ca="1">SUMIF(INDIRECT(SUBSTITUTE(B426," ","_")&amp;"[Insumo]"),Insumos_a_comprar[[#This Row],[Insumo]],INDIRECT(SUBSTITUTE(B426," ","_")&amp;"[Stock]"))</f>
        <v>382</v>
      </c>
      <c r="I426" s="69" t="str">
        <f ca="1">IF((Insumos_a_comprar[[#This Row],[Stock actual]]-Insumos_a_comprar[[#This Row],[Stock mínimo]])&lt;0,"Si","No")</f>
        <v>No</v>
      </c>
      <c r="J426" s="67" t="str">
        <f ca="1">INDEX(Table12[Acción],MATCH(Insumos_a_comprar[[#This Row],[Planilla]],Table12[Planilla],0))</f>
        <v>Vencido</v>
      </c>
      <c r="K426" s="71"/>
      <c r="L42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26" s="65"/>
      <c r="N426" s="65"/>
      <c r="O426" s="65"/>
      <c r="P426" s="178"/>
      <c r="Q426" s="1"/>
      <c r="R426" s="1"/>
    </row>
    <row r="427" spans="1:18" x14ac:dyDescent="0.25">
      <c r="A427" s="22" t="s">
        <v>996</v>
      </c>
      <c r="B427" s="23" t="s">
        <v>63</v>
      </c>
      <c r="C427" s="193" t="str">
        <f>HYPERLINK("#'"&amp;Insumos_a_comprar[[#This Row],[Planilla]]&amp;"'!D1","Ir")</f>
        <v>Ir</v>
      </c>
      <c r="D427" s="23" t="s">
        <v>397</v>
      </c>
      <c r="E427" s="73"/>
      <c r="F427" s="74">
        <v>2</v>
      </c>
      <c r="G427" s="75" t="s">
        <v>65</v>
      </c>
      <c r="H427" s="76">
        <f ca="1">SUMIF(INDIRECT(SUBSTITUTE(B427," ","_")&amp;"[Insumo]"),Insumos_a_comprar[[#This Row],[Insumo]],INDIRECT(SUBSTITUTE(B427," ","_")&amp;"[Stock]"))</f>
        <v>1</v>
      </c>
      <c r="I427" s="194" t="str">
        <f ca="1">IF((Insumos_a_comprar[[#This Row],[Stock actual]]-Insumos_a_comprar[[#This Row],[Stock mínimo]])&lt;0,"Si","No")</f>
        <v>Si</v>
      </c>
      <c r="J427" s="77" t="str">
        <f ca="1">INDEX(Table12[Acción],MATCH(Insumos_a_comprar[[#This Row],[Planilla]],Table12[Planilla],0))</f>
        <v>Constante</v>
      </c>
      <c r="K427" s="77"/>
      <c r="L42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427" s="367">
        <v>44245</v>
      </c>
      <c r="N427" s="367">
        <v>44042</v>
      </c>
      <c r="O427" s="367"/>
      <c r="P427" s="179"/>
      <c r="Q427" s="1"/>
      <c r="R427" s="1"/>
    </row>
    <row r="428" spans="1:18" x14ac:dyDescent="0.25">
      <c r="A428" s="22" t="s">
        <v>997</v>
      </c>
      <c r="B428" s="23" t="s">
        <v>63</v>
      </c>
      <c r="C428" s="193" t="str">
        <f>HYPERLINK("#'"&amp;Insumos_a_comprar[[#This Row],[Planilla]]&amp;"'!D1","Ir")</f>
        <v>Ir</v>
      </c>
      <c r="D428" s="23" t="s">
        <v>397</v>
      </c>
      <c r="E428" s="73"/>
      <c r="F428" s="74">
        <v>2</v>
      </c>
      <c r="G428" s="75" t="s">
        <v>65</v>
      </c>
      <c r="H428" s="76">
        <f ca="1">SUMIF(INDIRECT(SUBSTITUTE(B428," ","_")&amp;"[Insumo]"),Insumos_a_comprar[[#This Row],[Insumo]],INDIRECT(SUBSTITUTE(B428," ","_")&amp;"[Stock]"))</f>
        <v>4</v>
      </c>
      <c r="I428" s="194" t="str">
        <f ca="1">IF((Insumos_a_comprar[[#This Row],[Stock actual]]-Insumos_a_comprar[[#This Row],[Stock mínimo]])&lt;0,"Si","No")</f>
        <v>No</v>
      </c>
      <c r="J428" s="77" t="str">
        <f ca="1">INDEX(Table12[Acción],MATCH(Insumos_a_comprar[[#This Row],[Planilla]],Table12[Planilla],0))</f>
        <v>Constante</v>
      </c>
      <c r="K428" s="77"/>
      <c r="L42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28" s="367"/>
      <c r="N428" s="367"/>
      <c r="O428" s="367"/>
      <c r="P428" s="179"/>
      <c r="Q428" s="1"/>
      <c r="R428" s="1"/>
    </row>
    <row r="429" spans="1:18" x14ac:dyDescent="0.25">
      <c r="A429" s="10" t="s">
        <v>683</v>
      </c>
      <c r="B429" s="11" t="s">
        <v>398</v>
      </c>
      <c r="C429" s="61" t="str">
        <f>HYPERLINK("#'"&amp;Insumos_a_comprar[[#This Row],[Planilla]]&amp;"'!D1","Ir")</f>
        <v>Ir</v>
      </c>
      <c r="D429" s="11" t="s">
        <v>463</v>
      </c>
      <c r="E429" s="66" t="s">
        <v>854</v>
      </c>
      <c r="F429" s="67">
        <v>0.5</v>
      </c>
      <c r="G429" s="68" t="s">
        <v>399</v>
      </c>
      <c r="H429" s="72">
        <f ca="1">SUMIF(INDIRECT(SUBSTITUTE(B429," ","_")&amp;"[Insumo]"),Insumos_a_comprar[[#This Row],[Insumo]],INDIRECT(SUBSTITUTE(B429," ","_")&amp;"[Stock]"))</f>
        <v>1.4</v>
      </c>
      <c r="I429" s="69" t="str">
        <f ca="1">IF((Insumos_a_comprar[[#This Row],[Stock actual]]-Insumos_a_comprar[[#This Row],[Stock mínimo]])&lt;0,"Si","No")</f>
        <v>No</v>
      </c>
      <c r="J429" s="67" t="str">
        <f ca="1">INDEX(Table12[Acción],MATCH(Insumos_a_comprar[[#This Row],[Planilla]],Table12[Planilla],0))</f>
        <v>Vigente</v>
      </c>
      <c r="K429" s="71">
        <v>1</v>
      </c>
      <c r="L42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29" s="65"/>
      <c r="N429" s="65"/>
      <c r="O429" s="65"/>
      <c r="P429" s="178"/>
      <c r="Q429" s="1"/>
      <c r="R429" s="1"/>
    </row>
    <row r="430" spans="1:18" x14ac:dyDescent="0.25">
      <c r="A430" s="10" t="s">
        <v>174</v>
      </c>
      <c r="B430" s="11" t="s">
        <v>400</v>
      </c>
      <c r="C430" s="61" t="str">
        <f>HYPERLINK("#'"&amp;Insumos_a_comprar[[#This Row],[Planilla]]&amp;"'!D1","Ir")</f>
        <v>Ir</v>
      </c>
      <c r="D430" s="11" t="s">
        <v>397</v>
      </c>
      <c r="E430" s="66" t="s">
        <v>751</v>
      </c>
      <c r="F430" s="67">
        <v>200</v>
      </c>
      <c r="G430" s="68" t="s">
        <v>149</v>
      </c>
      <c r="H430" s="72">
        <f ca="1">SUMIF(INDIRECT(SUBSTITUTE(B430," ","_")&amp;"[Insumo]"),Insumos_a_comprar[[#This Row],[Insumo]],INDIRECT(SUBSTITUTE(B430," ","_")&amp;"[Stock]"))</f>
        <v>300</v>
      </c>
      <c r="I430" s="69" t="str">
        <f ca="1">IF((Insumos_a_comprar[[#This Row],[Stock actual]]-Insumos_a_comprar[[#This Row],[Stock mínimo]])&lt;0,"Si","No")</f>
        <v>No</v>
      </c>
      <c r="J430" s="67" t="str">
        <f ca="1">INDEX(Table12[Acción],MATCH(Insumos_a_comprar[[#This Row],[Planilla]],Table12[Planilla],0))</f>
        <v>Vencido</v>
      </c>
      <c r="K430" s="71"/>
      <c r="L43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30" s="65"/>
      <c r="N430" s="65"/>
      <c r="O430" s="65"/>
      <c r="P430" s="178"/>
      <c r="Q430" s="1"/>
      <c r="R430" s="1"/>
    </row>
    <row r="431" spans="1:18" x14ac:dyDescent="0.25">
      <c r="A431" s="22" t="s">
        <v>699</v>
      </c>
      <c r="B431" s="23" t="s">
        <v>594</v>
      </c>
      <c r="C431" s="61" t="str">
        <f>HYPERLINK("#'"&amp;Insumos_a_comprar[[#This Row],[Planilla]]&amp;"'!D1","Ir")</f>
        <v>Ir</v>
      </c>
      <c r="D431" s="11" t="s">
        <v>397</v>
      </c>
      <c r="E431" s="73" t="s">
        <v>397</v>
      </c>
      <c r="F431" s="74">
        <v>1</v>
      </c>
      <c r="G431" s="75" t="s">
        <v>65</v>
      </c>
      <c r="H431" s="76">
        <f ca="1">SUMIF(INDIRECT(SUBSTITUTE(B431," ","_")&amp;"[Insumo]"),Insumos_a_comprar[[#This Row],[Insumo]],INDIRECT(SUBSTITUTE(B431," ","_")&amp;"[Stock]"))</f>
        <v>1</v>
      </c>
      <c r="I431" s="69" t="str">
        <f ca="1">IF((Insumos_a_comprar[[#This Row],[Stock actual]]-Insumos_a_comprar[[#This Row],[Stock mínimo]])&lt;0,"Si","No")</f>
        <v>No</v>
      </c>
      <c r="J431" s="67" t="str">
        <f ca="1">INDEX(Table12[Acción],MATCH(Insumos_a_comprar[[#This Row],[Planilla]],Table12[Planilla],0))</f>
        <v>Constante</v>
      </c>
      <c r="K431" s="77">
        <v>1</v>
      </c>
      <c r="L43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31" s="367"/>
      <c r="N431" s="367"/>
      <c r="O431" s="367"/>
      <c r="P431" s="179"/>
      <c r="Q431" s="1"/>
      <c r="R431" s="1"/>
    </row>
    <row r="432" spans="1:18" x14ac:dyDescent="0.25">
      <c r="A432" s="10" t="s">
        <v>145</v>
      </c>
      <c r="B432" s="11" t="s">
        <v>398</v>
      </c>
      <c r="C432" s="61" t="str">
        <f>HYPERLINK("#'"&amp;Insumos_a_comprar[[#This Row],[Planilla]]&amp;"'!D1","Ir")</f>
        <v>Ir</v>
      </c>
      <c r="D432" s="11" t="s">
        <v>465</v>
      </c>
      <c r="E432" s="66" t="s">
        <v>854</v>
      </c>
      <c r="F432" s="67">
        <v>0.5</v>
      </c>
      <c r="G432" s="68" t="s">
        <v>399</v>
      </c>
      <c r="H432" s="72">
        <f ca="1">SUMIF(INDIRECT(SUBSTITUTE(B432," ","_")&amp;"[Insumo]"),Insumos_a_comprar[[#This Row],[Insumo]],INDIRECT(SUBSTITUTE(B432," ","_")&amp;"[Stock]"))</f>
        <v>1.9000000000000001</v>
      </c>
      <c r="I432" s="69" t="str">
        <f ca="1">IF((Insumos_a_comprar[[#This Row],[Stock actual]]-Insumos_a_comprar[[#This Row],[Stock mínimo]])&lt;0,"Si","No")</f>
        <v>No</v>
      </c>
      <c r="J432" s="67" t="str">
        <f ca="1">INDEX(Table12[Acción],MATCH(Insumos_a_comprar[[#This Row],[Planilla]],Table12[Planilla],0))</f>
        <v>Vigente</v>
      </c>
      <c r="K432" s="71">
        <v>1</v>
      </c>
      <c r="L43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32" s="65"/>
      <c r="N432" s="65"/>
      <c r="O432" s="65"/>
      <c r="P432" s="178"/>
      <c r="Q432" s="1"/>
      <c r="R432" s="1"/>
    </row>
    <row r="433" spans="1:18" x14ac:dyDescent="0.25">
      <c r="A433" s="10" t="s">
        <v>406</v>
      </c>
      <c r="B433" s="11" t="s">
        <v>398</v>
      </c>
      <c r="C433" s="61" t="str">
        <f>HYPERLINK("#'"&amp;Insumos_a_comprar[[#This Row],[Planilla]]&amp;"'!D1","Ir")</f>
        <v>Ir</v>
      </c>
      <c r="D433" s="11" t="s">
        <v>397</v>
      </c>
      <c r="E433" s="66" t="s">
        <v>407</v>
      </c>
      <c r="F433" s="67">
        <v>0.01</v>
      </c>
      <c r="G433" s="68" t="s">
        <v>399</v>
      </c>
      <c r="H433" s="72">
        <f ca="1">SUMIF(INDIRECT(SUBSTITUTE(B433," ","_")&amp;"[Insumo]"),Insumos_a_comprar[[#This Row],[Insumo]],INDIRECT(SUBSTITUTE(B433," ","_")&amp;"[Stock]"))</f>
        <v>1</v>
      </c>
      <c r="I433" s="69" t="str">
        <f ca="1">IF((Insumos_a_comprar[[#This Row],[Stock actual]]-Insumos_a_comprar[[#This Row],[Stock mínimo]])&lt;0,"Si","No")</f>
        <v>No</v>
      </c>
      <c r="J433" s="67" t="str">
        <f ca="1">INDEX(Table12[Acción],MATCH(Insumos_a_comprar[[#This Row],[Planilla]],Table12[Planilla],0))</f>
        <v>Vigente</v>
      </c>
      <c r="K433" s="71"/>
      <c r="L43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33" s="65"/>
      <c r="N433" s="65"/>
      <c r="O433" s="65"/>
      <c r="P433" s="178"/>
      <c r="Q433" s="1"/>
      <c r="R433" s="1"/>
    </row>
    <row r="434" spans="1:18" x14ac:dyDescent="0.25">
      <c r="A434" s="10" t="s">
        <v>146</v>
      </c>
      <c r="B434" s="11" t="s">
        <v>398</v>
      </c>
      <c r="C434" s="61" t="str">
        <f>HYPERLINK("#'"&amp;Insumos_a_comprar[[#This Row],[Planilla]]&amp;"'!D1","Ir")</f>
        <v>Ir</v>
      </c>
      <c r="D434" s="11" t="s">
        <v>463</v>
      </c>
      <c r="E434" s="66" t="s">
        <v>854</v>
      </c>
      <c r="F434" s="67">
        <v>0.05</v>
      </c>
      <c r="G434" s="68" t="s">
        <v>399</v>
      </c>
      <c r="H434" s="72">
        <f ca="1">SUMIF(INDIRECT(SUBSTITUTE(B434," ","_")&amp;"[Insumo]"),Insumos_a_comprar[[#This Row],[Insumo]],INDIRECT(SUBSTITUTE(B434," ","_")&amp;"[Stock]"))</f>
        <v>1</v>
      </c>
      <c r="I434" s="69" t="str">
        <f ca="1">IF((Insumos_a_comprar[[#This Row],[Stock actual]]-Insumos_a_comprar[[#This Row],[Stock mínimo]])&lt;0,"Si","No")</f>
        <v>No</v>
      </c>
      <c r="J434" s="67" t="str">
        <f ca="1">INDEX(Table12[Acción],MATCH(Insumos_a_comprar[[#This Row],[Planilla]],Table12[Planilla],0))</f>
        <v>Vigente</v>
      </c>
      <c r="K434" s="71">
        <v>1</v>
      </c>
      <c r="L43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34" s="65"/>
      <c r="N434" s="65"/>
      <c r="O434" s="65"/>
      <c r="P434" s="178"/>
      <c r="Q434" s="1"/>
      <c r="R434" s="1"/>
    </row>
    <row r="435" spans="1:18" x14ac:dyDescent="0.25">
      <c r="A435" s="22" t="s">
        <v>554</v>
      </c>
      <c r="B435" s="23" t="s">
        <v>440</v>
      </c>
      <c r="C435" s="61" t="str">
        <f>HYPERLINK("#'"&amp;Insumos_a_comprar[[#This Row],[Planilla]]&amp;"'!D1","Ir")</f>
        <v>Ir</v>
      </c>
      <c r="D435" s="11" t="s">
        <v>397</v>
      </c>
      <c r="E435" s="73" t="s">
        <v>397</v>
      </c>
      <c r="F435" s="74">
        <v>5</v>
      </c>
      <c r="G435" s="75" t="s">
        <v>65</v>
      </c>
      <c r="H435" s="76">
        <f ca="1">SUMIF(INDIRECT(SUBSTITUTE(B435," ","_")&amp;"[Insumo]"),Insumos_a_comprar[[#This Row],[Insumo]],INDIRECT(SUBSTITUTE(B435," ","_")&amp;"[Stock]"))</f>
        <v>0</v>
      </c>
      <c r="I435" s="69" t="str">
        <f ca="1">IF((Insumos_a_comprar[[#This Row],[Stock actual]]-Insumos_a_comprar[[#This Row],[Stock mínimo]])&lt;0,"Si","No")</f>
        <v>Si</v>
      </c>
      <c r="J435" s="67" t="str">
        <f ca="1">INDEX(Table12[Acción],MATCH(Insumos_a_comprar[[#This Row],[Planilla]],Table12[Planilla],0))</f>
        <v>Constante</v>
      </c>
      <c r="K435" s="77">
        <v>10</v>
      </c>
      <c r="L43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435" s="367">
        <v>44245</v>
      </c>
      <c r="N435" s="367">
        <v>44042</v>
      </c>
      <c r="O435" s="367"/>
      <c r="P435" s="179" t="s">
        <v>776</v>
      </c>
      <c r="Q435" s="1"/>
      <c r="R435" s="1"/>
    </row>
    <row r="436" spans="1:18" x14ac:dyDescent="0.25">
      <c r="A436" s="22" t="s">
        <v>556</v>
      </c>
      <c r="B436" s="23" t="s">
        <v>440</v>
      </c>
      <c r="C436" s="61" t="str">
        <f>HYPERLINK("#'"&amp;Insumos_a_comprar[[#This Row],[Planilla]]&amp;"'!D1","Ir")</f>
        <v>Ir</v>
      </c>
      <c r="D436" s="11" t="s">
        <v>397</v>
      </c>
      <c r="E436" s="73" t="s">
        <v>397</v>
      </c>
      <c r="F436" s="74">
        <v>5</v>
      </c>
      <c r="G436" s="75" t="s">
        <v>65</v>
      </c>
      <c r="H436" s="76">
        <f ca="1">SUMIF(INDIRECT(SUBSTITUTE(B436," ","_")&amp;"[Insumo]"),Insumos_a_comprar[[#This Row],[Insumo]],INDIRECT(SUBSTITUTE(B436," ","_")&amp;"[Stock]"))</f>
        <v>0</v>
      </c>
      <c r="I436" s="69" t="str">
        <f ca="1">IF((Insumos_a_comprar[[#This Row],[Stock actual]]-Insumos_a_comprar[[#This Row],[Stock mínimo]])&lt;0,"Si","No")</f>
        <v>Si</v>
      </c>
      <c r="J436" s="67" t="str">
        <f ca="1">INDEX(Table12[Acción],MATCH(Insumos_a_comprar[[#This Row],[Planilla]],Table12[Planilla],0))</f>
        <v>Constante</v>
      </c>
      <c r="K436" s="77">
        <v>10</v>
      </c>
      <c r="L43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436" s="367">
        <v>44245</v>
      </c>
      <c r="N436" s="367">
        <v>44042</v>
      </c>
      <c r="O436" s="367"/>
      <c r="P436" s="179"/>
      <c r="Q436" s="1"/>
      <c r="R436" s="1"/>
    </row>
    <row r="437" spans="1:18" x14ac:dyDescent="0.25">
      <c r="A437" s="10" t="s">
        <v>698</v>
      </c>
      <c r="B437" s="11" t="s">
        <v>400</v>
      </c>
      <c r="C437" s="61" t="str">
        <f>HYPERLINK("#'"&amp;Insumos_a_comprar[[#This Row],[Planilla]]&amp;"'!D1","Ir")</f>
        <v>Ir</v>
      </c>
      <c r="D437" s="11" t="s">
        <v>465</v>
      </c>
      <c r="E437" s="66" t="s">
        <v>843</v>
      </c>
      <c r="F437" s="67">
        <v>100</v>
      </c>
      <c r="G437" s="68" t="s">
        <v>177</v>
      </c>
      <c r="H437" s="72">
        <f ca="1">SUMIF(INDIRECT(SUBSTITUTE(B437," ","_")&amp;"[Insumo]"),Insumos_a_comprar[[#This Row],[Insumo]],INDIRECT(SUBSTITUTE(B437," ","_")&amp;"[Stock]"))</f>
        <v>199</v>
      </c>
      <c r="I437" s="69" t="str">
        <f ca="1">IF((Insumos_a_comprar[[#This Row],[Stock actual]]-Insumos_a_comprar[[#This Row],[Stock mínimo]])&lt;0,"Si","No")</f>
        <v>No</v>
      </c>
      <c r="J437" s="67" t="str">
        <f ca="1">INDEX(Table12[Acción],MATCH(Insumos_a_comprar[[#This Row],[Planilla]],Table12[Planilla],0))</f>
        <v>Vencido</v>
      </c>
      <c r="K437" s="71"/>
      <c r="L43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37" s="65"/>
      <c r="N437" s="65"/>
      <c r="O437" s="65">
        <v>44376</v>
      </c>
      <c r="P437" s="178"/>
      <c r="Q437" s="1"/>
      <c r="R437" s="1"/>
    </row>
    <row r="438" spans="1:18" x14ac:dyDescent="0.25">
      <c r="A438" s="22" t="s">
        <v>775</v>
      </c>
      <c r="B438" s="23" t="s">
        <v>440</v>
      </c>
      <c r="C438" s="61" t="str">
        <f>HYPERLINK("#'"&amp;Insumos_a_comprar[[#This Row],[Planilla]]&amp;"'!D1","Ir")</f>
        <v>Ir</v>
      </c>
      <c r="D438" s="11" t="s">
        <v>397</v>
      </c>
      <c r="E438" s="73" t="s">
        <v>397</v>
      </c>
      <c r="F438" s="74">
        <v>5</v>
      </c>
      <c r="G438" s="75" t="s">
        <v>65</v>
      </c>
      <c r="H438" s="76">
        <f ca="1">SUMIF(INDIRECT(SUBSTITUTE(B438," ","_")&amp;"[Insumo]"),Insumos_a_comprar[[#This Row],[Insumo]],INDIRECT(SUBSTITUTE(B438," ","_")&amp;"[Stock]"))</f>
        <v>6</v>
      </c>
      <c r="I438" s="69" t="str">
        <f ca="1">IF((Insumos_a_comprar[[#This Row],[Stock actual]]-Insumos_a_comprar[[#This Row],[Stock mínimo]])&lt;0,"Si","No")</f>
        <v>No</v>
      </c>
      <c r="J438" s="67" t="str">
        <f ca="1">INDEX(Table12[Acción],MATCH(Insumos_a_comprar[[#This Row],[Planilla]],Table12[Planilla],0))</f>
        <v>Constante</v>
      </c>
      <c r="K438" s="77">
        <v>10</v>
      </c>
      <c r="L43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38" s="206"/>
      <c r="N438" s="206"/>
      <c r="O438" s="206"/>
      <c r="P438" s="179"/>
      <c r="Q438" s="1"/>
      <c r="R438" s="1"/>
    </row>
    <row r="439" spans="1:18" x14ac:dyDescent="0.25">
      <c r="A439" s="22" t="s">
        <v>555</v>
      </c>
      <c r="B439" s="23" t="s">
        <v>440</v>
      </c>
      <c r="C439" s="61" t="str">
        <f>HYPERLINK("#'"&amp;Insumos_a_comprar[[#This Row],[Planilla]]&amp;"'!D1","Ir")</f>
        <v>Ir</v>
      </c>
      <c r="D439" s="11" t="s">
        <v>397</v>
      </c>
      <c r="E439" s="73" t="s">
        <v>397</v>
      </c>
      <c r="F439" s="74">
        <v>5</v>
      </c>
      <c r="G439" s="75" t="s">
        <v>65</v>
      </c>
      <c r="H439" s="76">
        <f ca="1">SUMIF(INDIRECT(SUBSTITUTE(B439," ","_")&amp;"[Insumo]"),Insumos_a_comprar[[#This Row],[Insumo]],INDIRECT(SUBSTITUTE(B439," ","_")&amp;"[Stock]"))</f>
        <v>0</v>
      </c>
      <c r="I439" s="69" t="str">
        <f ca="1">IF((Insumos_a_comprar[[#This Row],[Stock actual]]-Insumos_a_comprar[[#This Row],[Stock mínimo]])&lt;0,"Si","No")</f>
        <v>Si</v>
      </c>
      <c r="J439" s="67" t="str">
        <f ca="1">INDEX(Table12[Acción],MATCH(Insumos_a_comprar[[#This Row],[Planilla]],Table12[Planilla],0))</f>
        <v>Constante</v>
      </c>
      <c r="K439" s="77">
        <v>10</v>
      </c>
      <c r="L43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Postergado</v>
      </c>
      <c r="M439" s="206">
        <v>44245</v>
      </c>
      <c r="N439" s="206">
        <v>44042</v>
      </c>
      <c r="O439" s="206"/>
      <c r="P439" s="179"/>
      <c r="Q439" s="1"/>
      <c r="R439" s="1"/>
    </row>
    <row r="440" spans="1:18" x14ac:dyDescent="0.25">
      <c r="A440" s="22" t="s">
        <v>998</v>
      </c>
      <c r="B440" s="23" t="s">
        <v>63</v>
      </c>
      <c r="C440" s="193" t="str">
        <f>HYPERLINK("#'"&amp;Insumos_a_comprar[[#This Row],[Planilla]]&amp;"'!D1","Ir")</f>
        <v>Ir</v>
      </c>
      <c r="D440" s="23" t="s">
        <v>397</v>
      </c>
      <c r="E440" s="73"/>
      <c r="F440" s="74">
        <v>2</v>
      </c>
      <c r="G440" s="75" t="s">
        <v>65</v>
      </c>
      <c r="H440" s="76">
        <f ca="1">SUMIF(INDIRECT(SUBSTITUTE(B440," ","_")&amp;"[Insumo]"),Insumos_a_comprar[[#This Row],[Insumo]],INDIRECT(SUBSTITUTE(B440," ","_")&amp;"[Stock]"))</f>
        <v>6</v>
      </c>
      <c r="I440" s="194" t="str">
        <f ca="1">IF((Insumos_a_comprar[[#This Row],[Stock actual]]-Insumos_a_comprar[[#This Row],[Stock mínimo]])&lt;0,"Si","No")</f>
        <v>No</v>
      </c>
      <c r="J440" s="77" t="str">
        <f ca="1">INDEX(Table12[Acción],MATCH(Insumos_a_comprar[[#This Row],[Planilla]],Table12[Planilla],0))</f>
        <v>Constante</v>
      </c>
      <c r="K440" s="77"/>
      <c r="L44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0" s="206"/>
      <c r="N440" s="206"/>
      <c r="O440" s="206"/>
      <c r="P440" s="179"/>
      <c r="Q440" s="1"/>
      <c r="R440" s="1"/>
    </row>
    <row r="441" spans="1:18" x14ac:dyDescent="0.25">
      <c r="A441" s="22" t="s">
        <v>700</v>
      </c>
      <c r="B441" s="23" t="s">
        <v>594</v>
      </c>
      <c r="C441" s="61" t="str">
        <f>HYPERLINK("#'"&amp;Insumos_a_comprar[[#This Row],[Planilla]]&amp;"'!D1","Ir")</f>
        <v>Ir</v>
      </c>
      <c r="D441" s="11" t="s">
        <v>397</v>
      </c>
      <c r="E441" s="73" t="s">
        <v>397</v>
      </c>
      <c r="F441" s="74">
        <v>1</v>
      </c>
      <c r="G441" s="75" t="s">
        <v>65</v>
      </c>
      <c r="H441" s="76">
        <f ca="1">SUMIF(INDIRECT(SUBSTITUTE(B441," ","_")&amp;"[Insumo]"),Insumos_a_comprar[[#This Row],[Insumo]],INDIRECT(SUBSTITUTE(B441," ","_")&amp;"[Stock]"))</f>
        <v>1</v>
      </c>
      <c r="I441" s="69" t="str">
        <f ca="1">IF((Insumos_a_comprar[[#This Row],[Stock actual]]-Insumos_a_comprar[[#This Row],[Stock mínimo]])&lt;0,"Si","No")</f>
        <v>No</v>
      </c>
      <c r="J441" s="67" t="str">
        <f ca="1">INDEX(Table12[Acción],MATCH(Insumos_a_comprar[[#This Row],[Planilla]],Table12[Planilla],0))</f>
        <v>Constante</v>
      </c>
      <c r="K441" s="77">
        <v>1</v>
      </c>
      <c r="L44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1" s="206"/>
      <c r="N441" s="206"/>
      <c r="O441" s="206"/>
      <c r="P441" s="179"/>
      <c r="Q441" s="1"/>
      <c r="R441" s="1"/>
    </row>
    <row r="442" spans="1:18" x14ac:dyDescent="0.25">
      <c r="A442" s="22" t="s">
        <v>557</v>
      </c>
      <c r="B442" s="23" t="s">
        <v>440</v>
      </c>
      <c r="C442" s="61" t="str">
        <f>HYPERLINK("#'"&amp;Insumos_a_comprar[[#This Row],[Planilla]]&amp;"'!D1","Ir")</f>
        <v>Ir</v>
      </c>
      <c r="D442" s="11" t="s">
        <v>397</v>
      </c>
      <c r="E442" s="73" t="s">
        <v>397</v>
      </c>
      <c r="F442" s="74">
        <v>10</v>
      </c>
      <c r="G442" s="75" t="s">
        <v>65</v>
      </c>
      <c r="H442" s="76">
        <f ca="1">SUMIF(INDIRECT(SUBSTITUTE(B442," ","_")&amp;"[Insumo]"),Insumos_a_comprar[[#This Row],[Insumo]],INDIRECT(SUBSTITUTE(B442," ","_")&amp;"[Stock]"))</f>
        <v>16</v>
      </c>
      <c r="I442" s="69" t="str">
        <f ca="1">IF((Insumos_a_comprar[[#This Row],[Stock actual]]-Insumos_a_comprar[[#This Row],[Stock mínimo]])&lt;0,"Si","No")</f>
        <v>No</v>
      </c>
      <c r="J442" s="67" t="str">
        <f ca="1">INDEX(Table12[Acción],MATCH(Insumos_a_comprar[[#This Row],[Planilla]],Table12[Planilla],0))</f>
        <v>Constante</v>
      </c>
      <c r="K442" s="77">
        <v>10</v>
      </c>
      <c r="L44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2" s="206"/>
      <c r="N442" s="206"/>
      <c r="O442" s="206"/>
      <c r="P442" s="179"/>
      <c r="Q442" s="1"/>
      <c r="R442" s="1"/>
    </row>
    <row r="443" spans="1:18" x14ac:dyDescent="0.25">
      <c r="A443" s="22" t="s">
        <v>558</v>
      </c>
      <c r="B443" s="23" t="s">
        <v>440</v>
      </c>
      <c r="C443" s="61" t="str">
        <f>HYPERLINK("#'"&amp;Insumos_a_comprar[[#This Row],[Planilla]]&amp;"'!D1","Ir")</f>
        <v>Ir</v>
      </c>
      <c r="D443" s="11" t="s">
        <v>397</v>
      </c>
      <c r="E443" s="73" t="s">
        <v>397</v>
      </c>
      <c r="F443" s="74">
        <v>5</v>
      </c>
      <c r="G443" s="75" t="s">
        <v>65</v>
      </c>
      <c r="H443" s="76">
        <f ca="1">SUMIF(INDIRECT(SUBSTITUTE(B443," ","_")&amp;"[Insumo]"),Insumos_a_comprar[[#This Row],[Insumo]],INDIRECT(SUBSTITUTE(B443," ","_")&amp;"[Stock]"))</f>
        <v>9</v>
      </c>
      <c r="I443" s="69" t="str">
        <f ca="1">IF((Insumos_a_comprar[[#This Row],[Stock actual]]-Insumos_a_comprar[[#This Row],[Stock mínimo]])&lt;0,"Si","No")</f>
        <v>No</v>
      </c>
      <c r="J443" s="67" t="str">
        <f ca="1">INDEX(Table12[Acción],MATCH(Insumos_a_comprar[[#This Row],[Planilla]],Table12[Planilla],0))</f>
        <v>Constante</v>
      </c>
      <c r="K443" s="77">
        <v>10</v>
      </c>
      <c r="L44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3" s="206"/>
      <c r="N443" s="206"/>
      <c r="O443" s="206"/>
      <c r="P443" s="179"/>
      <c r="Q443" s="1"/>
      <c r="R443" s="1"/>
    </row>
    <row r="444" spans="1:18" x14ac:dyDescent="0.25">
      <c r="A444" s="22" t="s">
        <v>564</v>
      </c>
      <c r="B444" s="23" t="s">
        <v>440</v>
      </c>
      <c r="C444" s="61" t="str">
        <f>HYPERLINK("#'"&amp;Insumos_a_comprar[[#This Row],[Planilla]]&amp;"'!D1","Ir")</f>
        <v>Ir</v>
      </c>
      <c r="D444" s="11" t="s">
        <v>397</v>
      </c>
      <c r="E444" s="73" t="s">
        <v>397</v>
      </c>
      <c r="F444" s="74">
        <v>30</v>
      </c>
      <c r="G444" s="75" t="s">
        <v>65</v>
      </c>
      <c r="H444" s="76">
        <f ca="1">SUMIF(INDIRECT(SUBSTITUTE(B444," ","_")&amp;"[Insumo]"),Insumos_a_comprar[[#This Row],[Insumo]],INDIRECT(SUBSTITUTE(B444," ","_")&amp;"[Stock]"))</f>
        <v>34</v>
      </c>
      <c r="I444" s="69" t="str">
        <f ca="1">IF((Insumos_a_comprar[[#This Row],[Stock actual]]-Insumos_a_comprar[[#This Row],[Stock mínimo]])&lt;0,"Si","No")</f>
        <v>No</v>
      </c>
      <c r="J444" s="67" t="str">
        <f ca="1">INDEX(Table12[Acción],MATCH(Insumos_a_comprar[[#This Row],[Planilla]],Table12[Planilla],0))</f>
        <v>Constante</v>
      </c>
      <c r="K444" s="77">
        <v>10</v>
      </c>
      <c r="L44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4" s="206"/>
      <c r="N444" s="206"/>
      <c r="O444" s="206"/>
      <c r="P444" s="179"/>
      <c r="Q444" s="1"/>
      <c r="R444" s="1"/>
    </row>
    <row r="445" spans="1:18" x14ac:dyDescent="0.25">
      <c r="A445" s="22" t="s">
        <v>560</v>
      </c>
      <c r="B445" s="23" t="s">
        <v>440</v>
      </c>
      <c r="C445" s="61" t="str">
        <f>HYPERLINK("#'"&amp;Insumos_a_comprar[[#This Row],[Planilla]]&amp;"'!D1","Ir")</f>
        <v>Ir</v>
      </c>
      <c r="D445" s="11" t="s">
        <v>397</v>
      </c>
      <c r="E445" s="73" t="s">
        <v>397</v>
      </c>
      <c r="F445" s="74">
        <v>5</v>
      </c>
      <c r="G445" s="75" t="s">
        <v>65</v>
      </c>
      <c r="H445" s="76">
        <f ca="1">SUMIF(INDIRECT(SUBSTITUTE(B445," ","_")&amp;"[Insumo]"),Insumos_a_comprar[[#This Row],[Insumo]],INDIRECT(SUBSTITUTE(B445," ","_")&amp;"[Stock]"))</f>
        <v>6</v>
      </c>
      <c r="I445" s="69" t="str">
        <f ca="1">IF((Insumos_a_comprar[[#This Row],[Stock actual]]-Insumos_a_comprar[[#This Row],[Stock mínimo]])&lt;0,"Si","No")</f>
        <v>No</v>
      </c>
      <c r="J445" s="67" t="str">
        <f ca="1">INDEX(Table12[Acción],MATCH(Insumos_a_comprar[[#This Row],[Planilla]],Table12[Planilla],0))</f>
        <v>Constante</v>
      </c>
      <c r="K445" s="77">
        <v>2</v>
      </c>
      <c r="L44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5" s="206"/>
      <c r="N445" s="206"/>
      <c r="O445" s="206"/>
      <c r="P445" s="179"/>
      <c r="Q445" s="1"/>
      <c r="R445" s="1"/>
    </row>
    <row r="446" spans="1:18" x14ac:dyDescent="0.25">
      <c r="A446" s="22" t="s">
        <v>563</v>
      </c>
      <c r="B446" s="23" t="s">
        <v>440</v>
      </c>
      <c r="C446" s="61" t="str">
        <f>HYPERLINK("#'"&amp;Insumos_a_comprar[[#This Row],[Planilla]]&amp;"'!D1","Ir")</f>
        <v>Ir</v>
      </c>
      <c r="D446" s="11" t="s">
        <v>397</v>
      </c>
      <c r="E446" s="73" t="s">
        <v>397</v>
      </c>
      <c r="F446" s="74">
        <v>5</v>
      </c>
      <c r="G446" s="75" t="s">
        <v>65</v>
      </c>
      <c r="H446" s="76">
        <f ca="1">SUMIF(INDIRECT(SUBSTITUTE(B446," ","_")&amp;"[Insumo]"),Insumos_a_comprar[[#This Row],[Insumo]],INDIRECT(SUBSTITUTE(B446," ","_")&amp;"[Stock]"))</f>
        <v>5</v>
      </c>
      <c r="I446" s="69" t="str">
        <f ca="1">IF((Insumos_a_comprar[[#This Row],[Stock actual]]-Insumos_a_comprar[[#This Row],[Stock mínimo]])&lt;0,"Si","No")</f>
        <v>No</v>
      </c>
      <c r="J446" s="67" t="str">
        <f ca="1">INDEX(Table12[Acción],MATCH(Insumos_a_comprar[[#This Row],[Planilla]],Table12[Planilla],0))</f>
        <v>Constante</v>
      </c>
      <c r="K446" s="77">
        <v>10</v>
      </c>
      <c r="L44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6" s="206"/>
      <c r="N446" s="206"/>
      <c r="O446" s="206"/>
      <c r="P446" s="179"/>
      <c r="Q446" s="1"/>
      <c r="R446" s="1"/>
    </row>
    <row r="447" spans="1:18" x14ac:dyDescent="0.25">
      <c r="A447" s="22" t="s">
        <v>559</v>
      </c>
      <c r="B447" s="23" t="s">
        <v>440</v>
      </c>
      <c r="C447" s="61" t="str">
        <f>HYPERLINK("#'"&amp;Insumos_a_comprar[[#This Row],[Planilla]]&amp;"'!D1","Ir")</f>
        <v>Ir</v>
      </c>
      <c r="D447" s="11" t="s">
        <v>397</v>
      </c>
      <c r="E447" s="73" t="s">
        <v>397</v>
      </c>
      <c r="F447" s="74">
        <v>1</v>
      </c>
      <c r="G447" s="75" t="s">
        <v>65</v>
      </c>
      <c r="H447" s="76">
        <f ca="1">SUMIF(INDIRECT(SUBSTITUTE(B447," ","_")&amp;"[Insumo]"),Insumos_a_comprar[[#This Row],[Insumo]],INDIRECT(SUBSTITUTE(B447," ","_")&amp;"[Stock]"))</f>
        <v>1</v>
      </c>
      <c r="I447" s="69" t="str">
        <f ca="1">IF((Insumos_a_comprar[[#This Row],[Stock actual]]-Insumos_a_comprar[[#This Row],[Stock mínimo]])&lt;0,"Si","No")</f>
        <v>No</v>
      </c>
      <c r="J447" s="67" t="str">
        <f ca="1">INDEX(Table12[Acción],MATCH(Insumos_a_comprar[[#This Row],[Planilla]],Table12[Planilla],0))</f>
        <v>Constante</v>
      </c>
      <c r="K447" s="77">
        <v>1</v>
      </c>
      <c r="L44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7" s="206"/>
      <c r="N447" s="206"/>
      <c r="O447" s="206"/>
      <c r="P447" s="179"/>
      <c r="Q447" s="1"/>
      <c r="R447" s="1"/>
    </row>
    <row r="448" spans="1:18" x14ac:dyDescent="0.25">
      <c r="A448" s="22" t="s">
        <v>562</v>
      </c>
      <c r="B448" s="23" t="s">
        <v>440</v>
      </c>
      <c r="C448" s="61" t="str">
        <f>HYPERLINK("#'"&amp;Insumos_a_comprar[[#This Row],[Planilla]]&amp;"'!D1","Ir")</f>
        <v>Ir</v>
      </c>
      <c r="D448" s="11" t="s">
        <v>397</v>
      </c>
      <c r="E448" s="73" t="s">
        <v>397</v>
      </c>
      <c r="F448" s="74">
        <v>20</v>
      </c>
      <c r="G448" s="75" t="s">
        <v>65</v>
      </c>
      <c r="H448" s="76">
        <f ca="1">SUMIF(INDIRECT(SUBSTITUTE(B448," ","_")&amp;"[Insumo]"),Insumos_a_comprar[[#This Row],[Insumo]],INDIRECT(SUBSTITUTE(B448," ","_")&amp;"[Stock]"))</f>
        <v>26</v>
      </c>
      <c r="I448" s="69" t="str">
        <f ca="1">IF((Insumos_a_comprar[[#This Row],[Stock actual]]-Insumos_a_comprar[[#This Row],[Stock mínimo]])&lt;0,"Si","No")</f>
        <v>No</v>
      </c>
      <c r="J448" s="67" t="str">
        <f ca="1">INDEX(Table12[Acción],MATCH(Insumos_a_comprar[[#This Row],[Planilla]],Table12[Planilla],0))</f>
        <v>Constante</v>
      </c>
      <c r="K448" s="77">
        <v>10</v>
      </c>
      <c r="L44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48" s="206"/>
      <c r="N448" s="206"/>
      <c r="O448" s="206"/>
      <c r="P448" s="179" t="s">
        <v>1017</v>
      </c>
      <c r="Q448" s="1"/>
      <c r="R448" s="1"/>
    </row>
    <row r="449" spans="1:16" ht="47.25" x14ac:dyDescent="0.25">
      <c r="A449" s="22" t="s">
        <v>565</v>
      </c>
      <c r="B449" s="23" t="s">
        <v>440</v>
      </c>
      <c r="C449" s="61" t="str">
        <f>HYPERLINK("#'"&amp;Insumos_a_comprar[[#This Row],[Planilla]]&amp;"'!D1","Ir")</f>
        <v>Ir</v>
      </c>
      <c r="D449" s="11" t="s">
        <v>397</v>
      </c>
      <c r="E449" s="73" t="s">
        <v>397</v>
      </c>
      <c r="F449" s="74">
        <v>30</v>
      </c>
      <c r="G449" s="75" t="s">
        <v>65</v>
      </c>
      <c r="H449" s="76">
        <f ca="1">SUMIF(INDIRECT(SUBSTITUTE(B449," ","_")&amp;"[Insumo]"),Insumos_a_comprar[[#This Row],[Insumo]],INDIRECT(SUBSTITUTE(B449," ","_")&amp;"[Stock]"))</f>
        <v>27</v>
      </c>
      <c r="I449" s="69" t="str">
        <f ca="1">IF((Insumos_a_comprar[[#This Row],[Stock actual]]-Insumos_a_comprar[[#This Row],[Stock mínimo]])&lt;0,"Si","No")</f>
        <v>Si</v>
      </c>
      <c r="J449" s="67" t="str">
        <f ca="1">INDEX(Table12[Acción],MATCH(Insumos_a_comprar[[#This Row],[Planilla]],Table12[Planilla],0))</f>
        <v>Constante</v>
      </c>
      <c r="K449" s="77">
        <v>10</v>
      </c>
      <c r="L44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Pedir</v>
      </c>
      <c r="M449" s="206"/>
      <c r="N449" s="206"/>
      <c r="O449" s="206">
        <v>44369</v>
      </c>
      <c r="P449" s="179" t="s">
        <v>1072</v>
      </c>
    </row>
    <row r="450" spans="1:16" x14ac:dyDescent="0.25">
      <c r="A450" s="22" t="s">
        <v>561</v>
      </c>
      <c r="B450" s="23" t="s">
        <v>440</v>
      </c>
      <c r="C450" s="61" t="str">
        <f>HYPERLINK("#'"&amp;Insumos_a_comprar[[#This Row],[Planilla]]&amp;"'!D1","Ir")</f>
        <v>Ir</v>
      </c>
      <c r="D450" s="11" t="s">
        <v>397</v>
      </c>
      <c r="E450" s="73" t="s">
        <v>397</v>
      </c>
      <c r="F450" s="74">
        <v>10</v>
      </c>
      <c r="G450" s="75" t="s">
        <v>65</v>
      </c>
      <c r="H450" s="76">
        <f ca="1">SUMIF(INDIRECT(SUBSTITUTE(B450," ","_")&amp;"[Insumo]"),Insumos_a_comprar[[#This Row],[Insumo]],INDIRECT(SUBSTITUTE(B450," ","_")&amp;"[Stock]"))</f>
        <v>11</v>
      </c>
      <c r="I450" s="69" t="str">
        <f ca="1">IF((Insumos_a_comprar[[#This Row],[Stock actual]]-Insumos_a_comprar[[#This Row],[Stock mínimo]])&lt;0,"Si","No")</f>
        <v>No</v>
      </c>
      <c r="J450" s="67" t="str">
        <f ca="1">INDEX(Table12[Acción],MATCH(Insumos_a_comprar[[#This Row],[Planilla]],Table12[Planilla],0))</f>
        <v>Constante</v>
      </c>
      <c r="K450" s="77">
        <v>2</v>
      </c>
      <c r="L45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0" s="367"/>
      <c r="N450" s="367"/>
      <c r="O450" s="367"/>
      <c r="P450" s="179"/>
    </row>
    <row r="451" spans="1:16" x14ac:dyDescent="0.25">
      <c r="A451" s="22" t="s">
        <v>714</v>
      </c>
      <c r="B451" s="23" t="s">
        <v>739</v>
      </c>
      <c r="C451" s="61" t="str">
        <f>HYPERLINK("#'"&amp;Insumos_a_comprar[[#This Row],[Planilla]]&amp;"'!D1","Ir")</f>
        <v>Ir</v>
      </c>
      <c r="D451" s="11" t="s">
        <v>397</v>
      </c>
      <c r="E451" s="73" t="s">
        <v>397</v>
      </c>
      <c r="F451" s="74">
        <v>2</v>
      </c>
      <c r="G451" s="75" t="s">
        <v>65</v>
      </c>
      <c r="H451" s="76">
        <f ca="1">SUMIF(INDIRECT(SUBSTITUTE(B451," ","_")&amp;"[Insumo]"),Insumos_a_comprar[[#This Row],[Insumo]],INDIRECT(SUBSTITUTE(B451," ","_")&amp;"[Stock]"))</f>
        <v>3</v>
      </c>
      <c r="I451" s="69" t="str">
        <f ca="1">IF((Insumos_a_comprar[[#This Row],[Stock actual]]-Insumos_a_comprar[[#This Row],[Stock mínimo]])&lt;0,"Si","No")</f>
        <v>No</v>
      </c>
      <c r="J451" s="77" t="str">
        <f ca="1">INDEX(Table12[Acción],MATCH(Insumos_a_comprar[[#This Row],[Planilla]],Table12[Planilla],0))</f>
        <v>Vencido</v>
      </c>
      <c r="K451" s="77">
        <v>2</v>
      </c>
      <c r="L45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1" s="367"/>
      <c r="N451" s="367"/>
      <c r="O451" s="367"/>
      <c r="P451" s="179"/>
    </row>
    <row r="452" spans="1:16" x14ac:dyDescent="0.25">
      <c r="A452" s="296" t="s">
        <v>1051</v>
      </c>
      <c r="B452" s="290" t="s">
        <v>60</v>
      </c>
      <c r="C452" s="297" t="str">
        <f>HYPERLINK("#'"&amp;Insumos_a_comprar[[#This Row],[Planilla]]&amp;"'!D1","Ir")</f>
        <v>Ir</v>
      </c>
      <c r="D452" s="290" t="s">
        <v>397</v>
      </c>
      <c r="E452" s="312" t="s">
        <v>1052</v>
      </c>
      <c r="F452" s="291">
        <v>3</v>
      </c>
      <c r="G452" s="313" t="s">
        <v>7</v>
      </c>
      <c r="H452" s="292">
        <f ca="1">SUMIF(INDIRECT(SUBSTITUTE(B452," ","_")&amp;"[Insumo]"),Insumos_a_comprar[[#This Row],[Insumo]],INDIRECT(SUBSTITUTE(B452," ","_")&amp;"[Stock]"))</f>
        <v>10</v>
      </c>
      <c r="I452" s="293" t="str">
        <f ca="1">IF((Insumos_a_comprar[[#This Row],[Stock actual]]-Insumos_a_comprar[[#This Row],[Stock mínimo]])&lt;0,"Si","No")</f>
        <v>No</v>
      </c>
      <c r="J452" s="294" t="str">
        <f ca="1">INDEX(Table12[Acción],MATCH(Insumos_a_comprar[[#This Row],[Planilla]],Table12[Planilla],0))</f>
        <v>Vigente</v>
      </c>
      <c r="K452" s="294">
        <v>10</v>
      </c>
      <c r="L452" s="314"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2" s="315"/>
      <c r="N452" s="315"/>
      <c r="O452" s="315"/>
      <c r="P452" s="295"/>
    </row>
    <row r="453" spans="1:16" x14ac:dyDescent="0.25">
      <c r="A453" s="22" t="s">
        <v>1002</v>
      </c>
      <c r="B453" s="23" t="s">
        <v>63</v>
      </c>
      <c r="C453" s="193" t="str">
        <f>HYPERLINK("#'"&amp;Insumos_a_comprar[[#This Row],[Planilla]]&amp;"'!D1","Ir")</f>
        <v>Ir</v>
      </c>
      <c r="D453" s="23" t="s">
        <v>397</v>
      </c>
      <c r="E453" s="73"/>
      <c r="F453" s="74">
        <v>50</v>
      </c>
      <c r="G453" s="75" t="s">
        <v>65</v>
      </c>
      <c r="H453" s="76">
        <f ca="1">SUMIF(INDIRECT(SUBSTITUTE(B453," ","_")&amp;"[Insumo]"),Insumos_a_comprar[[#This Row],[Insumo]],INDIRECT(SUBSTITUTE(B453," ","_")&amp;"[Stock]"))</f>
        <v>220</v>
      </c>
      <c r="I453" s="194" t="str">
        <f ca="1">IF((Insumos_a_comprar[[#This Row],[Stock actual]]-Insumos_a_comprar[[#This Row],[Stock mínimo]])&lt;0,"Si","No")</f>
        <v>No</v>
      </c>
      <c r="J453" s="77" t="str">
        <f ca="1">INDEX(Table12[Acción],MATCH(Insumos_a_comprar[[#This Row],[Planilla]],Table12[Planilla],0))</f>
        <v>Constante</v>
      </c>
      <c r="K453" s="77">
        <v>100</v>
      </c>
      <c r="L45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3" s="206"/>
      <c r="N453" s="206"/>
      <c r="O453" s="206"/>
      <c r="P453" s="179"/>
    </row>
    <row r="454" spans="1:16" x14ac:dyDescent="0.25">
      <c r="A454" s="22" t="s">
        <v>1003</v>
      </c>
      <c r="B454" s="23" t="s">
        <v>63</v>
      </c>
      <c r="C454" s="193" t="str">
        <f>HYPERLINK("#'"&amp;Insumos_a_comprar[[#This Row],[Planilla]]&amp;"'!D1","Ir")</f>
        <v>Ir</v>
      </c>
      <c r="D454" s="23" t="s">
        <v>397</v>
      </c>
      <c r="E454" s="73"/>
      <c r="F454" s="74">
        <v>50</v>
      </c>
      <c r="G454" s="75" t="s">
        <v>65</v>
      </c>
      <c r="H454" s="76">
        <f ca="1">SUMIF(INDIRECT(SUBSTITUTE(B454," ","_")&amp;"[Insumo]"),Insumos_a_comprar[[#This Row],[Insumo]],INDIRECT(SUBSTITUTE(B454," ","_")&amp;"[Stock]"))</f>
        <v>66</v>
      </c>
      <c r="I454" s="194" t="str">
        <f ca="1">IF((Insumos_a_comprar[[#This Row],[Stock actual]]-Insumos_a_comprar[[#This Row],[Stock mínimo]])&lt;0,"Si","No")</f>
        <v>No</v>
      </c>
      <c r="J454" s="77" t="str">
        <f ca="1">INDEX(Table12[Acción],MATCH(Insumos_a_comprar[[#This Row],[Planilla]],Table12[Planilla],0))</f>
        <v>Constante</v>
      </c>
      <c r="K454" s="77">
        <v>100</v>
      </c>
      <c r="L45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4" s="206"/>
      <c r="N454" s="206"/>
      <c r="O454" s="206"/>
      <c r="P454" s="179"/>
    </row>
    <row r="455" spans="1:16" x14ac:dyDescent="0.25">
      <c r="A455" s="22" t="s">
        <v>1004</v>
      </c>
      <c r="B455" s="23" t="s">
        <v>63</v>
      </c>
      <c r="C455" s="193" t="str">
        <f>HYPERLINK("#'"&amp;Insumos_a_comprar[[#This Row],[Planilla]]&amp;"'!D1","Ir")</f>
        <v>Ir</v>
      </c>
      <c r="D455" s="23" t="s">
        <v>397</v>
      </c>
      <c r="E455" s="73"/>
      <c r="F455" s="74">
        <v>50</v>
      </c>
      <c r="G455" s="75" t="s">
        <v>65</v>
      </c>
      <c r="H455" s="76">
        <f ca="1">SUMIF(INDIRECT(SUBSTITUTE(B455," ","_")&amp;"[Insumo]"),Insumos_a_comprar[[#This Row],[Insumo]],INDIRECT(SUBSTITUTE(B455," ","_")&amp;"[Stock]"))</f>
        <v>130</v>
      </c>
      <c r="I455" s="194" t="str">
        <f ca="1">IF((Insumos_a_comprar[[#This Row],[Stock actual]]-Insumos_a_comprar[[#This Row],[Stock mínimo]])&lt;0,"Si","No")</f>
        <v>No</v>
      </c>
      <c r="J455" s="77" t="str">
        <f ca="1">INDEX(Table12[Acción],MATCH(Insumos_a_comprar[[#This Row],[Planilla]],Table12[Planilla],0))</f>
        <v>Constante</v>
      </c>
      <c r="K455" s="77"/>
      <c r="L45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5" s="206"/>
      <c r="N455" s="206"/>
      <c r="O455" s="206"/>
      <c r="P455" s="179"/>
    </row>
    <row r="456" spans="1:16" x14ac:dyDescent="0.25">
      <c r="A456" s="22" t="s">
        <v>1007</v>
      </c>
      <c r="B456" s="23" t="s">
        <v>63</v>
      </c>
      <c r="C456" s="193" t="str">
        <f>HYPERLINK("#'"&amp;Insumos_a_comprar[[#This Row],[Planilla]]&amp;"'!D1","Ir")</f>
        <v>Ir</v>
      </c>
      <c r="D456" s="23" t="s">
        <v>397</v>
      </c>
      <c r="E456" s="73"/>
      <c r="F456" s="74">
        <v>30</v>
      </c>
      <c r="G456" s="75" t="s">
        <v>65</v>
      </c>
      <c r="H456" s="76">
        <f ca="1">SUMIF(INDIRECT(SUBSTITUTE(B456," ","_")&amp;"[Insumo]"),Insumos_a_comprar[[#This Row],[Insumo]],INDIRECT(SUBSTITUTE(B456," ","_")&amp;"[Stock]"))</f>
        <v>43</v>
      </c>
      <c r="I456" s="194" t="str">
        <f ca="1">IF((Insumos_a_comprar[[#This Row],[Stock actual]]-Insumos_a_comprar[[#This Row],[Stock mínimo]])&lt;0,"Si","No")</f>
        <v>No</v>
      </c>
      <c r="J456" s="77" t="str">
        <f ca="1">INDEX(Table12[Acción],MATCH(Insumos_a_comprar[[#This Row],[Planilla]],Table12[Planilla],0))</f>
        <v>Constante</v>
      </c>
      <c r="K456" s="77">
        <v>100</v>
      </c>
      <c r="L45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6" s="206"/>
      <c r="N456" s="206"/>
      <c r="O456" s="206"/>
      <c r="P456" s="179"/>
    </row>
    <row r="457" spans="1:16" x14ac:dyDescent="0.25">
      <c r="A457" s="22" t="s">
        <v>1006</v>
      </c>
      <c r="B457" s="23" t="s">
        <v>63</v>
      </c>
      <c r="C457" s="193" t="str">
        <f>HYPERLINK("#'"&amp;Insumos_a_comprar[[#This Row],[Planilla]]&amp;"'!D1","Ir")</f>
        <v>Ir</v>
      </c>
      <c r="D457" s="23" t="s">
        <v>397</v>
      </c>
      <c r="E457" s="73"/>
      <c r="F457" s="74">
        <v>30</v>
      </c>
      <c r="G457" s="75" t="s">
        <v>65</v>
      </c>
      <c r="H457" s="76">
        <f ca="1">SUMIF(INDIRECT(SUBSTITUTE(B457," ","_")&amp;"[Insumo]"),Insumos_a_comprar[[#This Row],[Insumo]],INDIRECT(SUBSTITUTE(B457," ","_")&amp;"[Stock]"))</f>
        <v>100</v>
      </c>
      <c r="I457" s="194" t="str">
        <f ca="1">IF((Insumos_a_comprar[[#This Row],[Stock actual]]-Insumos_a_comprar[[#This Row],[Stock mínimo]])&lt;0,"Si","No")</f>
        <v>No</v>
      </c>
      <c r="J457" s="77" t="str">
        <f ca="1">INDEX(Table12[Acción],MATCH(Insumos_a_comprar[[#This Row],[Planilla]],Table12[Planilla],0))</f>
        <v>Constante</v>
      </c>
      <c r="K457" s="77"/>
      <c r="L45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7" s="206"/>
      <c r="N457" s="206"/>
      <c r="O457" s="206"/>
      <c r="P457" s="179"/>
    </row>
    <row r="458" spans="1:16" x14ac:dyDescent="0.25">
      <c r="A458" s="22" t="s">
        <v>1005</v>
      </c>
      <c r="B458" s="23" t="s">
        <v>63</v>
      </c>
      <c r="C458" s="193" t="str">
        <f>HYPERLINK("#'"&amp;Insumos_a_comprar[[#This Row],[Planilla]]&amp;"'!D1","Ir")</f>
        <v>Ir</v>
      </c>
      <c r="D458" s="23" t="s">
        <v>397</v>
      </c>
      <c r="E458" s="73"/>
      <c r="F458" s="74"/>
      <c r="G458" s="75" t="s">
        <v>65</v>
      </c>
      <c r="H458" s="76">
        <f ca="1">SUMIF(INDIRECT(SUBSTITUTE(B458," ","_")&amp;"[Insumo]"),Insumos_a_comprar[[#This Row],[Insumo]],INDIRECT(SUBSTITUTE(B458," ","_")&amp;"[Stock]"))</f>
        <v>20</v>
      </c>
      <c r="I458" s="194" t="str">
        <f ca="1">IF((Insumos_a_comprar[[#This Row],[Stock actual]]-Insumos_a_comprar[[#This Row],[Stock mínimo]])&lt;0,"Si","No")</f>
        <v>No</v>
      </c>
      <c r="J458" s="77" t="str">
        <f ca="1">INDEX(Table12[Acción],MATCH(Insumos_a_comprar[[#This Row],[Planilla]],Table12[Planilla],0))</f>
        <v>Constante</v>
      </c>
      <c r="K458" s="77">
        <v>100</v>
      </c>
      <c r="L458"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8" s="206"/>
      <c r="N458" s="206"/>
      <c r="O458" s="206"/>
      <c r="P458" s="179"/>
    </row>
    <row r="459" spans="1:16" x14ac:dyDescent="0.25">
      <c r="A459" s="22" t="s">
        <v>961</v>
      </c>
      <c r="B459" s="23" t="s">
        <v>63</v>
      </c>
      <c r="C459" s="193" t="str">
        <f>HYPERLINK("#'"&amp;Insumos_a_comprar[[#This Row],[Planilla]]&amp;"'!D1","Ir")</f>
        <v>Ir</v>
      </c>
      <c r="D459" s="23" t="s">
        <v>397</v>
      </c>
      <c r="E459" s="73"/>
      <c r="F459" s="74">
        <v>10</v>
      </c>
      <c r="G459" s="75" t="s">
        <v>65</v>
      </c>
      <c r="H459" s="76">
        <f ca="1">SUMIF(INDIRECT(SUBSTITUTE(B459," ","_")&amp;"[Insumo]"),Insumos_a_comprar[[#This Row],[Insumo]],INDIRECT(SUBSTITUTE(B459," ","_")&amp;"[Stock]"))</f>
        <v>87</v>
      </c>
      <c r="I459" s="194" t="str">
        <f ca="1">IF((Insumos_a_comprar[[#This Row],[Stock actual]]-Insumos_a_comprar[[#This Row],[Stock mínimo]])&lt;0,"Si","No")</f>
        <v>No</v>
      </c>
      <c r="J459" s="77" t="str">
        <f ca="1">INDEX(Table12[Acción],MATCH(Insumos_a_comprar[[#This Row],[Planilla]],Table12[Planilla],0))</f>
        <v>Constante</v>
      </c>
      <c r="K459" s="77">
        <v>50</v>
      </c>
      <c r="L459"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59" s="206"/>
      <c r="N459" s="206"/>
      <c r="O459" s="206"/>
      <c r="P459" s="179"/>
    </row>
    <row r="460" spans="1:16" x14ac:dyDescent="0.25">
      <c r="A460" s="22" t="s">
        <v>1000</v>
      </c>
      <c r="B460" s="23" t="s">
        <v>63</v>
      </c>
      <c r="C460" s="193" t="str">
        <f>HYPERLINK("#'"&amp;Insumos_a_comprar[[#This Row],[Planilla]]&amp;"'!D1","Ir")</f>
        <v>Ir</v>
      </c>
      <c r="D460" s="23" t="s">
        <v>397</v>
      </c>
      <c r="E460" s="73"/>
      <c r="F460" s="74">
        <v>25</v>
      </c>
      <c r="G460" s="75" t="s">
        <v>65</v>
      </c>
      <c r="H460" s="76">
        <f ca="1">SUMIF(INDIRECT(SUBSTITUTE(B460," ","_")&amp;"[Insumo]"),Insumos_a_comprar[[#This Row],[Insumo]],INDIRECT(SUBSTITUTE(B460," ","_")&amp;"[Stock]"))</f>
        <v>45</v>
      </c>
      <c r="I460" s="194" t="str">
        <f ca="1">IF((Insumos_a_comprar[[#This Row],[Stock actual]]-Insumos_a_comprar[[#This Row],[Stock mínimo]])&lt;0,"Si","No")</f>
        <v>No</v>
      </c>
      <c r="J460" s="77" t="str">
        <f ca="1">INDEX(Table12[Acción],MATCH(Insumos_a_comprar[[#This Row],[Planilla]],Table12[Planilla],0))</f>
        <v>Constante</v>
      </c>
      <c r="K460" s="77"/>
      <c r="L460"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60" s="206"/>
      <c r="N460" s="206"/>
      <c r="O460" s="206"/>
      <c r="P460" s="179"/>
    </row>
    <row r="461" spans="1:16" x14ac:dyDescent="0.25">
      <c r="A461" s="22" t="s">
        <v>999</v>
      </c>
      <c r="B461" s="23" t="s">
        <v>63</v>
      </c>
      <c r="C461" s="193" t="str">
        <f>HYPERLINK("#'"&amp;Insumos_a_comprar[[#This Row],[Planilla]]&amp;"'!D1","Ir")</f>
        <v>Ir</v>
      </c>
      <c r="D461" s="23" t="s">
        <v>397</v>
      </c>
      <c r="E461" s="73"/>
      <c r="F461" s="74">
        <v>50</v>
      </c>
      <c r="G461" s="75" t="s">
        <v>65</v>
      </c>
      <c r="H461" s="76">
        <f ca="1">SUMIF(INDIRECT(SUBSTITUTE(B461," ","_")&amp;"[Insumo]"),Insumos_a_comprar[[#This Row],[Insumo]],INDIRECT(SUBSTITUTE(B461," ","_")&amp;"[Stock]"))</f>
        <v>100</v>
      </c>
      <c r="I461" s="194" t="str">
        <f ca="1">IF((Insumos_a_comprar[[#This Row],[Stock actual]]-Insumos_a_comprar[[#This Row],[Stock mínimo]])&lt;0,"Si","No")</f>
        <v>No</v>
      </c>
      <c r="J461" s="77" t="str">
        <f ca="1">INDEX(Table12[Acción],MATCH(Insumos_a_comprar[[#This Row],[Planilla]],Table12[Planilla],0))</f>
        <v>Constante</v>
      </c>
      <c r="K461" s="77">
        <v>100</v>
      </c>
      <c r="L461"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61" s="206"/>
      <c r="N461" s="206"/>
      <c r="O461" s="206"/>
      <c r="P461" s="179"/>
    </row>
    <row r="462" spans="1:16" x14ac:dyDescent="0.25">
      <c r="A462" s="22" t="s">
        <v>1001</v>
      </c>
      <c r="B462" s="23" t="s">
        <v>63</v>
      </c>
      <c r="C462" s="193" t="str">
        <f>HYPERLINK("#'"&amp;Insumos_a_comprar[[#This Row],[Planilla]]&amp;"'!D1","Ir")</f>
        <v>Ir</v>
      </c>
      <c r="D462" s="23" t="s">
        <v>397</v>
      </c>
      <c r="E462" s="73"/>
      <c r="F462" s="74">
        <v>50</v>
      </c>
      <c r="G462" s="75" t="s">
        <v>65</v>
      </c>
      <c r="H462" s="76">
        <f ca="1">SUMIF(INDIRECT(SUBSTITUTE(B462," ","_")&amp;"[Insumo]"),Insumos_a_comprar[[#This Row],[Insumo]],INDIRECT(SUBSTITUTE(B462," ","_")&amp;"[Stock]"))</f>
        <v>122</v>
      </c>
      <c r="I462" s="194" t="str">
        <f ca="1">IF((Insumos_a_comprar[[#This Row],[Stock actual]]-Insumos_a_comprar[[#This Row],[Stock mínimo]])&lt;0,"Si","No")</f>
        <v>No</v>
      </c>
      <c r="J462" s="77" t="str">
        <f ca="1">INDEX(Table12[Acción],MATCH(Insumos_a_comprar[[#This Row],[Planilla]],Table12[Planilla],0))</f>
        <v>Constante</v>
      </c>
      <c r="K462" s="77">
        <v>100</v>
      </c>
      <c r="L462"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62" s="206"/>
      <c r="N462" s="206"/>
      <c r="O462" s="206"/>
      <c r="P462" s="179"/>
    </row>
    <row r="463" spans="1:16" x14ac:dyDescent="0.25">
      <c r="A463" s="22" t="s">
        <v>568</v>
      </c>
      <c r="B463" s="23" t="s">
        <v>440</v>
      </c>
      <c r="C463" s="61" t="str">
        <f>HYPERLINK("#'"&amp;Insumos_a_comprar[[#This Row],[Planilla]]&amp;"'!D1","Ir")</f>
        <v>Ir</v>
      </c>
      <c r="D463" s="11" t="s">
        <v>397</v>
      </c>
      <c r="E463" s="73" t="s">
        <v>397</v>
      </c>
      <c r="F463" s="74">
        <v>10</v>
      </c>
      <c r="G463" s="75" t="s">
        <v>65</v>
      </c>
      <c r="H463" s="76">
        <f ca="1">SUMIF(INDIRECT(SUBSTITUTE(B463," ","_")&amp;"[Insumo]"),Insumos_a_comprar[[#This Row],[Insumo]],INDIRECT(SUBSTITUTE(B463," ","_")&amp;"[Stock]"))</f>
        <v>7</v>
      </c>
      <c r="I463" s="69" t="str">
        <f ca="1">IF((Insumos_a_comprar[[#This Row],[Stock actual]]-Insumos_a_comprar[[#This Row],[Stock mínimo]])&lt;0,"Si","No")</f>
        <v>Si</v>
      </c>
      <c r="J463" s="67" t="str">
        <f ca="1">INDEX(Table12[Acción],MATCH(Insumos_a_comprar[[#This Row],[Planilla]],Table12[Planilla],0))</f>
        <v>Constante</v>
      </c>
      <c r="K463" s="77">
        <v>10</v>
      </c>
      <c r="L463"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Esperar</v>
      </c>
      <c r="M463" s="206">
        <v>44245</v>
      </c>
      <c r="N463" s="206"/>
      <c r="O463" s="206"/>
      <c r="P463" s="179" t="s">
        <v>1017</v>
      </c>
    </row>
    <row r="464" spans="1:16" x14ac:dyDescent="0.25">
      <c r="A464" s="22" t="s">
        <v>566</v>
      </c>
      <c r="B464" s="23" t="s">
        <v>440</v>
      </c>
      <c r="C464" s="61" t="str">
        <f>HYPERLINK("#'"&amp;Insumos_a_comprar[[#This Row],[Planilla]]&amp;"'!D1","Ir")</f>
        <v>Ir</v>
      </c>
      <c r="D464" s="11" t="s">
        <v>397</v>
      </c>
      <c r="E464" s="73" t="s">
        <v>397</v>
      </c>
      <c r="F464" s="74">
        <v>5</v>
      </c>
      <c r="G464" s="75" t="s">
        <v>65</v>
      </c>
      <c r="H464" s="76">
        <f ca="1">SUMIF(INDIRECT(SUBSTITUTE(B464," ","_")&amp;"[Insumo]"),Insumos_a_comprar[[#This Row],[Insumo]],INDIRECT(SUBSTITUTE(B464," ","_")&amp;"[Stock]"))</f>
        <v>7</v>
      </c>
      <c r="I464" s="69" t="str">
        <f ca="1">IF((Insumos_a_comprar[[#This Row],[Stock actual]]-Insumos_a_comprar[[#This Row],[Stock mínimo]])&lt;0,"Si","No")</f>
        <v>No</v>
      </c>
      <c r="J464" s="67" t="str">
        <f ca="1">INDEX(Table12[Acción],MATCH(Insumos_a_comprar[[#This Row],[Planilla]],Table12[Planilla],0))</f>
        <v>Constante</v>
      </c>
      <c r="K464" s="77">
        <v>10</v>
      </c>
      <c r="L464"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64" s="206"/>
      <c r="N464" s="206"/>
      <c r="O464" s="206"/>
      <c r="P464" s="179"/>
    </row>
    <row r="465" spans="1:16" x14ac:dyDescent="0.25">
      <c r="A465" s="22" t="s">
        <v>567</v>
      </c>
      <c r="B465" s="23" t="s">
        <v>440</v>
      </c>
      <c r="C465" s="61" t="str">
        <f>HYPERLINK("#'"&amp;Insumos_a_comprar[[#This Row],[Planilla]]&amp;"'!D1","Ir")</f>
        <v>Ir</v>
      </c>
      <c r="D465" s="11" t="s">
        <v>397</v>
      </c>
      <c r="E465" s="73" t="s">
        <v>397</v>
      </c>
      <c r="F465" s="74">
        <v>10</v>
      </c>
      <c r="G465" s="75" t="s">
        <v>65</v>
      </c>
      <c r="H465" s="76">
        <f ca="1">SUMIF(INDIRECT(SUBSTITUTE(B465," ","_")&amp;"[Insumo]"),Insumos_a_comprar[[#This Row],[Insumo]],INDIRECT(SUBSTITUTE(B465," ","_")&amp;"[Stock]"))</f>
        <v>13</v>
      </c>
      <c r="I465" s="69" t="str">
        <f ca="1">IF((Insumos_a_comprar[[#This Row],[Stock actual]]-Insumos_a_comprar[[#This Row],[Stock mínimo]])&lt;0,"Si","No")</f>
        <v>No</v>
      </c>
      <c r="J465" s="67" t="str">
        <f ca="1">INDEX(Table12[Acción],MATCH(Insumos_a_comprar[[#This Row],[Planilla]],Table12[Planilla],0))</f>
        <v>Constante</v>
      </c>
      <c r="K465" s="77">
        <v>10</v>
      </c>
      <c r="L465"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65" s="206"/>
      <c r="N465" s="206"/>
      <c r="O465" s="206"/>
      <c r="P465" s="179"/>
    </row>
    <row r="466" spans="1:16" x14ac:dyDescent="0.25">
      <c r="A466" s="22" t="s">
        <v>1008</v>
      </c>
      <c r="B466" s="23" t="s">
        <v>63</v>
      </c>
      <c r="C466" s="193" t="str">
        <f>HYPERLINK("#'"&amp;Insumos_a_comprar[[#This Row],[Planilla]]&amp;"'!D1","Ir")</f>
        <v>Ir</v>
      </c>
      <c r="D466" s="23" t="s">
        <v>397</v>
      </c>
      <c r="E466" s="73"/>
      <c r="F466" s="74"/>
      <c r="G466" s="75" t="s">
        <v>65</v>
      </c>
      <c r="H466" s="76">
        <f ca="1">SUMIF(INDIRECT(SUBSTITUTE(B466," ","_")&amp;"[Insumo]"),Insumos_a_comprar[[#This Row],[Insumo]],INDIRECT(SUBSTITUTE(B466," ","_")&amp;"[Stock]"))</f>
        <v>12</v>
      </c>
      <c r="I466" s="194" t="str">
        <f ca="1">IF((Insumos_a_comprar[[#This Row],[Stock actual]]-Insumos_a_comprar[[#This Row],[Stock mínimo]])&lt;0,"Si","No")</f>
        <v>No</v>
      </c>
      <c r="J466" s="77" t="str">
        <f ca="1">INDEX(Table12[Acción],MATCH(Insumos_a_comprar[[#This Row],[Planilla]],Table12[Planilla],0))</f>
        <v>Constante</v>
      </c>
      <c r="K466" s="77">
        <v>50</v>
      </c>
      <c r="L466"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66" s="367"/>
      <c r="N466" s="367"/>
      <c r="O466" s="367"/>
      <c r="P466" s="179"/>
    </row>
    <row r="467" spans="1:16" x14ac:dyDescent="0.25">
      <c r="A467" s="22" t="s">
        <v>69</v>
      </c>
      <c r="B467" s="23" t="s">
        <v>594</v>
      </c>
      <c r="C467" s="61" t="str">
        <f>HYPERLINK("#'"&amp;Insumos_a_comprar[[#This Row],[Planilla]]&amp;"'!D1","Ir")</f>
        <v>Ir</v>
      </c>
      <c r="D467" s="11" t="s">
        <v>397</v>
      </c>
      <c r="E467" s="73" t="s">
        <v>397</v>
      </c>
      <c r="F467" s="74">
        <v>1</v>
      </c>
      <c r="G467" s="75" t="s">
        <v>65</v>
      </c>
      <c r="H467" s="76">
        <f ca="1">SUMIF(INDIRECT(SUBSTITUTE(B467," ","_")&amp;"[Insumo]"),Insumos_a_comprar[[#This Row],[Insumo]],INDIRECT(SUBSTITUTE(B467," ","_")&amp;"[Stock]"))</f>
        <v>1</v>
      </c>
      <c r="I467" s="69" t="str">
        <f ca="1">IF((Insumos_a_comprar[[#This Row],[Stock actual]]-Insumos_a_comprar[[#This Row],[Stock mínimo]])&lt;0,"Si","No")</f>
        <v>No</v>
      </c>
      <c r="J467" s="67" t="str">
        <f ca="1">INDEX(Table12[Acción],MATCH(Insumos_a_comprar[[#This Row],[Planilla]],Table12[Planilla],0))</f>
        <v>Constante</v>
      </c>
      <c r="K467" s="77">
        <v>1</v>
      </c>
      <c r="L467" s="228" t="str">
        <f ca="1">IF(Insumos_a_comprar[[#This Row],[Stock actual]]="","chequear Stock",IF(Insumos_a_comprar[[#This Row],[Comprar?]]="No","Nada",IF(AND(Insumos_a_comprar[[#This Row],[Fecha relevado]]&lt;&gt;"",Insumos_a_comprar[[#This Row],[Postergado]]&lt;&gt;""),"Postergado",IF(AND(Insumos_a_comprar[[#This Row],[Fecha relevado]]&lt;&gt;"",Insumos_a_comprar[[#This Row],[Postergado]]=""),"Esperar",IF(AND(Insumos_a_comprar[[#This Row],[Fecha relevado]]="",Insumos_a_comprar[[#This Row],[Comprar?]]="Si"),"Pedir","Definir")))))</f>
        <v>Nada</v>
      </c>
      <c r="M467" s="367"/>
      <c r="N467" s="367"/>
      <c r="O467" s="367"/>
      <c r="P467" s="179"/>
    </row>
  </sheetData>
  <sheetProtection sheet="1" formatColumns="0" formatRows="0" sort="0" autoFilter="0" pivotTables="0"/>
  <conditionalFormatting sqref="J6:J353 I5:I467">
    <cfRule type="cellIs" dxfId="16" priority="12" operator="equal">
      <formula>"No"</formula>
    </cfRule>
    <cfRule type="cellIs" dxfId="15" priority="13" operator="equal">
      <formula>"Si"</formula>
    </cfRule>
  </conditionalFormatting>
  <conditionalFormatting sqref="L5:L467">
    <cfRule type="cellIs" dxfId="14" priority="1" operator="equal">
      <formula>"Postergado"</formula>
    </cfRule>
    <cfRule type="cellIs" dxfId="13" priority="5" operator="equal">
      <formula>"Pedir"</formula>
    </cfRule>
    <cfRule type="cellIs" dxfId="12" priority="6" operator="equal">
      <formula>"Nada"</formula>
    </cfRule>
    <cfRule type="cellIs" dxfId="11" priority="7" operator="equal">
      <formula>"Esperar"</formula>
    </cfRule>
  </conditionalFormatting>
  <dataValidations xWindow="493" yWindow="275" count="1">
    <dataValidation type="list" allowBlank="1" showInputMessage="1" showErrorMessage="1" prompt="S1= Lista I y II_x000a_S2= Lista III_x000a_S3= Resto de reactivos_x000a_N/A= no es reactivo" sqref="D5:D467" xr:uid="{00000000-0002-0000-0300-000000000000}">
      <formula1>"S1,S2,S3,N/A"</formula1>
    </dataValidation>
  </dataValidations>
  <pageMargins left="0.7" right="0.7" top="0.75" bottom="0.75" header="0.3" footer="0.3"/>
  <pageSetup orientation="portrait" verticalDpi="300" r:id="rId1"/>
  <drawing r:id="rId2"/>
  <tableParts count="1">
    <tablePart r:id="rId3"/>
  </tableParts>
  <extLst>
    <ext xmlns:x14="http://schemas.microsoft.com/office/spreadsheetml/2009/9/main" uri="{CCE6A557-97BC-4b89-ADB6-D9C93CAAB3DF}">
      <x14:dataValidations xmlns:xm="http://schemas.microsoft.com/office/excel/2006/main" xWindow="493" yWindow="275" count="2">
        <x14:dataValidation type="list" allowBlank="1" showInputMessage="1" showErrorMessage="1" xr:uid="{00000000-0002-0000-0300-000001000000}">
          <x14:formula1>
            <xm:f>'Estado general'!$A$4:$A$15</xm:f>
          </x14:formula1>
          <xm:sqref>B462:C464 B466:B1048576</xm:sqref>
        </x14:dataValidation>
        <x14:dataValidation type="list" allowBlank="1" showInputMessage="1" showErrorMessage="1" prompt="Elegir la hoja de stock correspondiente al insumo" xr:uid="{00000000-0002-0000-0300-000002000000}">
          <x14:formula1>
            <xm:f>'Estado general'!$A$4:$A$15</xm:f>
          </x14:formula1>
          <xm:sqref>B465 B5:B461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pageSetUpPr fitToPage="1"/>
  </sheetPr>
  <dimension ref="A1:I21"/>
  <sheetViews>
    <sheetView showGridLines="0" zoomScaleNormal="100" workbookViewId="0">
      <selection activeCell="H9" sqref="H9"/>
    </sheetView>
  </sheetViews>
  <sheetFormatPr defaultColWidth="11.42578125" defaultRowHeight="12.75" x14ac:dyDescent="0.2"/>
  <cols>
    <col min="1" max="1" width="33.42578125" style="80" bestFit="1" customWidth="1"/>
    <col min="2" max="2" width="13.42578125" style="80" customWidth="1"/>
    <col min="3" max="3" width="12.28515625" style="80" bestFit="1" customWidth="1"/>
    <col min="4" max="5" width="14.85546875" style="80" bestFit="1" customWidth="1"/>
    <col min="6" max="6" width="16.5703125" style="80" bestFit="1" customWidth="1"/>
    <col min="7" max="8" width="20.85546875" style="80" bestFit="1" customWidth="1"/>
    <col min="9" max="9" width="26" style="80" customWidth="1"/>
    <col min="10" max="249" width="11.42578125" style="80"/>
    <col min="250" max="250" width="36" style="80" customWidth="1"/>
    <col min="251" max="251" width="14.5703125" style="80" bestFit="1" customWidth="1"/>
    <col min="252" max="253" width="13.42578125" style="80" customWidth="1"/>
    <col min="254" max="254" width="11.5703125" style="80" customWidth="1"/>
    <col min="255" max="255" width="12.7109375" style="80" customWidth="1"/>
    <col min="256" max="256" width="12.5703125" style="80" customWidth="1"/>
    <col min="257" max="258" width="11" style="80" customWidth="1"/>
    <col min="259" max="259" width="11.5703125" style="80" bestFit="1" customWidth="1"/>
    <col min="260" max="260" width="11.42578125" style="80"/>
    <col min="261" max="261" width="11.7109375" style="80" customWidth="1"/>
    <col min="262" max="263" width="18.42578125" style="80" customWidth="1"/>
    <col min="264" max="505" width="11.42578125" style="80"/>
    <col min="506" max="506" width="36" style="80" customWidth="1"/>
    <col min="507" max="507" width="14.5703125" style="80" bestFit="1" customWidth="1"/>
    <col min="508" max="509" width="13.42578125" style="80" customWidth="1"/>
    <col min="510" max="510" width="11.5703125" style="80" customWidth="1"/>
    <col min="511" max="511" width="12.7109375" style="80" customWidth="1"/>
    <col min="512" max="512" width="12.5703125" style="80" customWidth="1"/>
    <col min="513" max="514" width="11" style="80" customWidth="1"/>
    <col min="515" max="515" width="11.5703125" style="80" bestFit="1" customWidth="1"/>
    <col min="516" max="516" width="11.42578125" style="80"/>
    <col min="517" max="517" width="11.7109375" style="80" customWidth="1"/>
    <col min="518" max="519" width="18.42578125" style="80" customWidth="1"/>
    <col min="520" max="761" width="11.42578125" style="80"/>
    <col min="762" max="762" width="36" style="80" customWidth="1"/>
    <col min="763" max="763" width="14.5703125" style="80" bestFit="1" customWidth="1"/>
    <col min="764" max="765" width="13.42578125" style="80" customWidth="1"/>
    <col min="766" max="766" width="11.5703125" style="80" customWidth="1"/>
    <col min="767" max="767" width="12.7109375" style="80" customWidth="1"/>
    <col min="768" max="768" width="12.5703125" style="80" customWidth="1"/>
    <col min="769" max="770" width="11" style="80" customWidth="1"/>
    <col min="771" max="771" width="11.5703125" style="80" bestFit="1" customWidth="1"/>
    <col min="772" max="772" width="11.42578125" style="80"/>
    <col min="773" max="773" width="11.7109375" style="80" customWidth="1"/>
    <col min="774" max="775" width="18.42578125" style="80" customWidth="1"/>
    <col min="776" max="1017" width="11.42578125" style="80"/>
    <col min="1018" max="1018" width="36" style="80" customWidth="1"/>
    <col min="1019" max="1019" width="14.5703125" style="80" bestFit="1" customWidth="1"/>
    <col min="1020" max="1021" width="13.42578125" style="80" customWidth="1"/>
    <col min="1022" max="1022" width="11.5703125" style="80" customWidth="1"/>
    <col min="1023" max="1023" width="12.7109375" style="80" customWidth="1"/>
    <col min="1024" max="1024" width="12.5703125" style="80" customWidth="1"/>
    <col min="1025" max="1026" width="11" style="80" customWidth="1"/>
    <col min="1027" max="1027" width="11.5703125" style="80" bestFit="1" customWidth="1"/>
    <col min="1028" max="1028" width="11.42578125" style="80"/>
    <col min="1029" max="1029" width="11.7109375" style="80" customWidth="1"/>
    <col min="1030" max="1031" width="18.42578125" style="80" customWidth="1"/>
    <col min="1032" max="1273" width="11.42578125" style="80"/>
    <col min="1274" max="1274" width="36" style="80" customWidth="1"/>
    <col min="1275" max="1275" width="14.5703125" style="80" bestFit="1" customWidth="1"/>
    <col min="1276" max="1277" width="13.42578125" style="80" customWidth="1"/>
    <col min="1278" max="1278" width="11.5703125" style="80" customWidth="1"/>
    <col min="1279" max="1279" width="12.7109375" style="80" customWidth="1"/>
    <col min="1280" max="1280" width="12.5703125" style="80" customWidth="1"/>
    <col min="1281" max="1282" width="11" style="80" customWidth="1"/>
    <col min="1283" max="1283" width="11.5703125" style="80" bestFit="1" customWidth="1"/>
    <col min="1284" max="1284" width="11.42578125" style="80"/>
    <col min="1285" max="1285" width="11.7109375" style="80" customWidth="1"/>
    <col min="1286" max="1287" width="18.42578125" style="80" customWidth="1"/>
    <col min="1288" max="1529" width="11.42578125" style="80"/>
    <col min="1530" max="1530" width="36" style="80" customWidth="1"/>
    <col min="1531" max="1531" width="14.5703125" style="80" bestFit="1" customWidth="1"/>
    <col min="1532" max="1533" width="13.42578125" style="80" customWidth="1"/>
    <col min="1534" max="1534" width="11.5703125" style="80" customWidth="1"/>
    <col min="1535" max="1535" width="12.7109375" style="80" customWidth="1"/>
    <col min="1536" max="1536" width="12.5703125" style="80" customWidth="1"/>
    <col min="1537" max="1538" width="11" style="80" customWidth="1"/>
    <col min="1539" max="1539" width="11.5703125" style="80" bestFit="1" customWidth="1"/>
    <col min="1540" max="1540" width="11.42578125" style="80"/>
    <col min="1541" max="1541" width="11.7109375" style="80" customWidth="1"/>
    <col min="1542" max="1543" width="18.42578125" style="80" customWidth="1"/>
    <col min="1544" max="1785" width="11.42578125" style="80"/>
    <col min="1786" max="1786" width="36" style="80" customWidth="1"/>
    <col min="1787" max="1787" width="14.5703125" style="80" bestFit="1" customWidth="1"/>
    <col min="1788" max="1789" width="13.42578125" style="80" customWidth="1"/>
    <col min="1790" max="1790" width="11.5703125" style="80" customWidth="1"/>
    <col min="1791" max="1791" width="12.7109375" style="80" customWidth="1"/>
    <col min="1792" max="1792" width="12.5703125" style="80" customWidth="1"/>
    <col min="1793" max="1794" width="11" style="80" customWidth="1"/>
    <col min="1795" max="1795" width="11.5703125" style="80" bestFit="1" customWidth="1"/>
    <col min="1796" max="1796" width="11.42578125" style="80"/>
    <col min="1797" max="1797" width="11.7109375" style="80" customWidth="1"/>
    <col min="1798" max="1799" width="18.42578125" style="80" customWidth="1"/>
    <col min="1800" max="2041" width="11.42578125" style="80"/>
    <col min="2042" max="2042" width="36" style="80" customWidth="1"/>
    <col min="2043" max="2043" width="14.5703125" style="80" bestFit="1" customWidth="1"/>
    <col min="2044" max="2045" width="13.42578125" style="80" customWidth="1"/>
    <col min="2046" max="2046" width="11.5703125" style="80" customWidth="1"/>
    <col min="2047" max="2047" width="12.7109375" style="80" customWidth="1"/>
    <col min="2048" max="2048" width="12.5703125" style="80" customWidth="1"/>
    <col min="2049" max="2050" width="11" style="80" customWidth="1"/>
    <col min="2051" max="2051" width="11.5703125" style="80" bestFit="1" customWidth="1"/>
    <col min="2052" max="2052" width="11.42578125" style="80"/>
    <col min="2053" max="2053" width="11.7109375" style="80" customWidth="1"/>
    <col min="2054" max="2055" width="18.42578125" style="80" customWidth="1"/>
    <col min="2056" max="2297" width="11.42578125" style="80"/>
    <col min="2298" max="2298" width="36" style="80" customWidth="1"/>
    <col min="2299" max="2299" width="14.5703125" style="80" bestFit="1" customWidth="1"/>
    <col min="2300" max="2301" width="13.42578125" style="80" customWidth="1"/>
    <col min="2302" max="2302" width="11.5703125" style="80" customWidth="1"/>
    <col min="2303" max="2303" width="12.7109375" style="80" customWidth="1"/>
    <col min="2304" max="2304" width="12.5703125" style="80" customWidth="1"/>
    <col min="2305" max="2306" width="11" style="80" customWidth="1"/>
    <col min="2307" max="2307" width="11.5703125" style="80" bestFit="1" customWidth="1"/>
    <col min="2308" max="2308" width="11.42578125" style="80"/>
    <col min="2309" max="2309" width="11.7109375" style="80" customWidth="1"/>
    <col min="2310" max="2311" width="18.42578125" style="80" customWidth="1"/>
    <col min="2312" max="2553" width="11.42578125" style="80"/>
    <col min="2554" max="2554" width="36" style="80" customWidth="1"/>
    <col min="2555" max="2555" width="14.5703125" style="80" bestFit="1" customWidth="1"/>
    <col min="2556" max="2557" width="13.42578125" style="80" customWidth="1"/>
    <col min="2558" max="2558" width="11.5703125" style="80" customWidth="1"/>
    <col min="2559" max="2559" width="12.7109375" style="80" customWidth="1"/>
    <col min="2560" max="2560" width="12.5703125" style="80" customWidth="1"/>
    <col min="2561" max="2562" width="11" style="80" customWidth="1"/>
    <col min="2563" max="2563" width="11.5703125" style="80" bestFit="1" customWidth="1"/>
    <col min="2564" max="2564" width="11.42578125" style="80"/>
    <col min="2565" max="2565" width="11.7109375" style="80" customWidth="1"/>
    <col min="2566" max="2567" width="18.42578125" style="80" customWidth="1"/>
    <col min="2568" max="2809" width="11.42578125" style="80"/>
    <col min="2810" max="2810" width="36" style="80" customWidth="1"/>
    <col min="2811" max="2811" width="14.5703125" style="80" bestFit="1" customWidth="1"/>
    <col min="2812" max="2813" width="13.42578125" style="80" customWidth="1"/>
    <col min="2814" max="2814" width="11.5703125" style="80" customWidth="1"/>
    <col min="2815" max="2815" width="12.7109375" style="80" customWidth="1"/>
    <col min="2816" max="2816" width="12.5703125" style="80" customWidth="1"/>
    <col min="2817" max="2818" width="11" style="80" customWidth="1"/>
    <col min="2819" max="2819" width="11.5703125" style="80" bestFit="1" customWidth="1"/>
    <col min="2820" max="2820" width="11.42578125" style="80"/>
    <col min="2821" max="2821" width="11.7109375" style="80" customWidth="1"/>
    <col min="2822" max="2823" width="18.42578125" style="80" customWidth="1"/>
    <col min="2824" max="3065" width="11.42578125" style="80"/>
    <col min="3066" max="3066" width="36" style="80" customWidth="1"/>
    <col min="3067" max="3067" width="14.5703125" style="80" bestFit="1" customWidth="1"/>
    <col min="3068" max="3069" width="13.42578125" style="80" customWidth="1"/>
    <col min="3070" max="3070" width="11.5703125" style="80" customWidth="1"/>
    <col min="3071" max="3071" width="12.7109375" style="80" customWidth="1"/>
    <col min="3072" max="3072" width="12.5703125" style="80" customWidth="1"/>
    <col min="3073" max="3074" width="11" style="80" customWidth="1"/>
    <col min="3075" max="3075" width="11.5703125" style="80" bestFit="1" customWidth="1"/>
    <col min="3076" max="3076" width="11.42578125" style="80"/>
    <col min="3077" max="3077" width="11.7109375" style="80" customWidth="1"/>
    <col min="3078" max="3079" width="18.42578125" style="80" customWidth="1"/>
    <col min="3080" max="3321" width="11.42578125" style="80"/>
    <col min="3322" max="3322" width="36" style="80" customWidth="1"/>
    <col min="3323" max="3323" width="14.5703125" style="80" bestFit="1" customWidth="1"/>
    <col min="3324" max="3325" width="13.42578125" style="80" customWidth="1"/>
    <col min="3326" max="3326" width="11.5703125" style="80" customWidth="1"/>
    <col min="3327" max="3327" width="12.7109375" style="80" customWidth="1"/>
    <col min="3328" max="3328" width="12.5703125" style="80" customWidth="1"/>
    <col min="3329" max="3330" width="11" style="80" customWidth="1"/>
    <col min="3331" max="3331" width="11.5703125" style="80" bestFit="1" customWidth="1"/>
    <col min="3332" max="3332" width="11.42578125" style="80"/>
    <col min="3333" max="3333" width="11.7109375" style="80" customWidth="1"/>
    <col min="3334" max="3335" width="18.42578125" style="80" customWidth="1"/>
    <col min="3336" max="3577" width="11.42578125" style="80"/>
    <col min="3578" max="3578" width="36" style="80" customWidth="1"/>
    <col min="3579" max="3579" width="14.5703125" style="80" bestFit="1" customWidth="1"/>
    <col min="3580" max="3581" width="13.42578125" style="80" customWidth="1"/>
    <col min="3582" max="3582" width="11.5703125" style="80" customWidth="1"/>
    <col min="3583" max="3583" width="12.7109375" style="80" customWidth="1"/>
    <col min="3584" max="3584" width="12.5703125" style="80" customWidth="1"/>
    <col min="3585" max="3586" width="11" style="80" customWidth="1"/>
    <col min="3587" max="3587" width="11.5703125" style="80" bestFit="1" customWidth="1"/>
    <col min="3588" max="3588" width="11.42578125" style="80"/>
    <col min="3589" max="3589" width="11.7109375" style="80" customWidth="1"/>
    <col min="3590" max="3591" width="18.42578125" style="80" customWidth="1"/>
    <col min="3592" max="3833" width="11.42578125" style="80"/>
    <col min="3834" max="3834" width="36" style="80" customWidth="1"/>
    <col min="3835" max="3835" width="14.5703125" style="80" bestFit="1" customWidth="1"/>
    <col min="3836" max="3837" width="13.42578125" style="80" customWidth="1"/>
    <col min="3838" max="3838" width="11.5703125" style="80" customWidth="1"/>
    <col min="3839" max="3839" width="12.7109375" style="80" customWidth="1"/>
    <col min="3840" max="3840" width="12.5703125" style="80" customWidth="1"/>
    <col min="3841" max="3842" width="11" style="80" customWidth="1"/>
    <col min="3843" max="3843" width="11.5703125" style="80" bestFit="1" customWidth="1"/>
    <col min="3844" max="3844" width="11.42578125" style="80"/>
    <col min="3845" max="3845" width="11.7109375" style="80" customWidth="1"/>
    <col min="3846" max="3847" width="18.42578125" style="80" customWidth="1"/>
    <col min="3848" max="4089" width="11.42578125" style="80"/>
    <col min="4090" max="4090" width="36" style="80" customWidth="1"/>
    <col min="4091" max="4091" width="14.5703125" style="80" bestFit="1" customWidth="1"/>
    <col min="4092" max="4093" width="13.42578125" style="80" customWidth="1"/>
    <col min="4094" max="4094" width="11.5703125" style="80" customWidth="1"/>
    <col min="4095" max="4095" width="12.7109375" style="80" customWidth="1"/>
    <col min="4096" max="4096" width="12.5703125" style="80" customWidth="1"/>
    <col min="4097" max="4098" width="11" style="80" customWidth="1"/>
    <col min="4099" max="4099" width="11.5703125" style="80" bestFit="1" customWidth="1"/>
    <col min="4100" max="4100" width="11.42578125" style="80"/>
    <col min="4101" max="4101" width="11.7109375" style="80" customWidth="1"/>
    <col min="4102" max="4103" width="18.42578125" style="80" customWidth="1"/>
    <col min="4104" max="4345" width="11.42578125" style="80"/>
    <col min="4346" max="4346" width="36" style="80" customWidth="1"/>
    <col min="4347" max="4347" width="14.5703125" style="80" bestFit="1" customWidth="1"/>
    <col min="4348" max="4349" width="13.42578125" style="80" customWidth="1"/>
    <col min="4350" max="4350" width="11.5703125" style="80" customWidth="1"/>
    <col min="4351" max="4351" width="12.7109375" style="80" customWidth="1"/>
    <col min="4352" max="4352" width="12.5703125" style="80" customWidth="1"/>
    <col min="4353" max="4354" width="11" style="80" customWidth="1"/>
    <col min="4355" max="4355" width="11.5703125" style="80" bestFit="1" customWidth="1"/>
    <col min="4356" max="4356" width="11.42578125" style="80"/>
    <col min="4357" max="4357" width="11.7109375" style="80" customWidth="1"/>
    <col min="4358" max="4359" width="18.42578125" style="80" customWidth="1"/>
    <col min="4360" max="4601" width="11.42578125" style="80"/>
    <col min="4602" max="4602" width="36" style="80" customWidth="1"/>
    <col min="4603" max="4603" width="14.5703125" style="80" bestFit="1" customWidth="1"/>
    <col min="4604" max="4605" width="13.42578125" style="80" customWidth="1"/>
    <col min="4606" max="4606" width="11.5703125" style="80" customWidth="1"/>
    <col min="4607" max="4607" width="12.7109375" style="80" customWidth="1"/>
    <col min="4608" max="4608" width="12.5703125" style="80" customWidth="1"/>
    <col min="4609" max="4610" width="11" style="80" customWidth="1"/>
    <col min="4611" max="4611" width="11.5703125" style="80" bestFit="1" customWidth="1"/>
    <col min="4612" max="4612" width="11.42578125" style="80"/>
    <col min="4613" max="4613" width="11.7109375" style="80" customWidth="1"/>
    <col min="4614" max="4615" width="18.42578125" style="80" customWidth="1"/>
    <col min="4616" max="4857" width="11.42578125" style="80"/>
    <col min="4858" max="4858" width="36" style="80" customWidth="1"/>
    <col min="4859" max="4859" width="14.5703125" style="80" bestFit="1" customWidth="1"/>
    <col min="4860" max="4861" width="13.42578125" style="80" customWidth="1"/>
    <col min="4862" max="4862" width="11.5703125" style="80" customWidth="1"/>
    <col min="4863" max="4863" width="12.7109375" style="80" customWidth="1"/>
    <col min="4864" max="4864" width="12.5703125" style="80" customWidth="1"/>
    <col min="4865" max="4866" width="11" style="80" customWidth="1"/>
    <col min="4867" max="4867" width="11.5703125" style="80" bestFit="1" customWidth="1"/>
    <col min="4868" max="4868" width="11.42578125" style="80"/>
    <col min="4869" max="4869" width="11.7109375" style="80" customWidth="1"/>
    <col min="4870" max="4871" width="18.42578125" style="80" customWidth="1"/>
    <col min="4872" max="5113" width="11.42578125" style="80"/>
    <col min="5114" max="5114" width="36" style="80" customWidth="1"/>
    <col min="5115" max="5115" width="14.5703125" style="80" bestFit="1" customWidth="1"/>
    <col min="5116" max="5117" width="13.42578125" style="80" customWidth="1"/>
    <col min="5118" max="5118" width="11.5703125" style="80" customWidth="1"/>
    <col min="5119" max="5119" width="12.7109375" style="80" customWidth="1"/>
    <col min="5120" max="5120" width="12.5703125" style="80" customWidth="1"/>
    <col min="5121" max="5122" width="11" style="80" customWidth="1"/>
    <col min="5123" max="5123" width="11.5703125" style="80" bestFit="1" customWidth="1"/>
    <col min="5124" max="5124" width="11.42578125" style="80"/>
    <col min="5125" max="5125" width="11.7109375" style="80" customWidth="1"/>
    <col min="5126" max="5127" width="18.42578125" style="80" customWidth="1"/>
    <col min="5128" max="5369" width="11.42578125" style="80"/>
    <col min="5370" max="5370" width="36" style="80" customWidth="1"/>
    <col min="5371" max="5371" width="14.5703125" style="80" bestFit="1" customWidth="1"/>
    <col min="5372" max="5373" width="13.42578125" style="80" customWidth="1"/>
    <col min="5374" max="5374" width="11.5703125" style="80" customWidth="1"/>
    <col min="5375" max="5375" width="12.7109375" style="80" customWidth="1"/>
    <col min="5376" max="5376" width="12.5703125" style="80" customWidth="1"/>
    <col min="5377" max="5378" width="11" style="80" customWidth="1"/>
    <col min="5379" max="5379" width="11.5703125" style="80" bestFit="1" customWidth="1"/>
    <col min="5380" max="5380" width="11.42578125" style="80"/>
    <col min="5381" max="5381" width="11.7109375" style="80" customWidth="1"/>
    <col min="5382" max="5383" width="18.42578125" style="80" customWidth="1"/>
    <col min="5384" max="5625" width="11.42578125" style="80"/>
    <col min="5626" max="5626" width="36" style="80" customWidth="1"/>
    <col min="5627" max="5627" width="14.5703125" style="80" bestFit="1" customWidth="1"/>
    <col min="5628" max="5629" width="13.42578125" style="80" customWidth="1"/>
    <col min="5630" max="5630" width="11.5703125" style="80" customWidth="1"/>
    <col min="5631" max="5631" width="12.7109375" style="80" customWidth="1"/>
    <col min="5632" max="5632" width="12.5703125" style="80" customWidth="1"/>
    <col min="5633" max="5634" width="11" style="80" customWidth="1"/>
    <col min="5635" max="5635" width="11.5703125" style="80" bestFit="1" customWidth="1"/>
    <col min="5636" max="5636" width="11.42578125" style="80"/>
    <col min="5637" max="5637" width="11.7109375" style="80" customWidth="1"/>
    <col min="5638" max="5639" width="18.42578125" style="80" customWidth="1"/>
    <col min="5640" max="5881" width="11.42578125" style="80"/>
    <col min="5882" max="5882" width="36" style="80" customWidth="1"/>
    <col min="5883" max="5883" width="14.5703125" style="80" bestFit="1" customWidth="1"/>
    <col min="5884" max="5885" width="13.42578125" style="80" customWidth="1"/>
    <col min="5886" max="5886" width="11.5703125" style="80" customWidth="1"/>
    <col min="5887" max="5887" width="12.7109375" style="80" customWidth="1"/>
    <col min="5888" max="5888" width="12.5703125" style="80" customWidth="1"/>
    <col min="5889" max="5890" width="11" style="80" customWidth="1"/>
    <col min="5891" max="5891" width="11.5703125" style="80" bestFit="1" customWidth="1"/>
    <col min="5892" max="5892" width="11.42578125" style="80"/>
    <col min="5893" max="5893" width="11.7109375" style="80" customWidth="1"/>
    <col min="5894" max="5895" width="18.42578125" style="80" customWidth="1"/>
    <col min="5896" max="6137" width="11.42578125" style="80"/>
    <col min="6138" max="6138" width="36" style="80" customWidth="1"/>
    <col min="6139" max="6139" width="14.5703125" style="80" bestFit="1" customWidth="1"/>
    <col min="6140" max="6141" width="13.42578125" style="80" customWidth="1"/>
    <col min="6142" max="6142" width="11.5703125" style="80" customWidth="1"/>
    <col min="6143" max="6143" width="12.7109375" style="80" customWidth="1"/>
    <col min="6144" max="6144" width="12.5703125" style="80" customWidth="1"/>
    <col min="6145" max="6146" width="11" style="80" customWidth="1"/>
    <col min="6147" max="6147" width="11.5703125" style="80" bestFit="1" customWidth="1"/>
    <col min="6148" max="6148" width="11.42578125" style="80"/>
    <col min="6149" max="6149" width="11.7109375" style="80" customWidth="1"/>
    <col min="6150" max="6151" width="18.42578125" style="80" customWidth="1"/>
    <col min="6152" max="6393" width="11.42578125" style="80"/>
    <col min="6394" max="6394" width="36" style="80" customWidth="1"/>
    <col min="6395" max="6395" width="14.5703125" style="80" bestFit="1" customWidth="1"/>
    <col min="6396" max="6397" width="13.42578125" style="80" customWidth="1"/>
    <col min="6398" max="6398" width="11.5703125" style="80" customWidth="1"/>
    <col min="6399" max="6399" width="12.7109375" style="80" customWidth="1"/>
    <col min="6400" max="6400" width="12.5703125" style="80" customWidth="1"/>
    <col min="6401" max="6402" width="11" style="80" customWidth="1"/>
    <col min="6403" max="6403" width="11.5703125" style="80" bestFit="1" customWidth="1"/>
    <col min="6404" max="6404" width="11.42578125" style="80"/>
    <col min="6405" max="6405" width="11.7109375" style="80" customWidth="1"/>
    <col min="6406" max="6407" width="18.42578125" style="80" customWidth="1"/>
    <col min="6408" max="6649" width="11.42578125" style="80"/>
    <col min="6650" max="6650" width="36" style="80" customWidth="1"/>
    <col min="6651" max="6651" width="14.5703125" style="80" bestFit="1" customWidth="1"/>
    <col min="6652" max="6653" width="13.42578125" style="80" customWidth="1"/>
    <col min="6654" max="6654" width="11.5703125" style="80" customWidth="1"/>
    <col min="6655" max="6655" width="12.7109375" style="80" customWidth="1"/>
    <col min="6656" max="6656" width="12.5703125" style="80" customWidth="1"/>
    <col min="6657" max="6658" width="11" style="80" customWidth="1"/>
    <col min="6659" max="6659" width="11.5703125" style="80" bestFit="1" customWidth="1"/>
    <col min="6660" max="6660" width="11.42578125" style="80"/>
    <col min="6661" max="6661" width="11.7109375" style="80" customWidth="1"/>
    <col min="6662" max="6663" width="18.42578125" style="80" customWidth="1"/>
    <col min="6664" max="6905" width="11.42578125" style="80"/>
    <col min="6906" max="6906" width="36" style="80" customWidth="1"/>
    <col min="6907" max="6907" width="14.5703125" style="80" bestFit="1" customWidth="1"/>
    <col min="6908" max="6909" width="13.42578125" style="80" customWidth="1"/>
    <col min="6910" max="6910" width="11.5703125" style="80" customWidth="1"/>
    <col min="6911" max="6911" width="12.7109375" style="80" customWidth="1"/>
    <col min="6912" max="6912" width="12.5703125" style="80" customWidth="1"/>
    <col min="6913" max="6914" width="11" style="80" customWidth="1"/>
    <col min="6915" max="6915" width="11.5703125" style="80" bestFit="1" customWidth="1"/>
    <col min="6916" max="6916" width="11.42578125" style="80"/>
    <col min="6917" max="6917" width="11.7109375" style="80" customWidth="1"/>
    <col min="6918" max="6919" width="18.42578125" style="80" customWidth="1"/>
    <col min="6920" max="7161" width="11.42578125" style="80"/>
    <col min="7162" max="7162" width="36" style="80" customWidth="1"/>
    <col min="7163" max="7163" width="14.5703125" style="80" bestFit="1" customWidth="1"/>
    <col min="7164" max="7165" width="13.42578125" style="80" customWidth="1"/>
    <col min="7166" max="7166" width="11.5703125" style="80" customWidth="1"/>
    <col min="7167" max="7167" width="12.7109375" style="80" customWidth="1"/>
    <col min="7168" max="7168" width="12.5703125" style="80" customWidth="1"/>
    <col min="7169" max="7170" width="11" style="80" customWidth="1"/>
    <col min="7171" max="7171" width="11.5703125" style="80" bestFit="1" customWidth="1"/>
    <col min="7172" max="7172" width="11.42578125" style="80"/>
    <col min="7173" max="7173" width="11.7109375" style="80" customWidth="1"/>
    <col min="7174" max="7175" width="18.42578125" style="80" customWidth="1"/>
    <col min="7176" max="7417" width="11.42578125" style="80"/>
    <col min="7418" max="7418" width="36" style="80" customWidth="1"/>
    <col min="7419" max="7419" width="14.5703125" style="80" bestFit="1" customWidth="1"/>
    <col min="7420" max="7421" width="13.42578125" style="80" customWidth="1"/>
    <col min="7422" max="7422" width="11.5703125" style="80" customWidth="1"/>
    <col min="7423" max="7423" width="12.7109375" style="80" customWidth="1"/>
    <col min="7424" max="7424" width="12.5703125" style="80" customWidth="1"/>
    <col min="7425" max="7426" width="11" style="80" customWidth="1"/>
    <col min="7427" max="7427" width="11.5703125" style="80" bestFit="1" customWidth="1"/>
    <col min="7428" max="7428" width="11.42578125" style="80"/>
    <col min="7429" max="7429" width="11.7109375" style="80" customWidth="1"/>
    <col min="7430" max="7431" width="18.42578125" style="80" customWidth="1"/>
    <col min="7432" max="7673" width="11.42578125" style="80"/>
    <col min="7674" max="7674" width="36" style="80" customWidth="1"/>
    <col min="7675" max="7675" width="14.5703125" style="80" bestFit="1" customWidth="1"/>
    <col min="7676" max="7677" width="13.42578125" style="80" customWidth="1"/>
    <col min="7678" max="7678" width="11.5703125" style="80" customWidth="1"/>
    <col min="7679" max="7679" width="12.7109375" style="80" customWidth="1"/>
    <col min="7680" max="7680" width="12.5703125" style="80" customWidth="1"/>
    <col min="7681" max="7682" width="11" style="80" customWidth="1"/>
    <col min="7683" max="7683" width="11.5703125" style="80" bestFit="1" customWidth="1"/>
    <col min="7684" max="7684" width="11.42578125" style="80"/>
    <col min="7685" max="7685" width="11.7109375" style="80" customWidth="1"/>
    <col min="7686" max="7687" width="18.42578125" style="80" customWidth="1"/>
    <col min="7688" max="7929" width="11.42578125" style="80"/>
    <col min="7930" max="7930" width="36" style="80" customWidth="1"/>
    <col min="7931" max="7931" width="14.5703125" style="80" bestFit="1" customWidth="1"/>
    <col min="7932" max="7933" width="13.42578125" style="80" customWidth="1"/>
    <col min="7934" max="7934" width="11.5703125" style="80" customWidth="1"/>
    <col min="7935" max="7935" width="12.7109375" style="80" customWidth="1"/>
    <col min="7936" max="7936" width="12.5703125" style="80" customWidth="1"/>
    <col min="7937" max="7938" width="11" style="80" customWidth="1"/>
    <col min="7939" max="7939" width="11.5703125" style="80" bestFit="1" customWidth="1"/>
    <col min="7940" max="7940" width="11.42578125" style="80"/>
    <col min="7941" max="7941" width="11.7109375" style="80" customWidth="1"/>
    <col min="7942" max="7943" width="18.42578125" style="80" customWidth="1"/>
    <col min="7944" max="8185" width="11.42578125" style="80"/>
    <col min="8186" max="8186" width="36" style="80" customWidth="1"/>
    <col min="8187" max="8187" width="14.5703125" style="80" bestFit="1" customWidth="1"/>
    <col min="8188" max="8189" width="13.42578125" style="80" customWidth="1"/>
    <col min="8190" max="8190" width="11.5703125" style="80" customWidth="1"/>
    <col min="8191" max="8191" width="12.7109375" style="80" customWidth="1"/>
    <col min="8192" max="8192" width="12.5703125" style="80" customWidth="1"/>
    <col min="8193" max="8194" width="11" style="80" customWidth="1"/>
    <col min="8195" max="8195" width="11.5703125" style="80" bestFit="1" customWidth="1"/>
    <col min="8196" max="8196" width="11.42578125" style="80"/>
    <col min="8197" max="8197" width="11.7109375" style="80" customWidth="1"/>
    <col min="8198" max="8199" width="18.42578125" style="80" customWidth="1"/>
    <col min="8200" max="8441" width="11.42578125" style="80"/>
    <col min="8442" max="8442" width="36" style="80" customWidth="1"/>
    <col min="8443" max="8443" width="14.5703125" style="80" bestFit="1" customWidth="1"/>
    <col min="8444" max="8445" width="13.42578125" style="80" customWidth="1"/>
    <col min="8446" max="8446" width="11.5703125" style="80" customWidth="1"/>
    <col min="8447" max="8447" width="12.7109375" style="80" customWidth="1"/>
    <col min="8448" max="8448" width="12.5703125" style="80" customWidth="1"/>
    <col min="8449" max="8450" width="11" style="80" customWidth="1"/>
    <col min="8451" max="8451" width="11.5703125" style="80" bestFit="1" customWidth="1"/>
    <col min="8452" max="8452" width="11.42578125" style="80"/>
    <col min="8453" max="8453" width="11.7109375" style="80" customWidth="1"/>
    <col min="8454" max="8455" width="18.42578125" style="80" customWidth="1"/>
    <col min="8456" max="8697" width="11.42578125" style="80"/>
    <col min="8698" max="8698" width="36" style="80" customWidth="1"/>
    <col min="8699" max="8699" width="14.5703125" style="80" bestFit="1" customWidth="1"/>
    <col min="8700" max="8701" width="13.42578125" style="80" customWidth="1"/>
    <col min="8702" max="8702" width="11.5703125" style="80" customWidth="1"/>
    <col min="8703" max="8703" width="12.7109375" style="80" customWidth="1"/>
    <col min="8704" max="8704" width="12.5703125" style="80" customWidth="1"/>
    <col min="8705" max="8706" width="11" style="80" customWidth="1"/>
    <col min="8707" max="8707" width="11.5703125" style="80" bestFit="1" customWidth="1"/>
    <col min="8708" max="8708" width="11.42578125" style="80"/>
    <col min="8709" max="8709" width="11.7109375" style="80" customWidth="1"/>
    <col min="8710" max="8711" width="18.42578125" style="80" customWidth="1"/>
    <col min="8712" max="8953" width="11.42578125" style="80"/>
    <col min="8954" max="8954" width="36" style="80" customWidth="1"/>
    <col min="8955" max="8955" width="14.5703125" style="80" bestFit="1" customWidth="1"/>
    <col min="8956" max="8957" width="13.42578125" style="80" customWidth="1"/>
    <col min="8958" max="8958" width="11.5703125" style="80" customWidth="1"/>
    <col min="8959" max="8959" width="12.7109375" style="80" customWidth="1"/>
    <col min="8960" max="8960" width="12.5703125" style="80" customWidth="1"/>
    <col min="8961" max="8962" width="11" style="80" customWidth="1"/>
    <col min="8963" max="8963" width="11.5703125" style="80" bestFit="1" customWidth="1"/>
    <col min="8964" max="8964" width="11.42578125" style="80"/>
    <col min="8965" max="8965" width="11.7109375" style="80" customWidth="1"/>
    <col min="8966" max="8967" width="18.42578125" style="80" customWidth="1"/>
    <col min="8968" max="9209" width="11.42578125" style="80"/>
    <col min="9210" max="9210" width="36" style="80" customWidth="1"/>
    <col min="9211" max="9211" width="14.5703125" style="80" bestFit="1" customWidth="1"/>
    <col min="9212" max="9213" width="13.42578125" style="80" customWidth="1"/>
    <col min="9214" max="9214" width="11.5703125" style="80" customWidth="1"/>
    <col min="9215" max="9215" width="12.7109375" style="80" customWidth="1"/>
    <col min="9216" max="9216" width="12.5703125" style="80" customWidth="1"/>
    <col min="9217" max="9218" width="11" style="80" customWidth="1"/>
    <col min="9219" max="9219" width="11.5703125" style="80" bestFit="1" customWidth="1"/>
    <col min="9220" max="9220" width="11.42578125" style="80"/>
    <col min="9221" max="9221" width="11.7109375" style="80" customWidth="1"/>
    <col min="9222" max="9223" width="18.42578125" style="80" customWidth="1"/>
    <col min="9224" max="9465" width="11.42578125" style="80"/>
    <col min="9466" max="9466" width="36" style="80" customWidth="1"/>
    <col min="9467" max="9467" width="14.5703125" style="80" bestFit="1" customWidth="1"/>
    <col min="9468" max="9469" width="13.42578125" style="80" customWidth="1"/>
    <col min="9470" max="9470" width="11.5703125" style="80" customWidth="1"/>
    <col min="9471" max="9471" width="12.7109375" style="80" customWidth="1"/>
    <col min="9472" max="9472" width="12.5703125" style="80" customWidth="1"/>
    <col min="9473" max="9474" width="11" style="80" customWidth="1"/>
    <col min="9475" max="9475" width="11.5703125" style="80" bestFit="1" customWidth="1"/>
    <col min="9476" max="9476" width="11.42578125" style="80"/>
    <col min="9477" max="9477" width="11.7109375" style="80" customWidth="1"/>
    <col min="9478" max="9479" width="18.42578125" style="80" customWidth="1"/>
    <col min="9480" max="9721" width="11.42578125" style="80"/>
    <col min="9722" max="9722" width="36" style="80" customWidth="1"/>
    <col min="9723" max="9723" width="14.5703125" style="80" bestFit="1" customWidth="1"/>
    <col min="9724" max="9725" width="13.42578125" style="80" customWidth="1"/>
    <col min="9726" max="9726" width="11.5703125" style="80" customWidth="1"/>
    <col min="9727" max="9727" width="12.7109375" style="80" customWidth="1"/>
    <col min="9728" max="9728" width="12.5703125" style="80" customWidth="1"/>
    <col min="9729" max="9730" width="11" style="80" customWidth="1"/>
    <col min="9731" max="9731" width="11.5703125" style="80" bestFit="1" customWidth="1"/>
    <col min="9732" max="9732" width="11.42578125" style="80"/>
    <col min="9733" max="9733" width="11.7109375" style="80" customWidth="1"/>
    <col min="9734" max="9735" width="18.42578125" style="80" customWidth="1"/>
    <col min="9736" max="9977" width="11.42578125" style="80"/>
    <col min="9978" max="9978" width="36" style="80" customWidth="1"/>
    <col min="9979" max="9979" width="14.5703125" style="80" bestFit="1" customWidth="1"/>
    <col min="9980" max="9981" width="13.42578125" style="80" customWidth="1"/>
    <col min="9982" max="9982" width="11.5703125" style="80" customWidth="1"/>
    <col min="9983" max="9983" width="12.7109375" style="80" customWidth="1"/>
    <col min="9984" max="9984" width="12.5703125" style="80" customWidth="1"/>
    <col min="9985" max="9986" width="11" style="80" customWidth="1"/>
    <col min="9987" max="9987" width="11.5703125" style="80" bestFit="1" customWidth="1"/>
    <col min="9988" max="9988" width="11.42578125" style="80"/>
    <col min="9989" max="9989" width="11.7109375" style="80" customWidth="1"/>
    <col min="9990" max="9991" width="18.42578125" style="80" customWidth="1"/>
    <col min="9992" max="10233" width="11.42578125" style="80"/>
    <col min="10234" max="10234" width="36" style="80" customWidth="1"/>
    <col min="10235" max="10235" width="14.5703125" style="80" bestFit="1" customWidth="1"/>
    <col min="10236" max="10237" width="13.42578125" style="80" customWidth="1"/>
    <col min="10238" max="10238" width="11.5703125" style="80" customWidth="1"/>
    <col min="10239" max="10239" width="12.7109375" style="80" customWidth="1"/>
    <col min="10240" max="10240" width="12.5703125" style="80" customWidth="1"/>
    <col min="10241" max="10242" width="11" style="80" customWidth="1"/>
    <col min="10243" max="10243" width="11.5703125" style="80" bestFit="1" customWidth="1"/>
    <col min="10244" max="10244" width="11.42578125" style="80"/>
    <col min="10245" max="10245" width="11.7109375" style="80" customWidth="1"/>
    <col min="10246" max="10247" width="18.42578125" style="80" customWidth="1"/>
    <col min="10248" max="10489" width="11.42578125" style="80"/>
    <col min="10490" max="10490" width="36" style="80" customWidth="1"/>
    <col min="10491" max="10491" width="14.5703125" style="80" bestFit="1" customWidth="1"/>
    <col min="10492" max="10493" width="13.42578125" style="80" customWidth="1"/>
    <col min="10494" max="10494" width="11.5703125" style="80" customWidth="1"/>
    <col min="10495" max="10495" width="12.7109375" style="80" customWidth="1"/>
    <col min="10496" max="10496" width="12.5703125" style="80" customWidth="1"/>
    <col min="10497" max="10498" width="11" style="80" customWidth="1"/>
    <col min="10499" max="10499" width="11.5703125" style="80" bestFit="1" customWidth="1"/>
    <col min="10500" max="10500" width="11.42578125" style="80"/>
    <col min="10501" max="10501" width="11.7109375" style="80" customWidth="1"/>
    <col min="10502" max="10503" width="18.42578125" style="80" customWidth="1"/>
    <col min="10504" max="10745" width="11.42578125" style="80"/>
    <col min="10746" max="10746" width="36" style="80" customWidth="1"/>
    <col min="10747" max="10747" width="14.5703125" style="80" bestFit="1" customWidth="1"/>
    <col min="10748" max="10749" width="13.42578125" style="80" customWidth="1"/>
    <col min="10750" max="10750" width="11.5703125" style="80" customWidth="1"/>
    <col min="10751" max="10751" width="12.7109375" style="80" customWidth="1"/>
    <col min="10752" max="10752" width="12.5703125" style="80" customWidth="1"/>
    <col min="10753" max="10754" width="11" style="80" customWidth="1"/>
    <col min="10755" max="10755" width="11.5703125" style="80" bestFit="1" customWidth="1"/>
    <col min="10756" max="10756" width="11.42578125" style="80"/>
    <col min="10757" max="10757" width="11.7109375" style="80" customWidth="1"/>
    <col min="10758" max="10759" width="18.42578125" style="80" customWidth="1"/>
    <col min="10760" max="11001" width="11.42578125" style="80"/>
    <col min="11002" max="11002" width="36" style="80" customWidth="1"/>
    <col min="11003" max="11003" width="14.5703125" style="80" bestFit="1" customWidth="1"/>
    <col min="11004" max="11005" width="13.42578125" style="80" customWidth="1"/>
    <col min="11006" max="11006" width="11.5703125" style="80" customWidth="1"/>
    <col min="11007" max="11007" width="12.7109375" style="80" customWidth="1"/>
    <col min="11008" max="11008" width="12.5703125" style="80" customWidth="1"/>
    <col min="11009" max="11010" width="11" style="80" customWidth="1"/>
    <col min="11011" max="11011" width="11.5703125" style="80" bestFit="1" customWidth="1"/>
    <col min="11012" max="11012" width="11.42578125" style="80"/>
    <col min="11013" max="11013" width="11.7109375" style="80" customWidth="1"/>
    <col min="11014" max="11015" width="18.42578125" style="80" customWidth="1"/>
    <col min="11016" max="11257" width="11.42578125" style="80"/>
    <col min="11258" max="11258" width="36" style="80" customWidth="1"/>
    <col min="11259" max="11259" width="14.5703125" style="80" bestFit="1" customWidth="1"/>
    <col min="11260" max="11261" width="13.42578125" style="80" customWidth="1"/>
    <col min="11262" max="11262" width="11.5703125" style="80" customWidth="1"/>
    <col min="11263" max="11263" width="12.7109375" style="80" customWidth="1"/>
    <col min="11264" max="11264" width="12.5703125" style="80" customWidth="1"/>
    <col min="11265" max="11266" width="11" style="80" customWidth="1"/>
    <col min="11267" max="11267" width="11.5703125" style="80" bestFit="1" customWidth="1"/>
    <col min="11268" max="11268" width="11.42578125" style="80"/>
    <col min="11269" max="11269" width="11.7109375" style="80" customWidth="1"/>
    <col min="11270" max="11271" width="18.42578125" style="80" customWidth="1"/>
    <col min="11272" max="11513" width="11.42578125" style="80"/>
    <col min="11514" max="11514" width="36" style="80" customWidth="1"/>
    <col min="11515" max="11515" width="14.5703125" style="80" bestFit="1" customWidth="1"/>
    <col min="11516" max="11517" width="13.42578125" style="80" customWidth="1"/>
    <col min="11518" max="11518" width="11.5703125" style="80" customWidth="1"/>
    <col min="11519" max="11519" width="12.7109375" style="80" customWidth="1"/>
    <col min="11520" max="11520" width="12.5703125" style="80" customWidth="1"/>
    <col min="11521" max="11522" width="11" style="80" customWidth="1"/>
    <col min="11523" max="11523" width="11.5703125" style="80" bestFit="1" customWidth="1"/>
    <col min="11524" max="11524" width="11.42578125" style="80"/>
    <col min="11525" max="11525" width="11.7109375" style="80" customWidth="1"/>
    <col min="11526" max="11527" width="18.42578125" style="80" customWidth="1"/>
    <col min="11528" max="11769" width="11.42578125" style="80"/>
    <col min="11770" max="11770" width="36" style="80" customWidth="1"/>
    <col min="11771" max="11771" width="14.5703125" style="80" bestFit="1" customWidth="1"/>
    <col min="11772" max="11773" width="13.42578125" style="80" customWidth="1"/>
    <col min="11774" max="11774" width="11.5703125" style="80" customWidth="1"/>
    <col min="11775" max="11775" width="12.7109375" style="80" customWidth="1"/>
    <col min="11776" max="11776" width="12.5703125" style="80" customWidth="1"/>
    <col min="11777" max="11778" width="11" style="80" customWidth="1"/>
    <col min="11779" max="11779" width="11.5703125" style="80" bestFit="1" customWidth="1"/>
    <col min="11780" max="11780" width="11.42578125" style="80"/>
    <col min="11781" max="11781" width="11.7109375" style="80" customWidth="1"/>
    <col min="11782" max="11783" width="18.42578125" style="80" customWidth="1"/>
    <col min="11784" max="12025" width="11.42578125" style="80"/>
    <col min="12026" max="12026" width="36" style="80" customWidth="1"/>
    <col min="12027" max="12027" width="14.5703125" style="80" bestFit="1" customWidth="1"/>
    <col min="12028" max="12029" width="13.42578125" style="80" customWidth="1"/>
    <col min="12030" max="12030" width="11.5703125" style="80" customWidth="1"/>
    <col min="12031" max="12031" width="12.7109375" style="80" customWidth="1"/>
    <col min="12032" max="12032" width="12.5703125" style="80" customWidth="1"/>
    <col min="12033" max="12034" width="11" style="80" customWidth="1"/>
    <col min="12035" max="12035" width="11.5703125" style="80" bestFit="1" customWidth="1"/>
    <col min="12036" max="12036" width="11.42578125" style="80"/>
    <col min="12037" max="12037" width="11.7109375" style="80" customWidth="1"/>
    <col min="12038" max="12039" width="18.42578125" style="80" customWidth="1"/>
    <col min="12040" max="12281" width="11.42578125" style="80"/>
    <col min="12282" max="12282" width="36" style="80" customWidth="1"/>
    <col min="12283" max="12283" width="14.5703125" style="80" bestFit="1" customWidth="1"/>
    <col min="12284" max="12285" width="13.42578125" style="80" customWidth="1"/>
    <col min="12286" max="12286" width="11.5703125" style="80" customWidth="1"/>
    <col min="12287" max="12287" width="12.7109375" style="80" customWidth="1"/>
    <col min="12288" max="12288" width="12.5703125" style="80" customWidth="1"/>
    <col min="12289" max="12290" width="11" style="80" customWidth="1"/>
    <col min="12291" max="12291" width="11.5703125" style="80" bestFit="1" customWidth="1"/>
    <col min="12292" max="12292" width="11.42578125" style="80"/>
    <col min="12293" max="12293" width="11.7109375" style="80" customWidth="1"/>
    <col min="12294" max="12295" width="18.42578125" style="80" customWidth="1"/>
    <col min="12296" max="12537" width="11.42578125" style="80"/>
    <col min="12538" max="12538" width="36" style="80" customWidth="1"/>
    <col min="12539" max="12539" width="14.5703125" style="80" bestFit="1" customWidth="1"/>
    <col min="12540" max="12541" width="13.42578125" style="80" customWidth="1"/>
    <col min="12542" max="12542" width="11.5703125" style="80" customWidth="1"/>
    <col min="12543" max="12543" width="12.7109375" style="80" customWidth="1"/>
    <col min="12544" max="12544" width="12.5703125" style="80" customWidth="1"/>
    <col min="12545" max="12546" width="11" style="80" customWidth="1"/>
    <col min="12547" max="12547" width="11.5703125" style="80" bestFit="1" customWidth="1"/>
    <col min="12548" max="12548" width="11.42578125" style="80"/>
    <col min="12549" max="12549" width="11.7109375" style="80" customWidth="1"/>
    <col min="12550" max="12551" width="18.42578125" style="80" customWidth="1"/>
    <col min="12552" max="12793" width="11.42578125" style="80"/>
    <col min="12794" max="12794" width="36" style="80" customWidth="1"/>
    <col min="12795" max="12795" width="14.5703125" style="80" bestFit="1" customWidth="1"/>
    <col min="12796" max="12797" width="13.42578125" style="80" customWidth="1"/>
    <col min="12798" max="12798" width="11.5703125" style="80" customWidth="1"/>
    <col min="12799" max="12799" width="12.7109375" style="80" customWidth="1"/>
    <col min="12800" max="12800" width="12.5703125" style="80" customWidth="1"/>
    <col min="12801" max="12802" width="11" style="80" customWidth="1"/>
    <col min="12803" max="12803" width="11.5703125" style="80" bestFit="1" customWidth="1"/>
    <col min="12804" max="12804" width="11.42578125" style="80"/>
    <col min="12805" max="12805" width="11.7109375" style="80" customWidth="1"/>
    <col min="12806" max="12807" width="18.42578125" style="80" customWidth="1"/>
    <col min="12808" max="13049" width="11.42578125" style="80"/>
    <col min="13050" max="13050" width="36" style="80" customWidth="1"/>
    <col min="13051" max="13051" width="14.5703125" style="80" bestFit="1" customWidth="1"/>
    <col min="13052" max="13053" width="13.42578125" style="80" customWidth="1"/>
    <col min="13054" max="13054" width="11.5703125" style="80" customWidth="1"/>
    <col min="13055" max="13055" width="12.7109375" style="80" customWidth="1"/>
    <col min="13056" max="13056" width="12.5703125" style="80" customWidth="1"/>
    <col min="13057" max="13058" width="11" style="80" customWidth="1"/>
    <col min="13059" max="13059" width="11.5703125" style="80" bestFit="1" customWidth="1"/>
    <col min="13060" max="13060" width="11.42578125" style="80"/>
    <col min="13061" max="13061" width="11.7109375" style="80" customWidth="1"/>
    <col min="13062" max="13063" width="18.42578125" style="80" customWidth="1"/>
    <col min="13064" max="13305" width="11.42578125" style="80"/>
    <col min="13306" max="13306" width="36" style="80" customWidth="1"/>
    <col min="13307" max="13307" width="14.5703125" style="80" bestFit="1" customWidth="1"/>
    <col min="13308" max="13309" width="13.42578125" style="80" customWidth="1"/>
    <col min="13310" max="13310" width="11.5703125" style="80" customWidth="1"/>
    <col min="13311" max="13311" width="12.7109375" style="80" customWidth="1"/>
    <col min="13312" max="13312" width="12.5703125" style="80" customWidth="1"/>
    <col min="13313" max="13314" width="11" style="80" customWidth="1"/>
    <col min="13315" max="13315" width="11.5703125" style="80" bestFit="1" customWidth="1"/>
    <col min="13316" max="13316" width="11.42578125" style="80"/>
    <col min="13317" max="13317" width="11.7109375" style="80" customWidth="1"/>
    <col min="13318" max="13319" width="18.42578125" style="80" customWidth="1"/>
    <col min="13320" max="13561" width="11.42578125" style="80"/>
    <col min="13562" max="13562" width="36" style="80" customWidth="1"/>
    <col min="13563" max="13563" width="14.5703125" style="80" bestFit="1" customWidth="1"/>
    <col min="13564" max="13565" width="13.42578125" style="80" customWidth="1"/>
    <col min="13566" max="13566" width="11.5703125" style="80" customWidth="1"/>
    <col min="13567" max="13567" width="12.7109375" style="80" customWidth="1"/>
    <col min="13568" max="13568" width="12.5703125" style="80" customWidth="1"/>
    <col min="13569" max="13570" width="11" style="80" customWidth="1"/>
    <col min="13571" max="13571" width="11.5703125" style="80" bestFit="1" customWidth="1"/>
    <col min="13572" max="13572" width="11.42578125" style="80"/>
    <col min="13573" max="13573" width="11.7109375" style="80" customWidth="1"/>
    <col min="13574" max="13575" width="18.42578125" style="80" customWidth="1"/>
    <col min="13576" max="13817" width="11.42578125" style="80"/>
    <col min="13818" max="13818" width="36" style="80" customWidth="1"/>
    <col min="13819" max="13819" width="14.5703125" style="80" bestFit="1" customWidth="1"/>
    <col min="13820" max="13821" width="13.42578125" style="80" customWidth="1"/>
    <col min="13822" max="13822" width="11.5703125" style="80" customWidth="1"/>
    <col min="13823" max="13823" width="12.7109375" style="80" customWidth="1"/>
    <col min="13824" max="13824" width="12.5703125" style="80" customWidth="1"/>
    <col min="13825" max="13826" width="11" style="80" customWidth="1"/>
    <col min="13827" max="13827" width="11.5703125" style="80" bestFit="1" customWidth="1"/>
    <col min="13828" max="13828" width="11.42578125" style="80"/>
    <col min="13829" max="13829" width="11.7109375" style="80" customWidth="1"/>
    <col min="13830" max="13831" width="18.42578125" style="80" customWidth="1"/>
    <col min="13832" max="14073" width="11.42578125" style="80"/>
    <col min="14074" max="14074" width="36" style="80" customWidth="1"/>
    <col min="14075" max="14075" width="14.5703125" style="80" bestFit="1" customWidth="1"/>
    <col min="14076" max="14077" width="13.42578125" style="80" customWidth="1"/>
    <col min="14078" max="14078" width="11.5703125" style="80" customWidth="1"/>
    <col min="14079" max="14079" width="12.7109375" style="80" customWidth="1"/>
    <col min="14080" max="14080" width="12.5703125" style="80" customWidth="1"/>
    <col min="14081" max="14082" width="11" style="80" customWidth="1"/>
    <col min="14083" max="14083" width="11.5703125" style="80" bestFit="1" customWidth="1"/>
    <col min="14084" max="14084" width="11.42578125" style="80"/>
    <col min="14085" max="14085" width="11.7109375" style="80" customWidth="1"/>
    <col min="14086" max="14087" width="18.42578125" style="80" customWidth="1"/>
    <col min="14088" max="14329" width="11.42578125" style="80"/>
    <col min="14330" max="14330" width="36" style="80" customWidth="1"/>
    <col min="14331" max="14331" width="14.5703125" style="80" bestFit="1" customWidth="1"/>
    <col min="14332" max="14333" width="13.42578125" style="80" customWidth="1"/>
    <col min="14334" max="14334" width="11.5703125" style="80" customWidth="1"/>
    <col min="14335" max="14335" width="12.7109375" style="80" customWidth="1"/>
    <col min="14336" max="14336" width="12.5703125" style="80" customWidth="1"/>
    <col min="14337" max="14338" width="11" style="80" customWidth="1"/>
    <col min="14339" max="14339" width="11.5703125" style="80" bestFit="1" customWidth="1"/>
    <col min="14340" max="14340" width="11.42578125" style="80"/>
    <col min="14341" max="14341" width="11.7109375" style="80" customWidth="1"/>
    <col min="14342" max="14343" width="18.42578125" style="80" customWidth="1"/>
    <col min="14344" max="14585" width="11.42578125" style="80"/>
    <col min="14586" max="14586" width="36" style="80" customWidth="1"/>
    <col min="14587" max="14587" width="14.5703125" style="80" bestFit="1" customWidth="1"/>
    <col min="14588" max="14589" width="13.42578125" style="80" customWidth="1"/>
    <col min="14590" max="14590" width="11.5703125" style="80" customWidth="1"/>
    <col min="14591" max="14591" width="12.7109375" style="80" customWidth="1"/>
    <col min="14592" max="14592" width="12.5703125" style="80" customWidth="1"/>
    <col min="14593" max="14594" width="11" style="80" customWidth="1"/>
    <col min="14595" max="14595" width="11.5703125" style="80" bestFit="1" customWidth="1"/>
    <col min="14596" max="14596" width="11.42578125" style="80"/>
    <col min="14597" max="14597" width="11.7109375" style="80" customWidth="1"/>
    <col min="14598" max="14599" width="18.42578125" style="80" customWidth="1"/>
    <col min="14600" max="14841" width="11.42578125" style="80"/>
    <col min="14842" max="14842" width="36" style="80" customWidth="1"/>
    <col min="14843" max="14843" width="14.5703125" style="80" bestFit="1" customWidth="1"/>
    <col min="14844" max="14845" width="13.42578125" style="80" customWidth="1"/>
    <col min="14846" max="14846" width="11.5703125" style="80" customWidth="1"/>
    <col min="14847" max="14847" width="12.7109375" style="80" customWidth="1"/>
    <col min="14848" max="14848" width="12.5703125" style="80" customWidth="1"/>
    <col min="14849" max="14850" width="11" style="80" customWidth="1"/>
    <col min="14851" max="14851" width="11.5703125" style="80" bestFit="1" customWidth="1"/>
    <col min="14852" max="14852" width="11.42578125" style="80"/>
    <col min="14853" max="14853" width="11.7109375" style="80" customWidth="1"/>
    <col min="14854" max="14855" width="18.42578125" style="80" customWidth="1"/>
    <col min="14856" max="15097" width="11.42578125" style="80"/>
    <col min="15098" max="15098" width="36" style="80" customWidth="1"/>
    <col min="15099" max="15099" width="14.5703125" style="80" bestFit="1" customWidth="1"/>
    <col min="15100" max="15101" width="13.42578125" style="80" customWidth="1"/>
    <col min="15102" max="15102" width="11.5703125" style="80" customWidth="1"/>
    <col min="15103" max="15103" width="12.7109375" style="80" customWidth="1"/>
    <col min="15104" max="15104" width="12.5703125" style="80" customWidth="1"/>
    <col min="15105" max="15106" width="11" style="80" customWidth="1"/>
    <col min="15107" max="15107" width="11.5703125" style="80" bestFit="1" customWidth="1"/>
    <col min="15108" max="15108" width="11.42578125" style="80"/>
    <col min="15109" max="15109" width="11.7109375" style="80" customWidth="1"/>
    <col min="15110" max="15111" width="18.42578125" style="80" customWidth="1"/>
    <col min="15112" max="15353" width="11.42578125" style="80"/>
    <col min="15354" max="15354" width="36" style="80" customWidth="1"/>
    <col min="15355" max="15355" width="14.5703125" style="80" bestFit="1" customWidth="1"/>
    <col min="15356" max="15357" width="13.42578125" style="80" customWidth="1"/>
    <col min="15358" max="15358" width="11.5703125" style="80" customWidth="1"/>
    <col min="15359" max="15359" width="12.7109375" style="80" customWidth="1"/>
    <col min="15360" max="15360" width="12.5703125" style="80" customWidth="1"/>
    <col min="15361" max="15362" width="11" style="80" customWidth="1"/>
    <col min="15363" max="15363" width="11.5703125" style="80" bestFit="1" customWidth="1"/>
    <col min="15364" max="15364" width="11.42578125" style="80"/>
    <col min="15365" max="15365" width="11.7109375" style="80" customWidth="1"/>
    <col min="15366" max="15367" width="18.42578125" style="80" customWidth="1"/>
    <col min="15368" max="15609" width="11.42578125" style="80"/>
    <col min="15610" max="15610" width="36" style="80" customWidth="1"/>
    <col min="15611" max="15611" width="14.5703125" style="80" bestFit="1" customWidth="1"/>
    <col min="15612" max="15613" width="13.42578125" style="80" customWidth="1"/>
    <col min="15614" max="15614" width="11.5703125" style="80" customWidth="1"/>
    <col min="15615" max="15615" width="12.7109375" style="80" customWidth="1"/>
    <col min="15616" max="15616" width="12.5703125" style="80" customWidth="1"/>
    <col min="15617" max="15618" width="11" style="80" customWidth="1"/>
    <col min="15619" max="15619" width="11.5703125" style="80" bestFit="1" customWidth="1"/>
    <col min="15620" max="15620" width="11.42578125" style="80"/>
    <col min="15621" max="15621" width="11.7109375" style="80" customWidth="1"/>
    <col min="15622" max="15623" width="18.42578125" style="80" customWidth="1"/>
    <col min="15624" max="15865" width="11.42578125" style="80"/>
    <col min="15866" max="15866" width="36" style="80" customWidth="1"/>
    <col min="15867" max="15867" width="14.5703125" style="80" bestFit="1" customWidth="1"/>
    <col min="15868" max="15869" width="13.42578125" style="80" customWidth="1"/>
    <col min="15870" max="15870" width="11.5703125" style="80" customWidth="1"/>
    <col min="15871" max="15871" width="12.7109375" style="80" customWidth="1"/>
    <col min="15872" max="15872" width="12.5703125" style="80" customWidth="1"/>
    <col min="15873" max="15874" width="11" style="80" customWidth="1"/>
    <col min="15875" max="15875" width="11.5703125" style="80" bestFit="1" customWidth="1"/>
    <col min="15876" max="15876" width="11.42578125" style="80"/>
    <col min="15877" max="15877" width="11.7109375" style="80" customWidth="1"/>
    <col min="15878" max="15879" width="18.42578125" style="80" customWidth="1"/>
    <col min="15880" max="16121" width="11.42578125" style="80"/>
    <col min="16122" max="16122" width="36" style="80" customWidth="1"/>
    <col min="16123" max="16123" width="14.5703125" style="80" bestFit="1" customWidth="1"/>
    <col min="16124" max="16125" width="13.42578125" style="80" customWidth="1"/>
    <col min="16126" max="16126" width="11.5703125" style="80" customWidth="1"/>
    <col min="16127" max="16127" width="12.7109375" style="80" customWidth="1"/>
    <col min="16128" max="16128" width="12.5703125" style="80" customWidth="1"/>
    <col min="16129" max="16130" width="11" style="80" customWidth="1"/>
    <col min="16131" max="16131" width="11.5703125" style="80" bestFit="1" customWidth="1"/>
    <col min="16132" max="16132" width="11.42578125" style="80"/>
    <col min="16133" max="16133" width="11.7109375" style="80" customWidth="1"/>
    <col min="16134" max="16135" width="18.42578125" style="80" customWidth="1"/>
    <col min="16136" max="16384" width="11.42578125" style="80"/>
  </cols>
  <sheetData>
    <row r="1" spans="1:9" ht="39" customHeight="1" x14ac:dyDescent="0.2">
      <c r="A1" s="78" t="s">
        <v>56</v>
      </c>
      <c r="B1" s="92">
        <v>44272</v>
      </c>
      <c r="C1" s="79" t="s">
        <v>444</v>
      </c>
      <c r="D1" s="79" t="s">
        <v>780</v>
      </c>
      <c r="E1" s="434" t="s">
        <v>797</v>
      </c>
      <c r="F1" s="435"/>
      <c r="G1" s="435"/>
      <c r="H1" s="435"/>
      <c r="I1" s="435"/>
    </row>
    <row r="2" spans="1:9" s="84" customFormat="1" ht="37.5" x14ac:dyDescent="0.25">
      <c r="A2" s="81" t="s">
        <v>260</v>
      </c>
      <c r="B2" s="81" t="s">
        <v>1</v>
      </c>
      <c r="C2" s="82" t="s">
        <v>55</v>
      </c>
      <c r="D2" s="81" t="s">
        <v>58</v>
      </c>
      <c r="E2" s="81" t="s">
        <v>147</v>
      </c>
      <c r="F2" s="82" t="s">
        <v>752</v>
      </c>
      <c r="G2" s="81" t="s">
        <v>3</v>
      </c>
      <c r="H2" s="83" t="s">
        <v>5</v>
      </c>
      <c r="I2" s="83" t="s">
        <v>658</v>
      </c>
    </row>
    <row r="3" spans="1:9" ht="15.75" x14ac:dyDescent="0.25">
      <c r="A3" s="85" t="s">
        <v>191</v>
      </c>
      <c r="B3" s="63" t="s">
        <v>18</v>
      </c>
      <c r="C3" s="21" t="s">
        <v>1039</v>
      </c>
      <c r="D3" s="63"/>
      <c r="E3" s="63"/>
      <c r="F3" s="86">
        <v>1</v>
      </c>
      <c r="G3" s="87" t="s">
        <v>397</v>
      </c>
      <c r="H3" s="18"/>
      <c r="I3" s="91"/>
    </row>
    <row r="4" spans="1:9" ht="15.75" hidden="1" x14ac:dyDescent="0.25">
      <c r="A4" s="85" t="s">
        <v>191</v>
      </c>
      <c r="B4" s="63"/>
      <c r="C4" s="21"/>
      <c r="D4" s="63"/>
      <c r="E4" s="63"/>
      <c r="F4" s="86">
        <v>3</v>
      </c>
      <c r="G4" s="87" t="s">
        <v>397</v>
      </c>
      <c r="H4" s="18"/>
      <c r="I4" s="91">
        <v>44049</v>
      </c>
    </row>
    <row r="5" spans="1:9" ht="15.75" x14ac:dyDescent="0.25">
      <c r="A5" s="85" t="s">
        <v>191</v>
      </c>
      <c r="B5" s="63" t="s">
        <v>127</v>
      </c>
      <c r="C5" s="21">
        <v>2.8</v>
      </c>
      <c r="D5" s="63"/>
      <c r="E5" s="63"/>
      <c r="F5" s="86">
        <v>3</v>
      </c>
      <c r="G5" s="87" t="s">
        <v>397</v>
      </c>
      <c r="H5" s="18"/>
      <c r="I5" s="91"/>
    </row>
    <row r="6" spans="1:9" ht="15.75" x14ac:dyDescent="0.25">
      <c r="A6" s="85" t="s">
        <v>190</v>
      </c>
      <c r="B6" s="63" t="s">
        <v>18</v>
      </c>
      <c r="C6" s="21"/>
      <c r="D6" s="89">
        <v>43500</v>
      </c>
      <c r="E6" s="63"/>
      <c r="F6" s="86">
        <v>5</v>
      </c>
      <c r="G6" s="90">
        <v>45474</v>
      </c>
      <c r="H6" s="18"/>
      <c r="I6" s="91"/>
    </row>
    <row r="7" spans="1:9" ht="15.75" x14ac:dyDescent="0.25">
      <c r="A7" s="85" t="s">
        <v>190</v>
      </c>
      <c r="B7" s="63" t="s">
        <v>18</v>
      </c>
      <c r="C7" s="21">
        <v>10.5</v>
      </c>
      <c r="D7" s="89">
        <v>44043</v>
      </c>
      <c r="E7" s="63"/>
      <c r="F7" s="86">
        <v>12</v>
      </c>
      <c r="G7" s="130">
        <v>46174</v>
      </c>
      <c r="H7" s="18"/>
      <c r="I7" s="91"/>
    </row>
    <row r="8" spans="1:9" ht="15.75" x14ac:dyDescent="0.25">
      <c r="A8" s="278" t="s">
        <v>190</v>
      </c>
      <c r="B8" s="279" t="s">
        <v>18</v>
      </c>
      <c r="C8" s="316">
        <v>12</v>
      </c>
      <c r="D8" s="89">
        <v>44179</v>
      </c>
      <c r="E8" s="279"/>
      <c r="F8" s="317">
        <v>12</v>
      </c>
      <c r="G8" s="281" t="s">
        <v>397</v>
      </c>
      <c r="H8" s="300"/>
      <c r="I8" s="318"/>
    </row>
    <row r="9" spans="1:9" ht="15.75" x14ac:dyDescent="0.25">
      <c r="A9" s="85" t="s">
        <v>194</v>
      </c>
      <c r="B9" s="63" t="s">
        <v>18</v>
      </c>
      <c r="C9" s="21">
        <v>2</v>
      </c>
      <c r="D9" s="63"/>
      <c r="E9" s="63"/>
      <c r="F9" s="86">
        <v>2</v>
      </c>
      <c r="G9" s="87" t="s">
        <v>397</v>
      </c>
      <c r="H9" s="18"/>
      <c r="I9" s="91"/>
    </row>
    <row r="10" spans="1:9" ht="15.75" x14ac:dyDescent="0.25">
      <c r="A10" s="85" t="s">
        <v>192</v>
      </c>
      <c r="B10" s="63" t="s">
        <v>18</v>
      </c>
      <c r="C10" s="21">
        <v>0.6</v>
      </c>
      <c r="D10" s="63"/>
      <c r="E10" s="63"/>
      <c r="F10" s="86">
        <v>1</v>
      </c>
      <c r="G10" s="87" t="s">
        <v>397</v>
      </c>
      <c r="H10" s="18"/>
      <c r="I10" s="91"/>
    </row>
    <row r="11" spans="1:9" ht="15.75" hidden="1" x14ac:dyDescent="0.25">
      <c r="A11" s="85" t="s">
        <v>197</v>
      </c>
      <c r="B11" s="63"/>
      <c r="C11" s="21">
        <v>0</v>
      </c>
      <c r="D11" s="63"/>
      <c r="E11" s="63"/>
      <c r="F11" s="86"/>
      <c r="G11" s="87" t="s">
        <v>397</v>
      </c>
      <c r="H11" s="18"/>
      <c r="I11" s="91">
        <v>44049</v>
      </c>
    </row>
    <row r="12" spans="1:9" ht="15.75" x14ac:dyDescent="0.25">
      <c r="A12" s="85" t="s">
        <v>192</v>
      </c>
      <c r="B12" s="63" t="s">
        <v>117</v>
      </c>
      <c r="C12" s="21">
        <v>1</v>
      </c>
      <c r="D12" s="63"/>
      <c r="E12" s="63"/>
      <c r="F12" s="86">
        <v>1</v>
      </c>
      <c r="G12" s="87" t="s">
        <v>397</v>
      </c>
      <c r="H12" s="18"/>
      <c r="I12" s="91"/>
    </row>
    <row r="13" spans="1:9" ht="15.75" hidden="1" x14ac:dyDescent="0.25">
      <c r="A13" s="85" t="s">
        <v>188</v>
      </c>
      <c r="B13" s="63" t="s">
        <v>18</v>
      </c>
      <c r="C13" s="21">
        <v>0</v>
      </c>
      <c r="D13" s="63"/>
      <c r="E13" s="63"/>
      <c r="F13" s="86"/>
      <c r="G13" s="87" t="s">
        <v>397</v>
      </c>
      <c r="H13" s="18"/>
      <c r="I13" s="91">
        <v>44148</v>
      </c>
    </row>
    <row r="14" spans="1:9" ht="15.75" x14ac:dyDescent="0.25">
      <c r="A14" s="389" t="s">
        <v>197</v>
      </c>
      <c r="B14" s="390" t="s">
        <v>15</v>
      </c>
      <c r="C14" s="396">
        <v>1</v>
      </c>
      <c r="D14" s="397">
        <v>44369</v>
      </c>
      <c r="E14" s="390"/>
      <c r="F14" s="398">
        <v>1</v>
      </c>
      <c r="G14" s="394">
        <v>45107</v>
      </c>
      <c r="H14" s="399"/>
      <c r="I14" s="400"/>
    </row>
    <row r="15" spans="1:9" ht="15.75" hidden="1" x14ac:dyDescent="0.25">
      <c r="A15" s="85" t="s">
        <v>189</v>
      </c>
      <c r="B15" s="63" t="s">
        <v>18</v>
      </c>
      <c r="C15" s="21"/>
      <c r="D15" s="63"/>
      <c r="E15" s="63"/>
      <c r="F15" s="86"/>
      <c r="G15" s="87" t="s">
        <v>397</v>
      </c>
      <c r="H15" s="18"/>
      <c r="I15" s="91">
        <v>44049</v>
      </c>
    </row>
    <row r="16" spans="1:9" ht="15.75" hidden="1" x14ac:dyDescent="0.25">
      <c r="A16" s="85" t="s">
        <v>686</v>
      </c>
      <c r="B16" s="63" t="s">
        <v>18</v>
      </c>
      <c r="C16" s="21">
        <v>0.1</v>
      </c>
      <c r="D16" s="63"/>
      <c r="E16" s="63"/>
      <c r="F16" s="86">
        <v>1</v>
      </c>
      <c r="G16" s="87" t="s">
        <v>397</v>
      </c>
      <c r="H16" s="18"/>
      <c r="I16" s="91">
        <v>43987</v>
      </c>
    </row>
    <row r="17" spans="1:9" ht="15.75" x14ac:dyDescent="0.25">
      <c r="A17" s="85" t="s">
        <v>188</v>
      </c>
      <c r="B17" s="63" t="s">
        <v>15</v>
      </c>
      <c r="C17" s="21">
        <v>6.6</v>
      </c>
      <c r="D17" s="63"/>
      <c r="E17" s="63"/>
      <c r="F17" s="86">
        <v>10</v>
      </c>
      <c r="G17" s="87" t="s">
        <v>397</v>
      </c>
      <c r="H17" s="18"/>
      <c r="I17" s="91"/>
    </row>
    <row r="18" spans="1:9" ht="15.75" x14ac:dyDescent="0.25">
      <c r="A18" s="85" t="s">
        <v>193</v>
      </c>
      <c r="B18" s="63" t="s">
        <v>794</v>
      </c>
      <c r="C18" s="21">
        <v>1</v>
      </c>
      <c r="D18" s="63"/>
      <c r="E18" s="63"/>
      <c r="F18" s="86">
        <v>1</v>
      </c>
      <c r="G18" s="87" t="s">
        <v>397</v>
      </c>
      <c r="H18" s="18"/>
      <c r="I18" s="91"/>
    </row>
    <row r="19" spans="1:9" ht="15.75" x14ac:dyDescent="0.25">
      <c r="A19" s="85" t="s">
        <v>189</v>
      </c>
      <c r="B19" s="63" t="s">
        <v>18</v>
      </c>
      <c r="C19" s="21">
        <v>6.5</v>
      </c>
      <c r="D19" s="89">
        <v>43879</v>
      </c>
      <c r="E19" s="63"/>
      <c r="F19" s="86">
        <v>12</v>
      </c>
      <c r="G19" s="87" t="s">
        <v>397</v>
      </c>
      <c r="H19" s="18"/>
      <c r="I19" s="91"/>
    </row>
    <row r="20" spans="1:9" ht="15.75" x14ac:dyDescent="0.25">
      <c r="A20" s="85" t="s">
        <v>686</v>
      </c>
      <c r="B20" s="63" t="s">
        <v>18</v>
      </c>
      <c r="C20" s="21">
        <v>0.8</v>
      </c>
      <c r="D20" s="89">
        <v>43784</v>
      </c>
      <c r="E20" s="63"/>
      <c r="F20" s="86">
        <v>3</v>
      </c>
      <c r="G20" s="87" t="s">
        <v>397</v>
      </c>
      <c r="H20" s="18"/>
      <c r="I20" s="91"/>
    </row>
    <row r="21" spans="1:9" ht="15.75" x14ac:dyDescent="0.25">
      <c r="A21" s="85" t="s">
        <v>195</v>
      </c>
      <c r="B21" s="63" t="s">
        <v>18</v>
      </c>
      <c r="C21" s="21">
        <v>0.7</v>
      </c>
      <c r="D21" s="89">
        <v>43472</v>
      </c>
      <c r="E21" s="87"/>
      <c r="F21" s="86">
        <v>1</v>
      </c>
      <c r="G21" s="87" t="s">
        <v>397</v>
      </c>
      <c r="H21" s="18"/>
      <c r="I21" s="91"/>
    </row>
  </sheetData>
  <sheetProtection sheet="1" objects="1" scenarios="1" formatColumns="0" formatRows="0" sort="0" autoFilter="0"/>
  <mergeCells count="1">
    <mergeCell ref="E1:I1"/>
  </mergeCells>
  <conditionalFormatting sqref="G3:G21">
    <cfRule type="cellIs" dxfId="10" priority="1" operator="lessThan">
      <formula>NOW()</formula>
    </cfRule>
  </conditionalFormatting>
  <dataValidations count="1">
    <dataValidation allowBlank="1" showInputMessage="1" showErrorMessage="1" errorTitle="Falta en &quot;Insumos a comprar&quot;" error="Chequear que esté escrito de igual manera que en &quot;Insumos a comprar&quot;" sqref="C3:C21" xr:uid="{00000000-0002-0000-0400-000000000000}"/>
  </dataValidations>
  <hyperlinks>
    <hyperlink ref="C1" location="'Estado general'!A3" display="General" xr:uid="{00000000-0004-0000-0400-000000000000}"/>
    <hyperlink ref="D1" location="'Insumos a comprar'!A1" display="A comprar" xr:uid="{00000000-0004-0000-0400-000001000000}"/>
  </hyperlinks>
  <pageMargins left="0.75" right="0.75" top="1" bottom="1" header="0" footer="0"/>
  <pageSetup paperSize="9" scale="88" orientation="landscape" verticalDpi="0" r:id="rId1"/>
  <headerFooter alignWithMargins="0"/>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xr:uid="{00000000-0002-0000-0400-000001000000}">
          <x14:formula1>
            <xm:f>Datos!$F$2:$F$100</xm:f>
          </x14:formula1>
          <xm:sqref>A3:A21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B482DA"/>
  </sheetPr>
  <dimension ref="A1:I22"/>
  <sheetViews>
    <sheetView showGridLines="0" workbookViewId="0">
      <selection activeCell="G18" sqref="G18"/>
    </sheetView>
  </sheetViews>
  <sheetFormatPr defaultColWidth="11.42578125" defaultRowHeight="15.75" x14ac:dyDescent="0.25"/>
  <cols>
    <col min="1" max="1" width="30.5703125" style="94" customWidth="1"/>
    <col min="2" max="2" width="14.85546875" style="94" bestFit="1" customWidth="1"/>
    <col min="3" max="3" width="12.28515625" style="94" bestFit="1" customWidth="1"/>
    <col min="4" max="4" width="13" style="94" customWidth="1"/>
    <col min="5" max="5" width="14.5703125" style="94" bestFit="1" customWidth="1"/>
    <col min="6" max="6" width="23.28515625" style="94" bestFit="1" customWidth="1"/>
    <col min="7" max="8" width="26.42578125" style="94" bestFit="1" customWidth="1"/>
    <col min="9" max="255" width="11.42578125" style="94"/>
    <col min="256" max="256" width="30.5703125" style="94" customWidth="1"/>
    <col min="257" max="257" width="13.42578125" style="94" customWidth="1"/>
    <col min="258" max="259" width="9.5703125" style="94" customWidth="1"/>
    <col min="260" max="261" width="11.42578125" style="94"/>
    <col min="262" max="262" width="19.7109375" style="94" customWidth="1"/>
    <col min="263" max="263" width="24" style="94" customWidth="1"/>
    <col min="264" max="511" width="11.42578125" style="94"/>
    <col min="512" max="512" width="30.5703125" style="94" customWidth="1"/>
    <col min="513" max="513" width="13.42578125" style="94" customWidth="1"/>
    <col min="514" max="515" width="9.5703125" style="94" customWidth="1"/>
    <col min="516" max="517" width="11.42578125" style="94"/>
    <col min="518" max="518" width="19.7109375" style="94" customWidth="1"/>
    <col min="519" max="519" width="24" style="94" customWidth="1"/>
    <col min="520" max="767" width="11.42578125" style="94"/>
    <col min="768" max="768" width="30.5703125" style="94" customWidth="1"/>
    <col min="769" max="769" width="13.42578125" style="94" customWidth="1"/>
    <col min="770" max="771" width="9.5703125" style="94" customWidth="1"/>
    <col min="772" max="773" width="11.42578125" style="94"/>
    <col min="774" max="774" width="19.7109375" style="94" customWidth="1"/>
    <col min="775" max="775" width="24" style="94" customWidth="1"/>
    <col min="776" max="1023" width="11.42578125" style="94"/>
    <col min="1024" max="1024" width="30.5703125" style="94" customWidth="1"/>
    <col min="1025" max="1025" width="13.42578125" style="94" customWidth="1"/>
    <col min="1026" max="1027" width="9.5703125" style="94" customWidth="1"/>
    <col min="1028" max="1029" width="11.42578125" style="94"/>
    <col min="1030" max="1030" width="19.7109375" style="94" customWidth="1"/>
    <col min="1031" max="1031" width="24" style="94" customWidth="1"/>
    <col min="1032" max="1279" width="11.42578125" style="94"/>
    <col min="1280" max="1280" width="30.5703125" style="94" customWidth="1"/>
    <col min="1281" max="1281" width="13.42578125" style="94" customWidth="1"/>
    <col min="1282" max="1283" width="9.5703125" style="94" customWidth="1"/>
    <col min="1284" max="1285" width="11.42578125" style="94"/>
    <col min="1286" max="1286" width="19.7109375" style="94" customWidth="1"/>
    <col min="1287" max="1287" width="24" style="94" customWidth="1"/>
    <col min="1288" max="1535" width="11.42578125" style="94"/>
    <col min="1536" max="1536" width="30.5703125" style="94" customWidth="1"/>
    <col min="1537" max="1537" width="13.42578125" style="94" customWidth="1"/>
    <col min="1538" max="1539" width="9.5703125" style="94" customWidth="1"/>
    <col min="1540" max="1541" width="11.42578125" style="94"/>
    <col min="1542" max="1542" width="19.7109375" style="94" customWidth="1"/>
    <col min="1543" max="1543" width="24" style="94" customWidth="1"/>
    <col min="1544" max="1791" width="11.42578125" style="94"/>
    <col min="1792" max="1792" width="30.5703125" style="94" customWidth="1"/>
    <col min="1793" max="1793" width="13.42578125" style="94" customWidth="1"/>
    <col min="1794" max="1795" width="9.5703125" style="94" customWidth="1"/>
    <col min="1796" max="1797" width="11.42578125" style="94"/>
    <col min="1798" max="1798" width="19.7109375" style="94" customWidth="1"/>
    <col min="1799" max="1799" width="24" style="94" customWidth="1"/>
    <col min="1800" max="2047" width="11.42578125" style="94"/>
    <col min="2048" max="2048" width="30.5703125" style="94" customWidth="1"/>
    <col min="2049" max="2049" width="13.42578125" style="94" customWidth="1"/>
    <col min="2050" max="2051" width="9.5703125" style="94" customWidth="1"/>
    <col min="2052" max="2053" width="11.42578125" style="94"/>
    <col min="2054" max="2054" width="19.7109375" style="94" customWidth="1"/>
    <col min="2055" max="2055" width="24" style="94" customWidth="1"/>
    <col min="2056" max="2303" width="11.42578125" style="94"/>
    <col min="2304" max="2304" width="30.5703125" style="94" customWidth="1"/>
    <col min="2305" max="2305" width="13.42578125" style="94" customWidth="1"/>
    <col min="2306" max="2307" width="9.5703125" style="94" customWidth="1"/>
    <col min="2308" max="2309" width="11.42578125" style="94"/>
    <col min="2310" max="2310" width="19.7109375" style="94" customWidth="1"/>
    <col min="2311" max="2311" width="24" style="94" customWidth="1"/>
    <col min="2312" max="2559" width="11.42578125" style="94"/>
    <col min="2560" max="2560" width="30.5703125" style="94" customWidth="1"/>
    <col min="2561" max="2561" width="13.42578125" style="94" customWidth="1"/>
    <col min="2562" max="2563" width="9.5703125" style="94" customWidth="1"/>
    <col min="2564" max="2565" width="11.42578125" style="94"/>
    <col min="2566" max="2566" width="19.7109375" style="94" customWidth="1"/>
    <col min="2567" max="2567" width="24" style="94" customWidth="1"/>
    <col min="2568" max="2815" width="11.42578125" style="94"/>
    <col min="2816" max="2816" width="30.5703125" style="94" customWidth="1"/>
    <col min="2817" max="2817" width="13.42578125" style="94" customWidth="1"/>
    <col min="2818" max="2819" width="9.5703125" style="94" customWidth="1"/>
    <col min="2820" max="2821" width="11.42578125" style="94"/>
    <col min="2822" max="2822" width="19.7109375" style="94" customWidth="1"/>
    <col min="2823" max="2823" width="24" style="94" customWidth="1"/>
    <col min="2824" max="3071" width="11.42578125" style="94"/>
    <col min="3072" max="3072" width="30.5703125" style="94" customWidth="1"/>
    <col min="3073" max="3073" width="13.42578125" style="94" customWidth="1"/>
    <col min="3074" max="3075" width="9.5703125" style="94" customWidth="1"/>
    <col min="3076" max="3077" width="11.42578125" style="94"/>
    <col min="3078" max="3078" width="19.7109375" style="94" customWidth="1"/>
    <col min="3079" max="3079" width="24" style="94" customWidth="1"/>
    <col min="3080" max="3327" width="11.42578125" style="94"/>
    <col min="3328" max="3328" width="30.5703125" style="94" customWidth="1"/>
    <col min="3329" max="3329" width="13.42578125" style="94" customWidth="1"/>
    <col min="3330" max="3331" width="9.5703125" style="94" customWidth="1"/>
    <col min="3332" max="3333" width="11.42578125" style="94"/>
    <col min="3334" max="3334" width="19.7109375" style="94" customWidth="1"/>
    <col min="3335" max="3335" width="24" style="94" customWidth="1"/>
    <col min="3336" max="3583" width="11.42578125" style="94"/>
    <col min="3584" max="3584" width="30.5703125" style="94" customWidth="1"/>
    <col min="3585" max="3585" width="13.42578125" style="94" customWidth="1"/>
    <col min="3586" max="3587" width="9.5703125" style="94" customWidth="1"/>
    <col min="3588" max="3589" width="11.42578125" style="94"/>
    <col min="3590" max="3590" width="19.7109375" style="94" customWidth="1"/>
    <col min="3591" max="3591" width="24" style="94" customWidth="1"/>
    <col min="3592" max="3839" width="11.42578125" style="94"/>
    <col min="3840" max="3840" width="30.5703125" style="94" customWidth="1"/>
    <col min="3841" max="3841" width="13.42578125" style="94" customWidth="1"/>
    <col min="3842" max="3843" width="9.5703125" style="94" customWidth="1"/>
    <col min="3844" max="3845" width="11.42578125" style="94"/>
    <col min="3846" max="3846" width="19.7109375" style="94" customWidth="1"/>
    <col min="3847" max="3847" width="24" style="94" customWidth="1"/>
    <col min="3848" max="4095" width="11.42578125" style="94"/>
    <col min="4096" max="4096" width="30.5703125" style="94" customWidth="1"/>
    <col min="4097" max="4097" width="13.42578125" style="94" customWidth="1"/>
    <col min="4098" max="4099" width="9.5703125" style="94" customWidth="1"/>
    <col min="4100" max="4101" width="11.42578125" style="94"/>
    <col min="4102" max="4102" width="19.7109375" style="94" customWidth="1"/>
    <col min="4103" max="4103" width="24" style="94" customWidth="1"/>
    <col min="4104" max="4351" width="11.42578125" style="94"/>
    <col min="4352" max="4352" width="30.5703125" style="94" customWidth="1"/>
    <col min="4353" max="4353" width="13.42578125" style="94" customWidth="1"/>
    <col min="4354" max="4355" width="9.5703125" style="94" customWidth="1"/>
    <col min="4356" max="4357" width="11.42578125" style="94"/>
    <col min="4358" max="4358" width="19.7109375" style="94" customWidth="1"/>
    <col min="4359" max="4359" width="24" style="94" customWidth="1"/>
    <col min="4360" max="4607" width="11.42578125" style="94"/>
    <col min="4608" max="4608" width="30.5703125" style="94" customWidth="1"/>
    <col min="4609" max="4609" width="13.42578125" style="94" customWidth="1"/>
    <col min="4610" max="4611" width="9.5703125" style="94" customWidth="1"/>
    <col min="4612" max="4613" width="11.42578125" style="94"/>
    <col min="4614" max="4614" width="19.7109375" style="94" customWidth="1"/>
    <col min="4615" max="4615" width="24" style="94" customWidth="1"/>
    <col min="4616" max="4863" width="11.42578125" style="94"/>
    <col min="4864" max="4864" width="30.5703125" style="94" customWidth="1"/>
    <col min="4865" max="4865" width="13.42578125" style="94" customWidth="1"/>
    <col min="4866" max="4867" width="9.5703125" style="94" customWidth="1"/>
    <col min="4868" max="4869" width="11.42578125" style="94"/>
    <col min="4870" max="4870" width="19.7109375" style="94" customWidth="1"/>
    <col min="4871" max="4871" width="24" style="94" customWidth="1"/>
    <col min="4872" max="5119" width="11.42578125" style="94"/>
    <col min="5120" max="5120" width="30.5703125" style="94" customWidth="1"/>
    <col min="5121" max="5121" width="13.42578125" style="94" customWidth="1"/>
    <col min="5122" max="5123" width="9.5703125" style="94" customWidth="1"/>
    <col min="5124" max="5125" width="11.42578125" style="94"/>
    <col min="5126" max="5126" width="19.7109375" style="94" customWidth="1"/>
    <col min="5127" max="5127" width="24" style="94" customWidth="1"/>
    <col min="5128" max="5375" width="11.42578125" style="94"/>
    <col min="5376" max="5376" width="30.5703125" style="94" customWidth="1"/>
    <col min="5377" max="5377" width="13.42578125" style="94" customWidth="1"/>
    <col min="5378" max="5379" width="9.5703125" style="94" customWidth="1"/>
    <col min="5380" max="5381" width="11.42578125" style="94"/>
    <col min="5382" max="5382" width="19.7109375" style="94" customWidth="1"/>
    <col min="5383" max="5383" width="24" style="94" customWidth="1"/>
    <col min="5384" max="5631" width="11.42578125" style="94"/>
    <col min="5632" max="5632" width="30.5703125" style="94" customWidth="1"/>
    <col min="5633" max="5633" width="13.42578125" style="94" customWidth="1"/>
    <col min="5634" max="5635" width="9.5703125" style="94" customWidth="1"/>
    <col min="5636" max="5637" width="11.42578125" style="94"/>
    <col min="5638" max="5638" width="19.7109375" style="94" customWidth="1"/>
    <col min="5639" max="5639" width="24" style="94" customWidth="1"/>
    <col min="5640" max="5887" width="11.42578125" style="94"/>
    <col min="5888" max="5888" width="30.5703125" style="94" customWidth="1"/>
    <col min="5889" max="5889" width="13.42578125" style="94" customWidth="1"/>
    <col min="5890" max="5891" width="9.5703125" style="94" customWidth="1"/>
    <col min="5892" max="5893" width="11.42578125" style="94"/>
    <col min="5894" max="5894" width="19.7109375" style="94" customWidth="1"/>
    <col min="5895" max="5895" width="24" style="94" customWidth="1"/>
    <col min="5896" max="6143" width="11.42578125" style="94"/>
    <col min="6144" max="6144" width="30.5703125" style="94" customWidth="1"/>
    <col min="6145" max="6145" width="13.42578125" style="94" customWidth="1"/>
    <col min="6146" max="6147" width="9.5703125" style="94" customWidth="1"/>
    <col min="6148" max="6149" width="11.42578125" style="94"/>
    <col min="6150" max="6150" width="19.7109375" style="94" customWidth="1"/>
    <col min="6151" max="6151" width="24" style="94" customWidth="1"/>
    <col min="6152" max="6399" width="11.42578125" style="94"/>
    <col min="6400" max="6400" width="30.5703125" style="94" customWidth="1"/>
    <col min="6401" max="6401" width="13.42578125" style="94" customWidth="1"/>
    <col min="6402" max="6403" width="9.5703125" style="94" customWidth="1"/>
    <col min="6404" max="6405" width="11.42578125" style="94"/>
    <col min="6406" max="6406" width="19.7109375" style="94" customWidth="1"/>
    <col min="6407" max="6407" width="24" style="94" customWidth="1"/>
    <col min="6408" max="6655" width="11.42578125" style="94"/>
    <col min="6656" max="6656" width="30.5703125" style="94" customWidth="1"/>
    <col min="6657" max="6657" width="13.42578125" style="94" customWidth="1"/>
    <col min="6658" max="6659" width="9.5703125" style="94" customWidth="1"/>
    <col min="6660" max="6661" width="11.42578125" style="94"/>
    <col min="6662" max="6662" width="19.7109375" style="94" customWidth="1"/>
    <col min="6663" max="6663" width="24" style="94" customWidth="1"/>
    <col min="6664" max="6911" width="11.42578125" style="94"/>
    <col min="6912" max="6912" width="30.5703125" style="94" customWidth="1"/>
    <col min="6913" max="6913" width="13.42578125" style="94" customWidth="1"/>
    <col min="6914" max="6915" width="9.5703125" style="94" customWidth="1"/>
    <col min="6916" max="6917" width="11.42578125" style="94"/>
    <col min="6918" max="6918" width="19.7109375" style="94" customWidth="1"/>
    <col min="6919" max="6919" width="24" style="94" customWidth="1"/>
    <col min="6920" max="7167" width="11.42578125" style="94"/>
    <col min="7168" max="7168" width="30.5703125" style="94" customWidth="1"/>
    <col min="7169" max="7169" width="13.42578125" style="94" customWidth="1"/>
    <col min="7170" max="7171" width="9.5703125" style="94" customWidth="1"/>
    <col min="7172" max="7173" width="11.42578125" style="94"/>
    <col min="7174" max="7174" width="19.7109375" style="94" customWidth="1"/>
    <col min="7175" max="7175" width="24" style="94" customWidth="1"/>
    <col min="7176" max="7423" width="11.42578125" style="94"/>
    <col min="7424" max="7424" width="30.5703125" style="94" customWidth="1"/>
    <col min="7425" max="7425" width="13.42578125" style="94" customWidth="1"/>
    <col min="7426" max="7427" width="9.5703125" style="94" customWidth="1"/>
    <col min="7428" max="7429" width="11.42578125" style="94"/>
    <col min="7430" max="7430" width="19.7109375" style="94" customWidth="1"/>
    <col min="7431" max="7431" width="24" style="94" customWidth="1"/>
    <col min="7432" max="7679" width="11.42578125" style="94"/>
    <col min="7680" max="7680" width="30.5703125" style="94" customWidth="1"/>
    <col min="7681" max="7681" width="13.42578125" style="94" customWidth="1"/>
    <col min="7682" max="7683" width="9.5703125" style="94" customWidth="1"/>
    <col min="7684" max="7685" width="11.42578125" style="94"/>
    <col min="7686" max="7686" width="19.7109375" style="94" customWidth="1"/>
    <col min="7687" max="7687" width="24" style="94" customWidth="1"/>
    <col min="7688" max="7935" width="11.42578125" style="94"/>
    <col min="7936" max="7936" width="30.5703125" style="94" customWidth="1"/>
    <col min="7937" max="7937" width="13.42578125" style="94" customWidth="1"/>
    <col min="7938" max="7939" width="9.5703125" style="94" customWidth="1"/>
    <col min="7940" max="7941" width="11.42578125" style="94"/>
    <col min="7942" max="7942" width="19.7109375" style="94" customWidth="1"/>
    <col min="7943" max="7943" width="24" style="94" customWidth="1"/>
    <col min="7944" max="8191" width="11.42578125" style="94"/>
    <col min="8192" max="8192" width="30.5703125" style="94" customWidth="1"/>
    <col min="8193" max="8193" width="13.42578125" style="94" customWidth="1"/>
    <col min="8194" max="8195" width="9.5703125" style="94" customWidth="1"/>
    <col min="8196" max="8197" width="11.42578125" style="94"/>
    <col min="8198" max="8198" width="19.7109375" style="94" customWidth="1"/>
    <col min="8199" max="8199" width="24" style="94" customWidth="1"/>
    <col min="8200" max="8447" width="11.42578125" style="94"/>
    <col min="8448" max="8448" width="30.5703125" style="94" customWidth="1"/>
    <col min="8449" max="8449" width="13.42578125" style="94" customWidth="1"/>
    <col min="8450" max="8451" width="9.5703125" style="94" customWidth="1"/>
    <col min="8452" max="8453" width="11.42578125" style="94"/>
    <col min="8454" max="8454" width="19.7109375" style="94" customWidth="1"/>
    <col min="8455" max="8455" width="24" style="94" customWidth="1"/>
    <col min="8456" max="8703" width="11.42578125" style="94"/>
    <col min="8704" max="8704" width="30.5703125" style="94" customWidth="1"/>
    <col min="8705" max="8705" width="13.42578125" style="94" customWidth="1"/>
    <col min="8706" max="8707" width="9.5703125" style="94" customWidth="1"/>
    <col min="8708" max="8709" width="11.42578125" style="94"/>
    <col min="8710" max="8710" width="19.7109375" style="94" customWidth="1"/>
    <col min="8711" max="8711" width="24" style="94" customWidth="1"/>
    <col min="8712" max="8959" width="11.42578125" style="94"/>
    <col min="8960" max="8960" width="30.5703125" style="94" customWidth="1"/>
    <col min="8961" max="8961" width="13.42578125" style="94" customWidth="1"/>
    <col min="8962" max="8963" width="9.5703125" style="94" customWidth="1"/>
    <col min="8964" max="8965" width="11.42578125" style="94"/>
    <col min="8966" max="8966" width="19.7109375" style="94" customWidth="1"/>
    <col min="8967" max="8967" width="24" style="94" customWidth="1"/>
    <col min="8968" max="9215" width="11.42578125" style="94"/>
    <col min="9216" max="9216" width="30.5703125" style="94" customWidth="1"/>
    <col min="9217" max="9217" width="13.42578125" style="94" customWidth="1"/>
    <col min="9218" max="9219" width="9.5703125" style="94" customWidth="1"/>
    <col min="9220" max="9221" width="11.42578125" style="94"/>
    <col min="9222" max="9222" width="19.7109375" style="94" customWidth="1"/>
    <col min="9223" max="9223" width="24" style="94" customWidth="1"/>
    <col min="9224" max="9471" width="11.42578125" style="94"/>
    <col min="9472" max="9472" width="30.5703125" style="94" customWidth="1"/>
    <col min="9473" max="9473" width="13.42578125" style="94" customWidth="1"/>
    <col min="9474" max="9475" width="9.5703125" style="94" customWidth="1"/>
    <col min="9476" max="9477" width="11.42578125" style="94"/>
    <col min="9478" max="9478" width="19.7109375" style="94" customWidth="1"/>
    <col min="9479" max="9479" width="24" style="94" customWidth="1"/>
    <col min="9480" max="9727" width="11.42578125" style="94"/>
    <col min="9728" max="9728" width="30.5703125" style="94" customWidth="1"/>
    <col min="9729" max="9729" width="13.42578125" style="94" customWidth="1"/>
    <col min="9730" max="9731" width="9.5703125" style="94" customWidth="1"/>
    <col min="9732" max="9733" width="11.42578125" style="94"/>
    <col min="9734" max="9734" width="19.7109375" style="94" customWidth="1"/>
    <col min="9735" max="9735" width="24" style="94" customWidth="1"/>
    <col min="9736" max="9983" width="11.42578125" style="94"/>
    <col min="9984" max="9984" width="30.5703125" style="94" customWidth="1"/>
    <col min="9985" max="9985" width="13.42578125" style="94" customWidth="1"/>
    <col min="9986" max="9987" width="9.5703125" style="94" customWidth="1"/>
    <col min="9988" max="9989" width="11.42578125" style="94"/>
    <col min="9990" max="9990" width="19.7109375" style="94" customWidth="1"/>
    <col min="9991" max="9991" width="24" style="94" customWidth="1"/>
    <col min="9992" max="10239" width="11.42578125" style="94"/>
    <col min="10240" max="10240" width="30.5703125" style="94" customWidth="1"/>
    <col min="10241" max="10241" width="13.42578125" style="94" customWidth="1"/>
    <col min="10242" max="10243" width="9.5703125" style="94" customWidth="1"/>
    <col min="10244" max="10245" width="11.42578125" style="94"/>
    <col min="10246" max="10246" width="19.7109375" style="94" customWidth="1"/>
    <col min="10247" max="10247" width="24" style="94" customWidth="1"/>
    <col min="10248" max="10495" width="11.42578125" style="94"/>
    <col min="10496" max="10496" width="30.5703125" style="94" customWidth="1"/>
    <col min="10497" max="10497" width="13.42578125" style="94" customWidth="1"/>
    <col min="10498" max="10499" width="9.5703125" style="94" customWidth="1"/>
    <col min="10500" max="10501" width="11.42578125" style="94"/>
    <col min="10502" max="10502" width="19.7109375" style="94" customWidth="1"/>
    <col min="10503" max="10503" width="24" style="94" customWidth="1"/>
    <col min="10504" max="10751" width="11.42578125" style="94"/>
    <col min="10752" max="10752" width="30.5703125" style="94" customWidth="1"/>
    <col min="10753" max="10753" width="13.42578125" style="94" customWidth="1"/>
    <col min="10754" max="10755" width="9.5703125" style="94" customWidth="1"/>
    <col min="10756" max="10757" width="11.42578125" style="94"/>
    <col min="10758" max="10758" width="19.7109375" style="94" customWidth="1"/>
    <col min="10759" max="10759" width="24" style="94" customWidth="1"/>
    <col min="10760" max="11007" width="11.42578125" style="94"/>
    <col min="11008" max="11008" width="30.5703125" style="94" customWidth="1"/>
    <col min="11009" max="11009" width="13.42578125" style="94" customWidth="1"/>
    <col min="11010" max="11011" width="9.5703125" style="94" customWidth="1"/>
    <col min="11012" max="11013" width="11.42578125" style="94"/>
    <col min="11014" max="11014" width="19.7109375" style="94" customWidth="1"/>
    <col min="11015" max="11015" width="24" style="94" customWidth="1"/>
    <col min="11016" max="11263" width="11.42578125" style="94"/>
    <col min="11264" max="11264" width="30.5703125" style="94" customWidth="1"/>
    <col min="11265" max="11265" width="13.42578125" style="94" customWidth="1"/>
    <col min="11266" max="11267" width="9.5703125" style="94" customWidth="1"/>
    <col min="11268" max="11269" width="11.42578125" style="94"/>
    <col min="11270" max="11270" width="19.7109375" style="94" customWidth="1"/>
    <col min="11271" max="11271" width="24" style="94" customWidth="1"/>
    <col min="11272" max="11519" width="11.42578125" style="94"/>
    <col min="11520" max="11520" width="30.5703125" style="94" customWidth="1"/>
    <col min="11521" max="11521" width="13.42578125" style="94" customWidth="1"/>
    <col min="11522" max="11523" width="9.5703125" style="94" customWidth="1"/>
    <col min="11524" max="11525" width="11.42578125" style="94"/>
    <col min="11526" max="11526" width="19.7109375" style="94" customWidth="1"/>
    <col min="11527" max="11527" width="24" style="94" customWidth="1"/>
    <col min="11528" max="11775" width="11.42578125" style="94"/>
    <col min="11776" max="11776" width="30.5703125" style="94" customWidth="1"/>
    <col min="11777" max="11777" width="13.42578125" style="94" customWidth="1"/>
    <col min="11778" max="11779" width="9.5703125" style="94" customWidth="1"/>
    <col min="11780" max="11781" width="11.42578125" style="94"/>
    <col min="11782" max="11782" width="19.7109375" style="94" customWidth="1"/>
    <col min="11783" max="11783" width="24" style="94" customWidth="1"/>
    <col min="11784" max="12031" width="11.42578125" style="94"/>
    <col min="12032" max="12032" width="30.5703125" style="94" customWidth="1"/>
    <col min="12033" max="12033" width="13.42578125" style="94" customWidth="1"/>
    <col min="12034" max="12035" width="9.5703125" style="94" customWidth="1"/>
    <col min="12036" max="12037" width="11.42578125" style="94"/>
    <col min="12038" max="12038" width="19.7109375" style="94" customWidth="1"/>
    <col min="12039" max="12039" width="24" style="94" customWidth="1"/>
    <col min="12040" max="12287" width="11.42578125" style="94"/>
    <col min="12288" max="12288" width="30.5703125" style="94" customWidth="1"/>
    <col min="12289" max="12289" width="13.42578125" style="94" customWidth="1"/>
    <col min="12290" max="12291" width="9.5703125" style="94" customWidth="1"/>
    <col min="12292" max="12293" width="11.42578125" style="94"/>
    <col min="12294" max="12294" width="19.7109375" style="94" customWidth="1"/>
    <col min="12295" max="12295" width="24" style="94" customWidth="1"/>
    <col min="12296" max="12543" width="11.42578125" style="94"/>
    <col min="12544" max="12544" width="30.5703125" style="94" customWidth="1"/>
    <col min="12545" max="12545" width="13.42578125" style="94" customWidth="1"/>
    <col min="12546" max="12547" width="9.5703125" style="94" customWidth="1"/>
    <col min="12548" max="12549" width="11.42578125" style="94"/>
    <col min="12550" max="12550" width="19.7109375" style="94" customWidth="1"/>
    <col min="12551" max="12551" width="24" style="94" customWidth="1"/>
    <col min="12552" max="12799" width="11.42578125" style="94"/>
    <col min="12800" max="12800" width="30.5703125" style="94" customWidth="1"/>
    <col min="12801" max="12801" width="13.42578125" style="94" customWidth="1"/>
    <col min="12802" max="12803" width="9.5703125" style="94" customWidth="1"/>
    <col min="12804" max="12805" width="11.42578125" style="94"/>
    <col min="12806" max="12806" width="19.7109375" style="94" customWidth="1"/>
    <col min="12807" max="12807" width="24" style="94" customWidth="1"/>
    <col min="12808" max="13055" width="11.42578125" style="94"/>
    <col min="13056" max="13056" width="30.5703125" style="94" customWidth="1"/>
    <col min="13057" max="13057" width="13.42578125" style="94" customWidth="1"/>
    <col min="13058" max="13059" width="9.5703125" style="94" customWidth="1"/>
    <col min="13060" max="13061" width="11.42578125" style="94"/>
    <col min="13062" max="13062" width="19.7109375" style="94" customWidth="1"/>
    <col min="13063" max="13063" width="24" style="94" customWidth="1"/>
    <col min="13064" max="13311" width="11.42578125" style="94"/>
    <col min="13312" max="13312" width="30.5703125" style="94" customWidth="1"/>
    <col min="13313" max="13313" width="13.42578125" style="94" customWidth="1"/>
    <col min="13314" max="13315" width="9.5703125" style="94" customWidth="1"/>
    <col min="13316" max="13317" width="11.42578125" style="94"/>
    <col min="13318" max="13318" width="19.7109375" style="94" customWidth="1"/>
    <col min="13319" max="13319" width="24" style="94" customWidth="1"/>
    <col min="13320" max="13567" width="11.42578125" style="94"/>
    <col min="13568" max="13568" width="30.5703125" style="94" customWidth="1"/>
    <col min="13569" max="13569" width="13.42578125" style="94" customWidth="1"/>
    <col min="13570" max="13571" width="9.5703125" style="94" customWidth="1"/>
    <col min="13572" max="13573" width="11.42578125" style="94"/>
    <col min="13574" max="13574" width="19.7109375" style="94" customWidth="1"/>
    <col min="13575" max="13575" width="24" style="94" customWidth="1"/>
    <col min="13576" max="13823" width="11.42578125" style="94"/>
    <col min="13824" max="13824" width="30.5703125" style="94" customWidth="1"/>
    <col min="13825" max="13825" width="13.42578125" style="94" customWidth="1"/>
    <col min="13826" max="13827" width="9.5703125" style="94" customWidth="1"/>
    <col min="13828" max="13829" width="11.42578125" style="94"/>
    <col min="13830" max="13830" width="19.7109375" style="94" customWidth="1"/>
    <col min="13831" max="13831" width="24" style="94" customWidth="1"/>
    <col min="13832" max="14079" width="11.42578125" style="94"/>
    <col min="14080" max="14080" width="30.5703125" style="94" customWidth="1"/>
    <col min="14081" max="14081" width="13.42578125" style="94" customWidth="1"/>
    <col min="14082" max="14083" width="9.5703125" style="94" customWidth="1"/>
    <col min="14084" max="14085" width="11.42578125" style="94"/>
    <col min="14086" max="14086" width="19.7109375" style="94" customWidth="1"/>
    <col min="14087" max="14087" width="24" style="94" customWidth="1"/>
    <col min="14088" max="14335" width="11.42578125" style="94"/>
    <col min="14336" max="14336" width="30.5703125" style="94" customWidth="1"/>
    <col min="14337" max="14337" width="13.42578125" style="94" customWidth="1"/>
    <col min="14338" max="14339" width="9.5703125" style="94" customWidth="1"/>
    <col min="14340" max="14341" width="11.42578125" style="94"/>
    <col min="14342" max="14342" width="19.7109375" style="94" customWidth="1"/>
    <col min="14343" max="14343" width="24" style="94" customWidth="1"/>
    <col min="14344" max="14591" width="11.42578125" style="94"/>
    <col min="14592" max="14592" width="30.5703125" style="94" customWidth="1"/>
    <col min="14593" max="14593" width="13.42578125" style="94" customWidth="1"/>
    <col min="14594" max="14595" width="9.5703125" style="94" customWidth="1"/>
    <col min="14596" max="14597" width="11.42578125" style="94"/>
    <col min="14598" max="14598" width="19.7109375" style="94" customWidth="1"/>
    <col min="14599" max="14599" width="24" style="94" customWidth="1"/>
    <col min="14600" max="14847" width="11.42578125" style="94"/>
    <col min="14848" max="14848" width="30.5703125" style="94" customWidth="1"/>
    <col min="14849" max="14849" width="13.42578125" style="94" customWidth="1"/>
    <col min="14850" max="14851" width="9.5703125" style="94" customWidth="1"/>
    <col min="14852" max="14853" width="11.42578125" style="94"/>
    <col min="14854" max="14854" width="19.7109375" style="94" customWidth="1"/>
    <col min="14855" max="14855" width="24" style="94" customWidth="1"/>
    <col min="14856" max="15103" width="11.42578125" style="94"/>
    <col min="15104" max="15104" width="30.5703125" style="94" customWidth="1"/>
    <col min="15105" max="15105" width="13.42578125" style="94" customWidth="1"/>
    <col min="15106" max="15107" width="9.5703125" style="94" customWidth="1"/>
    <col min="15108" max="15109" width="11.42578125" style="94"/>
    <col min="15110" max="15110" width="19.7109375" style="94" customWidth="1"/>
    <col min="15111" max="15111" width="24" style="94" customWidth="1"/>
    <col min="15112" max="15359" width="11.42578125" style="94"/>
    <col min="15360" max="15360" width="30.5703125" style="94" customWidth="1"/>
    <col min="15361" max="15361" width="13.42578125" style="94" customWidth="1"/>
    <col min="15362" max="15363" width="9.5703125" style="94" customWidth="1"/>
    <col min="15364" max="15365" width="11.42578125" style="94"/>
    <col min="15366" max="15366" width="19.7109375" style="94" customWidth="1"/>
    <col min="15367" max="15367" width="24" style="94" customWidth="1"/>
    <col min="15368" max="15615" width="11.42578125" style="94"/>
    <col min="15616" max="15616" width="30.5703125" style="94" customWidth="1"/>
    <col min="15617" max="15617" width="13.42578125" style="94" customWidth="1"/>
    <col min="15618" max="15619" width="9.5703125" style="94" customWidth="1"/>
    <col min="15620" max="15621" width="11.42578125" style="94"/>
    <col min="15622" max="15622" width="19.7109375" style="94" customWidth="1"/>
    <col min="15623" max="15623" width="24" style="94" customWidth="1"/>
    <col min="15624" max="15871" width="11.42578125" style="94"/>
    <col min="15872" max="15872" width="30.5703125" style="94" customWidth="1"/>
    <col min="15873" max="15873" width="13.42578125" style="94" customWidth="1"/>
    <col min="15874" max="15875" width="9.5703125" style="94" customWidth="1"/>
    <col min="15876" max="15877" width="11.42578125" style="94"/>
    <col min="15878" max="15878" width="19.7109375" style="94" customWidth="1"/>
    <col min="15879" max="15879" width="24" style="94" customWidth="1"/>
    <col min="15880" max="16127" width="11.42578125" style="94"/>
    <col min="16128" max="16128" width="30.5703125" style="94" customWidth="1"/>
    <col min="16129" max="16129" width="13.42578125" style="94" customWidth="1"/>
    <col min="16130" max="16131" width="9.5703125" style="94" customWidth="1"/>
    <col min="16132" max="16133" width="11.42578125" style="94"/>
    <col min="16134" max="16134" width="19.7109375" style="94" customWidth="1"/>
    <col min="16135" max="16135" width="24" style="94" customWidth="1"/>
    <col min="16136" max="16384" width="11.42578125" style="94"/>
  </cols>
  <sheetData>
    <row r="1" spans="1:9" ht="39" customHeight="1" x14ac:dyDescent="0.25">
      <c r="A1" s="78" t="s">
        <v>56</v>
      </c>
      <c r="B1" s="64">
        <v>44294</v>
      </c>
      <c r="C1" s="79" t="s">
        <v>444</v>
      </c>
      <c r="D1" s="79" t="s">
        <v>780</v>
      </c>
      <c r="E1" s="434" t="s">
        <v>796</v>
      </c>
      <c r="F1" s="435"/>
      <c r="G1" s="435"/>
      <c r="H1" s="93"/>
      <c r="I1" s="93"/>
    </row>
    <row r="2" spans="1:9" ht="37.5" x14ac:dyDescent="0.25">
      <c r="A2" s="81" t="s">
        <v>260</v>
      </c>
      <c r="B2" s="82" t="s">
        <v>55</v>
      </c>
      <c r="C2" s="83" t="s">
        <v>402</v>
      </c>
      <c r="D2" s="81" t="s">
        <v>58</v>
      </c>
      <c r="E2" s="83" t="s">
        <v>752</v>
      </c>
      <c r="F2" s="81" t="s">
        <v>5</v>
      </c>
      <c r="G2" s="95" t="s">
        <v>658</v>
      </c>
    </row>
    <row r="3" spans="1:9" hidden="1" x14ac:dyDescent="0.25">
      <c r="A3" s="88" t="s">
        <v>703</v>
      </c>
      <c r="B3" s="20">
        <v>0</v>
      </c>
      <c r="C3" s="116" t="s">
        <v>65</v>
      </c>
      <c r="D3" s="63"/>
      <c r="E3" s="96"/>
      <c r="F3" s="19"/>
      <c r="G3" s="233">
        <v>44047</v>
      </c>
    </row>
    <row r="4" spans="1:9" x14ac:dyDescent="0.25">
      <c r="A4" s="234" t="s">
        <v>703</v>
      </c>
      <c r="B4" s="177">
        <v>1</v>
      </c>
      <c r="C4" s="235" t="s">
        <v>65</v>
      </c>
      <c r="D4" s="97"/>
      <c r="E4" s="100"/>
      <c r="F4" s="24"/>
      <c r="G4" s="208"/>
    </row>
    <row r="5" spans="1:9" hidden="1" x14ac:dyDescent="0.25">
      <c r="A5" s="88" t="s">
        <v>705</v>
      </c>
      <c r="B5" s="20">
        <v>0</v>
      </c>
      <c r="C5" s="96" t="s">
        <v>65</v>
      </c>
      <c r="D5" s="98">
        <v>43389</v>
      </c>
      <c r="E5" s="96"/>
      <c r="F5" s="112"/>
      <c r="G5" s="102">
        <v>43958</v>
      </c>
    </row>
    <row r="6" spans="1:9" hidden="1" x14ac:dyDescent="0.25">
      <c r="A6" s="88" t="s">
        <v>704</v>
      </c>
      <c r="B6" s="20">
        <v>0</v>
      </c>
      <c r="C6" s="116" t="s">
        <v>702</v>
      </c>
      <c r="D6" s="63"/>
      <c r="E6" s="96"/>
      <c r="F6" s="19"/>
      <c r="G6" s="233">
        <v>44047</v>
      </c>
    </row>
    <row r="7" spans="1:9" x14ac:dyDescent="0.25">
      <c r="A7" s="234" t="s">
        <v>704</v>
      </c>
      <c r="B7" s="177">
        <v>29</v>
      </c>
      <c r="C7" s="235" t="s">
        <v>702</v>
      </c>
      <c r="D7" s="97"/>
      <c r="E7" s="100"/>
      <c r="F7" s="24"/>
      <c r="G7" s="208"/>
    </row>
    <row r="8" spans="1:9" x14ac:dyDescent="0.25">
      <c r="A8" s="234" t="s">
        <v>1027</v>
      </c>
      <c r="B8" s="177">
        <v>1</v>
      </c>
      <c r="C8" s="235" t="s">
        <v>65</v>
      </c>
      <c r="D8" s="97"/>
      <c r="E8" s="100"/>
      <c r="F8" s="24"/>
      <c r="G8" s="208"/>
    </row>
    <row r="9" spans="1:9" x14ac:dyDescent="0.25">
      <c r="A9" s="88" t="s">
        <v>706</v>
      </c>
      <c r="B9" s="20">
        <v>1.2</v>
      </c>
      <c r="C9" s="116" t="s">
        <v>65</v>
      </c>
      <c r="D9" s="89">
        <v>43389</v>
      </c>
      <c r="E9" s="96"/>
      <c r="F9" s="37"/>
      <c r="G9" s="24"/>
    </row>
    <row r="10" spans="1:9" x14ac:dyDescent="0.25">
      <c r="A10" s="88" t="s">
        <v>707</v>
      </c>
      <c r="B10" s="20">
        <v>8</v>
      </c>
      <c r="C10" s="116" t="s">
        <v>65</v>
      </c>
      <c r="D10" s="89">
        <v>43389</v>
      </c>
      <c r="E10" s="96"/>
      <c r="F10" s="37"/>
      <c r="G10" s="24"/>
    </row>
    <row r="11" spans="1:9" x14ac:dyDescent="0.25">
      <c r="A11" s="298" t="s">
        <v>707</v>
      </c>
      <c r="B11" s="299">
        <v>39</v>
      </c>
      <c r="C11" s="116" t="s">
        <v>65</v>
      </c>
      <c r="D11" s="301">
        <v>44159</v>
      </c>
      <c r="E11" s="282">
        <v>50</v>
      </c>
      <c r="F11" s="369"/>
      <c r="G11" s="280"/>
    </row>
    <row r="12" spans="1:9" hidden="1" x14ac:dyDescent="0.25">
      <c r="A12" s="88" t="s">
        <v>709</v>
      </c>
      <c r="B12" s="20">
        <v>0</v>
      </c>
      <c r="C12" s="116" t="s">
        <v>702</v>
      </c>
      <c r="D12" s="89">
        <v>43389</v>
      </c>
      <c r="E12" s="96"/>
      <c r="F12" s="37"/>
      <c r="G12" s="233">
        <v>44047</v>
      </c>
    </row>
    <row r="13" spans="1:9" x14ac:dyDescent="0.25">
      <c r="A13" s="88" t="s">
        <v>708</v>
      </c>
      <c r="B13" s="20">
        <v>11</v>
      </c>
      <c r="C13" s="116" t="s">
        <v>152</v>
      </c>
      <c r="D13" s="89">
        <v>43389</v>
      </c>
      <c r="E13" s="96"/>
      <c r="F13" s="37"/>
      <c r="G13" s="24"/>
    </row>
    <row r="14" spans="1:9" x14ac:dyDescent="0.25">
      <c r="A14" s="234" t="s">
        <v>709</v>
      </c>
      <c r="B14" s="177">
        <v>28</v>
      </c>
      <c r="C14" s="235" t="s">
        <v>702</v>
      </c>
      <c r="D14" s="97"/>
      <c r="E14" s="100"/>
      <c r="F14" s="24"/>
      <c r="G14" s="208"/>
    </row>
    <row r="15" spans="1:9" hidden="1" x14ac:dyDescent="0.25">
      <c r="A15" s="88" t="s">
        <v>710</v>
      </c>
      <c r="B15" s="20"/>
      <c r="C15" s="116" t="s">
        <v>702</v>
      </c>
      <c r="D15" s="63"/>
      <c r="E15" s="96"/>
      <c r="F15" s="19"/>
      <c r="G15" s="233">
        <v>44047</v>
      </c>
    </row>
    <row r="16" spans="1:9" x14ac:dyDescent="0.25">
      <c r="A16" s="88" t="s">
        <v>777</v>
      </c>
      <c r="B16" s="20">
        <v>2</v>
      </c>
      <c r="C16" s="116" t="s">
        <v>65</v>
      </c>
      <c r="D16" s="63"/>
      <c r="E16" s="87"/>
      <c r="F16" s="19"/>
      <c r="G16" s="24"/>
    </row>
    <row r="17" spans="1:7" x14ac:dyDescent="0.25">
      <c r="A17" s="234" t="s">
        <v>710</v>
      </c>
      <c r="B17" s="177">
        <v>20</v>
      </c>
      <c r="C17" s="235" t="s">
        <v>702</v>
      </c>
      <c r="D17" s="97"/>
      <c r="E17" s="100"/>
      <c r="F17" s="24"/>
      <c r="G17" s="208"/>
    </row>
    <row r="18" spans="1:7" x14ac:dyDescent="0.25">
      <c r="A18" s="88" t="s">
        <v>711</v>
      </c>
      <c r="B18" s="20">
        <v>2</v>
      </c>
      <c r="C18" s="116" t="s">
        <v>65</v>
      </c>
      <c r="D18" s="89">
        <v>43389</v>
      </c>
      <c r="E18" s="96"/>
      <c r="F18" s="37"/>
      <c r="G18" s="24"/>
    </row>
    <row r="19" spans="1:7" x14ac:dyDescent="0.25">
      <c r="A19" s="88" t="s">
        <v>712</v>
      </c>
      <c r="B19" s="20">
        <v>0.8</v>
      </c>
      <c r="C19" s="116" t="s">
        <v>65</v>
      </c>
      <c r="D19" s="89">
        <v>43389</v>
      </c>
      <c r="E19" s="96"/>
      <c r="F19" s="37"/>
      <c r="G19" s="24"/>
    </row>
    <row r="20" spans="1:7" x14ac:dyDescent="0.25">
      <c r="A20" s="88" t="s">
        <v>713</v>
      </c>
      <c r="B20" s="20">
        <v>1</v>
      </c>
      <c r="C20" s="116" t="s">
        <v>65</v>
      </c>
      <c r="D20" s="63"/>
      <c r="E20" s="96"/>
      <c r="F20" s="19"/>
      <c r="G20" s="24"/>
    </row>
    <row r="21" spans="1:7" ht="31.5" x14ac:dyDescent="0.25">
      <c r="A21" s="99" t="s">
        <v>778</v>
      </c>
      <c r="B21" s="25">
        <v>1</v>
      </c>
      <c r="C21" s="116" t="s">
        <v>65</v>
      </c>
      <c r="D21" s="97"/>
      <c r="E21" s="100"/>
      <c r="F21" s="24"/>
      <c r="G21" s="24"/>
    </row>
    <row r="22" spans="1:7" x14ac:dyDescent="0.25">
      <c r="A22" s="88" t="s">
        <v>714</v>
      </c>
      <c r="B22" s="20">
        <v>3</v>
      </c>
      <c r="C22" s="116" t="s">
        <v>65</v>
      </c>
      <c r="D22" s="63"/>
      <c r="E22" s="96"/>
      <c r="F22" s="19"/>
      <c r="G22" s="24"/>
    </row>
  </sheetData>
  <sheetProtection sheet="1" objects="1" scenarios="1" formatColumns="0" formatRows="0" sort="0" autoFilter="0"/>
  <mergeCells count="1">
    <mergeCell ref="E1:G1"/>
  </mergeCells>
  <hyperlinks>
    <hyperlink ref="C1" location="'Estado general'!A4" display="General" xr:uid="{00000000-0004-0000-0500-000000000000}"/>
    <hyperlink ref="D1" location="'Insumos a comprar'!A1" display="A comprar" xr:uid="{00000000-0004-0000-0500-000001000000}"/>
  </hyperlink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xr:uid="{00000000-0002-0000-0500-000000000000}">
          <x14:formula1>
            <xm:f>Datos!$L$2:$L$130</xm:f>
          </x14:formula1>
          <xm:sqref>A3:A22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pageSetUpPr fitToPage="1"/>
  </sheetPr>
  <dimension ref="A1:J78"/>
  <sheetViews>
    <sheetView showGridLines="0" workbookViewId="0">
      <selection activeCell="F18" sqref="F18"/>
    </sheetView>
  </sheetViews>
  <sheetFormatPr defaultColWidth="11.42578125" defaultRowHeight="15.75" x14ac:dyDescent="0.25"/>
  <cols>
    <col min="1" max="1" width="28.7109375" style="43" bestFit="1" customWidth="1"/>
    <col min="2" max="2" width="23.5703125" style="46" customWidth="1"/>
    <col min="3" max="4" width="21.140625" style="43" customWidth="1"/>
    <col min="5" max="5" width="30.28515625" style="43" bestFit="1" customWidth="1"/>
    <col min="7" max="7" width="11.85546875" style="43" customWidth="1"/>
    <col min="8" max="8" width="26.28515625" style="43" bestFit="1" customWidth="1"/>
    <col min="9" max="9" width="27.7109375" style="43" customWidth="1"/>
    <col min="10" max="10" width="37.5703125" style="43" hidden="1" customWidth="1"/>
    <col min="11" max="256" width="11.42578125" style="43"/>
    <col min="257" max="257" width="35" style="43" customWidth="1"/>
    <col min="258" max="258" width="19.7109375" style="43" customWidth="1"/>
    <col min="259" max="259" width="21.140625" style="43" customWidth="1"/>
    <col min="260" max="260" width="18.140625" style="43" customWidth="1"/>
    <col min="261" max="261" width="27.140625" style="43" customWidth="1"/>
    <col min="262" max="262" width="11.85546875" style="43" customWidth="1"/>
    <col min="263" max="263" width="10.140625" style="43" customWidth="1"/>
    <col min="264" max="264" width="7.85546875" style="43" customWidth="1"/>
    <col min="265" max="265" width="11.42578125" style="43"/>
    <col min="266" max="266" width="14" style="43" customWidth="1"/>
    <col min="267" max="512" width="11.42578125" style="43"/>
    <col min="513" max="513" width="35" style="43" customWidth="1"/>
    <col min="514" max="514" width="19.7109375" style="43" customWidth="1"/>
    <col min="515" max="515" width="21.140625" style="43" customWidth="1"/>
    <col min="516" max="516" width="18.140625" style="43" customWidth="1"/>
    <col min="517" max="517" width="27.140625" style="43" customWidth="1"/>
    <col min="518" max="518" width="11.85546875" style="43" customWidth="1"/>
    <col min="519" max="519" width="10.140625" style="43" customWidth="1"/>
    <col min="520" max="520" width="7.85546875" style="43" customWidth="1"/>
    <col min="521" max="521" width="11.42578125" style="43"/>
    <col min="522" max="522" width="14" style="43" customWidth="1"/>
    <col min="523" max="768" width="11.42578125" style="43"/>
    <col min="769" max="769" width="35" style="43" customWidth="1"/>
    <col min="770" max="770" width="19.7109375" style="43" customWidth="1"/>
    <col min="771" max="771" width="21.140625" style="43" customWidth="1"/>
    <col min="772" max="772" width="18.140625" style="43" customWidth="1"/>
    <col min="773" max="773" width="27.140625" style="43" customWidth="1"/>
    <col min="774" max="774" width="11.85546875" style="43" customWidth="1"/>
    <col min="775" max="775" width="10.140625" style="43" customWidth="1"/>
    <col min="776" max="776" width="7.85546875" style="43" customWidth="1"/>
    <col min="777" max="777" width="11.42578125" style="43"/>
    <col min="778" max="778" width="14" style="43" customWidth="1"/>
    <col min="779" max="1024" width="11.42578125" style="43"/>
    <col min="1025" max="1025" width="35" style="43" customWidth="1"/>
    <col min="1026" max="1026" width="19.7109375" style="43" customWidth="1"/>
    <col min="1027" max="1027" width="21.140625" style="43" customWidth="1"/>
    <col min="1028" max="1028" width="18.140625" style="43" customWidth="1"/>
    <col min="1029" max="1029" width="27.140625" style="43" customWidth="1"/>
    <col min="1030" max="1030" width="11.85546875" style="43" customWidth="1"/>
    <col min="1031" max="1031" width="10.140625" style="43" customWidth="1"/>
    <col min="1032" max="1032" width="7.85546875" style="43" customWidth="1"/>
    <col min="1033" max="1033" width="11.42578125" style="43"/>
    <col min="1034" max="1034" width="14" style="43" customWidth="1"/>
    <col min="1035" max="1280" width="11.42578125" style="43"/>
    <col min="1281" max="1281" width="35" style="43" customWidth="1"/>
    <col min="1282" max="1282" width="19.7109375" style="43" customWidth="1"/>
    <col min="1283" max="1283" width="21.140625" style="43" customWidth="1"/>
    <col min="1284" max="1284" width="18.140625" style="43" customWidth="1"/>
    <col min="1285" max="1285" width="27.140625" style="43" customWidth="1"/>
    <col min="1286" max="1286" width="11.85546875" style="43" customWidth="1"/>
    <col min="1287" max="1287" width="10.140625" style="43" customWidth="1"/>
    <col min="1288" max="1288" width="7.85546875" style="43" customWidth="1"/>
    <col min="1289" max="1289" width="11.42578125" style="43"/>
    <col min="1290" max="1290" width="14" style="43" customWidth="1"/>
    <col min="1291" max="1536" width="11.42578125" style="43"/>
    <col min="1537" max="1537" width="35" style="43" customWidth="1"/>
    <col min="1538" max="1538" width="19.7109375" style="43" customWidth="1"/>
    <col min="1539" max="1539" width="21.140625" style="43" customWidth="1"/>
    <col min="1540" max="1540" width="18.140625" style="43" customWidth="1"/>
    <col min="1541" max="1541" width="27.140625" style="43" customWidth="1"/>
    <col min="1542" max="1542" width="11.85546875" style="43" customWidth="1"/>
    <col min="1543" max="1543" width="10.140625" style="43" customWidth="1"/>
    <col min="1544" max="1544" width="7.85546875" style="43" customWidth="1"/>
    <col min="1545" max="1545" width="11.42578125" style="43"/>
    <col min="1546" max="1546" width="14" style="43" customWidth="1"/>
    <col min="1547" max="1792" width="11.42578125" style="43"/>
    <col min="1793" max="1793" width="35" style="43" customWidth="1"/>
    <col min="1794" max="1794" width="19.7109375" style="43" customWidth="1"/>
    <col min="1795" max="1795" width="21.140625" style="43" customWidth="1"/>
    <col min="1796" max="1796" width="18.140625" style="43" customWidth="1"/>
    <col min="1797" max="1797" width="27.140625" style="43" customWidth="1"/>
    <col min="1798" max="1798" width="11.85546875" style="43" customWidth="1"/>
    <col min="1799" max="1799" width="10.140625" style="43" customWidth="1"/>
    <col min="1800" max="1800" width="7.85546875" style="43" customWidth="1"/>
    <col min="1801" max="1801" width="11.42578125" style="43"/>
    <col min="1802" max="1802" width="14" style="43" customWidth="1"/>
    <col min="1803" max="2048" width="11.42578125" style="43"/>
    <col min="2049" max="2049" width="35" style="43" customWidth="1"/>
    <col min="2050" max="2050" width="19.7109375" style="43" customWidth="1"/>
    <col min="2051" max="2051" width="21.140625" style="43" customWidth="1"/>
    <col min="2052" max="2052" width="18.140625" style="43" customWidth="1"/>
    <col min="2053" max="2053" width="27.140625" style="43" customWidth="1"/>
    <col min="2054" max="2054" width="11.85546875" style="43" customWidth="1"/>
    <col min="2055" max="2055" width="10.140625" style="43" customWidth="1"/>
    <col min="2056" max="2056" width="7.85546875" style="43" customWidth="1"/>
    <col min="2057" max="2057" width="11.42578125" style="43"/>
    <col min="2058" max="2058" width="14" style="43" customWidth="1"/>
    <col min="2059" max="2304" width="11.42578125" style="43"/>
    <col min="2305" max="2305" width="35" style="43" customWidth="1"/>
    <col min="2306" max="2306" width="19.7109375" style="43" customWidth="1"/>
    <col min="2307" max="2307" width="21.140625" style="43" customWidth="1"/>
    <col min="2308" max="2308" width="18.140625" style="43" customWidth="1"/>
    <col min="2309" max="2309" width="27.140625" style="43" customWidth="1"/>
    <col min="2310" max="2310" width="11.85546875" style="43" customWidth="1"/>
    <col min="2311" max="2311" width="10.140625" style="43" customWidth="1"/>
    <col min="2312" max="2312" width="7.85546875" style="43" customWidth="1"/>
    <col min="2313" max="2313" width="11.42578125" style="43"/>
    <col min="2314" max="2314" width="14" style="43" customWidth="1"/>
    <col min="2315" max="2560" width="11.42578125" style="43"/>
    <col min="2561" max="2561" width="35" style="43" customWidth="1"/>
    <col min="2562" max="2562" width="19.7109375" style="43" customWidth="1"/>
    <col min="2563" max="2563" width="21.140625" style="43" customWidth="1"/>
    <col min="2564" max="2564" width="18.140625" style="43" customWidth="1"/>
    <col min="2565" max="2565" width="27.140625" style="43" customWidth="1"/>
    <col min="2566" max="2566" width="11.85546875" style="43" customWidth="1"/>
    <col min="2567" max="2567" width="10.140625" style="43" customWidth="1"/>
    <col min="2568" max="2568" width="7.85546875" style="43" customWidth="1"/>
    <col min="2569" max="2569" width="11.42578125" style="43"/>
    <col min="2570" max="2570" width="14" style="43" customWidth="1"/>
    <col min="2571" max="2816" width="11.42578125" style="43"/>
    <col min="2817" max="2817" width="35" style="43" customWidth="1"/>
    <col min="2818" max="2818" width="19.7109375" style="43" customWidth="1"/>
    <col min="2819" max="2819" width="21.140625" style="43" customWidth="1"/>
    <col min="2820" max="2820" width="18.140625" style="43" customWidth="1"/>
    <col min="2821" max="2821" width="27.140625" style="43" customWidth="1"/>
    <col min="2822" max="2822" width="11.85546875" style="43" customWidth="1"/>
    <col min="2823" max="2823" width="10.140625" style="43" customWidth="1"/>
    <col min="2824" max="2824" width="7.85546875" style="43" customWidth="1"/>
    <col min="2825" max="2825" width="11.42578125" style="43"/>
    <col min="2826" max="2826" width="14" style="43" customWidth="1"/>
    <col min="2827" max="3072" width="11.42578125" style="43"/>
    <col min="3073" max="3073" width="35" style="43" customWidth="1"/>
    <col min="3074" max="3074" width="19.7109375" style="43" customWidth="1"/>
    <col min="3075" max="3075" width="21.140625" style="43" customWidth="1"/>
    <col min="3076" max="3076" width="18.140625" style="43" customWidth="1"/>
    <col min="3077" max="3077" width="27.140625" style="43" customWidth="1"/>
    <col min="3078" max="3078" width="11.85546875" style="43" customWidth="1"/>
    <col min="3079" max="3079" width="10.140625" style="43" customWidth="1"/>
    <col min="3080" max="3080" width="7.85546875" style="43" customWidth="1"/>
    <col min="3081" max="3081" width="11.42578125" style="43"/>
    <col min="3082" max="3082" width="14" style="43" customWidth="1"/>
    <col min="3083" max="3328" width="11.42578125" style="43"/>
    <col min="3329" max="3329" width="35" style="43" customWidth="1"/>
    <col min="3330" max="3330" width="19.7109375" style="43" customWidth="1"/>
    <col min="3331" max="3331" width="21.140625" style="43" customWidth="1"/>
    <col min="3332" max="3332" width="18.140625" style="43" customWidth="1"/>
    <col min="3333" max="3333" width="27.140625" style="43" customWidth="1"/>
    <col min="3334" max="3334" width="11.85546875" style="43" customWidth="1"/>
    <col min="3335" max="3335" width="10.140625" style="43" customWidth="1"/>
    <col min="3336" max="3336" width="7.85546875" style="43" customWidth="1"/>
    <col min="3337" max="3337" width="11.42578125" style="43"/>
    <col min="3338" max="3338" width="14" style="43" customWidth="1"/>
    <col min="3339" max="3584" width="11.42578125" style="43"/>
    <col min="3585" max="3585" width="35" style="43" customWidth="1"/>
    <col min="3586" max="3586" width="19.7109375" style="43" customWidth="1"/>
    <col min="3587" max="3587" width="21.140625" style="43" customWidth="1"/>
    <col min="3588" max="3588" width="18.140625" style="43" customWidth="1"/>
    <col min="3589" max="3589" width="27.140625" style="43" customWidth="1"/>
    <col min="3590" max="3590" width="11.85546875" style="43" customWidth="1"/>
    <col min="3591" max="3591" width="10.140625" style="43" customWidth="1"/>
    <col min="3592" max="3592" width="7.85546875" style="43" customWidth="1"/>
    <col min="3593" max="3593" width="11.42578125" style="43"/>
    <col min="3594" max="3594" width="14" style="43" customWidth="1"/>
    <col min="3595" max="3840" width="11.42578125" style="43"/>
    <col min="3841" max="3841" width="35" style="43" customWidth="1"/>
    <col min="3842" max="3842" width="19.7109375" style="43" customWidth="1"/>
    <col min="3843" max="3843" width="21.140625" style="43" customWidth="1"/>
    <col min="3844" max="3844" width="18.140625" style="43" customWidth="1"/>
    <col min="3845" max="3845" width="27.140625" style="43" customWidth="1"/>
    <col min="3846" max="3846" width="11.85546875" style="43" customWidth="1"/>
    <col min="3847" max="3847" width="10.140625" style="43" customWidth="1"/>
    <col min="3848" max="3848" width="7.85546875" style="43" customWidth="1"/>
    <col min="3849" max="3849" width="11.42578125" style="43"/>
    <col min="3850" max="3850" width="14" style="43" customWidth="1"/>
    <col min="3851" max="4096" width="11.42578125" style="43"/>
    <col min="4097" max="4097" width="35" style="43" customWidth="1"/>
    <col min="4098" max="4098" width="19.7109375" style="43" customWidth="1"/>
    <col min="4099" max="4099" width="21.140625" style="43" customWidth="1"/>
    <col min="4100" max="4100" width="18.140625" style="43" customWidth="1"/>
    <col min="4101" max="4101" width="27.140625" style="43" customWidth="1"/>
    <col min="4102" max="4102" width="11.85546875" style="43" customWidth="1"/>
    <col min="4103" max="4103" width="10.140625" style="43" customWidth="1"/>
    <col min="4104" max="4104" width="7.85546875" style="43" customWidth="1"/>
    <col min="4105" max="4105" width="11.42578125" style="43"/>
    <col min="4106" max="4106" width="14" style="43" customWidth="1"/>
    <col min="4107" max="4352" width="11.42578125" style="43"/>
    <col min="4353" max="4353" width="35" style="43" customWidth="1"/>
    <col min="4354" max="4354" width="19.7109375" style="43" customWidth="1"/>
    <col min="4355" max="4355" width="21.140625" style="43" customWidth="1"/>
    <col min="4356" max="4356" width="18.140625" style="43" customWidth="1"/>
    <col min="4357" max="4357" width="27.140625" style="43" customWidth="1"/>
    <col min="4358" max="4358" width="11.85546875" style="43" customWidth="1"/>
    <col min="4359" max="4359" width="10.140625" style="43" customWidth="1"/>
    <col min="4360" max="4360" width="7.85546875" style="43" customWidth="1"/>
    <col min="4361" max="4361" width="11.42578125" style="43"/>
    <col min="4362" max="4362" width="14" style="43" customWidth="1"/>
    <col min="4363" max="4608" width="11.42578125" style="43"/>
    <col min="4609" max="4609" width="35" style="43" customWidth="1"/>
    <col min="4610" max="4610" width="19.7109375" style="43" customWidth="1"/>
    <col min="4611" max="4611" width="21.140625" style="43" customWidth="1"/>
    <col min="4612" max="4612" width="18.140625" style="43" customWidth="1"/>
    <col min="4613" max="4613" width="27.140625" style="43" customWidth="1"/>
    <col min="4614" max="4614" width="11.85546875" style="43" customWidth="1"/>
    <col min="4615" max="4615" width="10.140625" style="43" customWidth="1"/>
    <col min="4616" max="4616" width="7.85546875" style="43" customWidth="1"/>
    <col min="4617" max="4617" width="11.42578125" style="43"/>
    <col min="4618" max="4618" width="14" style="43" customWidth="1"/>
    <col min="4619" max="4864" width="11.42578125" style="43"/>
    <col min="4865" max="4865" width="35" style="43" customWidth="1"/>
    <col min="4866" max="4866" width="19.7109375" style="43" customWidth="1"/>
    <col min="4867" max="4867" width="21.140625" style="43" customWidth="1"/>
    <col min="4868" max="4868" width="18.140625" style="43" customWidth="1"/>
    <col min="4869" max="4869" width="27.140625" style="43" customWidth="1"/>
    <col min="4870" max="4870" width="11.85546875" style="43" customWidth="1"/>
    <col min="4871" max="4871" width="10.140625" style="43" customWidth="1"/>
    <col min="4872" max="4872" width="7.85546875" style="43" customWidth="1"/>
    <col min="4873" max="4873" width="11.42578125" style="43"/>
    <col min="4874" max="4874" width="14" style="43" customWidth="1"/>
    <col min="4875" max="5120" width="11.42578125" style="43"/>
    <col min="5121" max="5121" width="35" style="43" customWidth="1"/>
    <col min="5122" max="5122" width="19.7109375" style="43" customWidth="1"/>
    <col min="5123" max="5123" width="21.140625" style="43" customWidth="1"/>
    <col min="5124" max="5124" width="18.140625" style="43" customWidth="1"/>
    <col min="5125" max="5125" width="27.140625" style="43" customWidth="1"/>
    <col min="5126" max="5126" width="11.85546875" style="43" customWidth="1"/>
    <col min="5127" max="5127" width="10.140625" style="43" customWidth="1"/>
    <col min="5128" max="5128" width="7.85546875" style="43" customWidth="1"/>
    <col min="5129" max="5129" width="11.42578125" style="43"/>
    <col min="5130" max="5130" width="14" style="43" customWidth="1"/>
    <col min="5131" max="5376" width="11.42578125" style="43"/>
    <col min="5377" max="5377" width="35" style="43" customWidth="1"/>
    <col min="5378" max="5378" width="19.7109375" style="43" customWidth="1"/>
    <col min="5379" max="5379" width="21.140625" style="43" customWidth="1"/>
    <col min="5380" max="5380" width="18.140625" style="43" customWidth="1"/>
    <col min="5381" max="5381" width="27.140625" style="43" customWidth="1"/>
    <col min="5382" max="5382" width="11.85546875" style="43" customWidth="1"/>
    <col min="5383" max="5383" width="10.140625" style="43" customWidth="1"/>
    <col min="5384" max="5384" width="7.85546875" style="43" customWidth="1"/>
    <col min="5385" max="5385" width="11.42578125" style="43"/>
    <col min="5386" max="5386" width="14" style="43" customWidth="1"/>
    <col min="5387" max="5632" width="11.42578125" style="43"/>
    <col min="5633" max="5633" width="35" style="43" customWidth="1"/>
    <col min="5634" max="5634" width="19.7109375" style="43" customWidth="1"/>
    <col min="5635" max="5635" width="21.140625" style="43" customWidth="1"/>
    <col min="5636" max="5636" width="18.140625" style="43" customWidth="1"/>
    <col min="5637" max="5637" width="27.140625" style="43" customWidth="1"/>
    <col min="5638" max="5638" width="11.85546875" style="43" customWidth="1"/>
    <col min="5639" max="5639" width="10.140625" style="43" customWidth="1"/>
    <col min="5640" max="5640" width="7.85546875" style="43" customWidth="1"/>
    <col min="5641" max="5641" width="11.42578125" style="43"/>
    <col min="5642" max="5642" width="14" style="43" customWidth="1"/>
    <col min="5643" max="5888" width="11.42578125" style="43"/>
    <col min="5889" max="5889" width="35" style="43" customWidth="1"/>
    <col min="5890" max="5890" width="19.7109375" style="43" customWidth="1"/>
    <col min="5891" max="5891" width="21.140625" style="43" customWidth="1"/>
    <col min="5892" max="5892" width="18.140625" style="43" customWidth="1"/>
    <col min="5893" max="5893" width="27.140625" style="43" customWidth="1"/>
    <col min="5894" max="5894" width="11.85546875" style="43" customWidth="1"/>
    <col min="5895" max="5895" width="10.140625" style="43" customWidth="1"/>
    <col min="5896" max="5896" width="7.85546875" style="43" customWidth="1"/>
    <col min="5897" max="5897" width="11.42578125" style="43"/>
    <col min="5898" max="5898" width="14" style="43" customWidth="1"/>
    <col min="5899" max="6144" width="11.42578125" style="43"/>
    <col min="6145" max="6145" width="35" style="43" customWidth="1"/>
    <col min="6146" max="6146" width="19.7109375" style="43" customWidth="1"/>
    <col min="6147" max="6147" width="21.140625" style="43" customWidth="1"/>
    <col min="6148" max="6148" width="18.140625" style="43" customWidth="1"/>
    <col min="6149" max="6149" width="27.140625" style="43" customWidth="1"/>
    <col min="6150" max="6150" width="11.85546875" style="43" customWidth="1"/>
    <col min="6151" max="6151" width="10.140625" style="43" customWidth="1"/>
    <col min="6152" max="6152" width="7.85546875" style="43" customWidth="1"/>
    <col min="6153" max="6153" width="11.42578125" style="43"/>
    <col min="6154" max="6154" width="14" style="43" customWidth="1"/>
    <col min="6155" max="6400" width="11.42578125" style="43"/>
    <col min="6401" max="6401" width="35" style="43" customWidth="1"/>
    <col min="6402" max="6402" width="19.7109375" style="43" customWidth="1"/>
    <col min="6403" max="6403" width="21.140625" style="43" customWidth="1"/>
    <col min="6404" max="6404" width="18.140625" style="43" customWidth="1"/>
    <col min="6405" max="6405" width="27.140625" style="43" customWidth="1"/>
    <col min="6406" max="6406" width="11.85546875" style="43" customWidth="1"/>
    <col min="6407" max="6407" width="10.140625" style="43" customWidth="1"/>
    <col min="6408" max="6408" width="7.85546875" style="43" customWidth="1"/>
    <col min="6409" max="6409" width="11.42578125" style="43"/>
    <col min="6410" max="6410" width="14" style="43" customWidth="1"/>
    <col min="6411" max="6656" width="11.42578125" style="43"/>
    <col min="6657" max="6657" width="35" style="43" customWidth="1"/>
    <col min="6658" max="6658" width="19.7109375" style="43" customWidth="1"/>
    <col min="6659" max="6659" width="21.140625" style="43" customWidth="1"/>
    <col min="6660" max="6660" width="18.140625" style="43" customWidth="1"/>
    <col min="6661" max="6661" width="27.140625" style="43" customWidth="1"/>
    <col min="6662" max="6662" width="11.85546875" style="43" customWidth="1"/>
    <col min="6663" max="6663" width="10.140625" style="43" customWidth="1"/>
    <col min="6664" max="6664" width="7.85546875" style="43" customWidth="1"/>
    <col min="6665" max="6665" width="11.42578125" style="43"/>
    <col min="6666" max="6666" width="14" style="43" customWidth="1"/>
    <col min="6667" max="6912" width="11.42578125" style="43"/>
    <col min="6913" max="6913" width="35" style="43" customWidth="1"/>
    <col min="6914" max="6914" width="19.7109375" style="43" customWidth="1"/>
    <col min="6915" max="6915" width="21.140625" style="43" customWidth="1"/>
    <col min="6916" max="6916" width="18.140625" style="43" customWidth="1"/>
    <col min="6917" max="6917" width="27.140625" style="43" customWidth="1"/>
    <col min="6918" max="6918" width="11.85546875" style="43" customWidth="1"/>
    <col min="6919" max="6919" width="10.140625" style="43" customWidth="1"/>
    <col min="6920" max="6920" width="7.85546875" style="43" customWidth="1"/>
    <col min="6921" max="6921" width="11.42578125" style="43"/>
    <col min="6922" max="6922" width="14" style="43" customWidth="1"/>
    <col min="6923" max="7168" width="11.42578125" style="43"/>
    <col min="7169" max="7169" width="35" style="43" customWidth="1"/>
    <col min="7170" max="7170" width="19.7109375" style="43" customWidth="1"/>
    <col min="7171" max="7171" width="21.140625" style="43" customWidth="1"/>
    <col min="7172" max="7172" width="18.140625" style="43" customWidth="1"/>
    <col min="7173" max="7173" width="27.140625" style="43" customWidth="1"/>
    <col min="7174" max="7174" width="11.85546875" style="43" customWidth="1"/>
    <col min="7175" max="7175" width="10.140625" style="43" customWidth="1"/>
    <col min="7176" max="7176" width="7.85546875" style="43" customWidth="1"/>
    <col min="7177" max="7177" width="11.42578125" style="43"/>
    <col min="7178" max="7178" width="14" style="43" customWidth="1"/>
    <col min="7179" max="7424" width="11.42578125" style="43"/>
    <col min="7425" max="7425" width="35" style="43" customWidth="1"/>
    <col min="7426" max="7426" width="19.7109375" style="43" customWidth="1"/>
    <col min="7427" max="7427" width="21.140625" style="43" customWidth="1"/>
    <col min="7428" max="7428" width="18.140625" style="43" customWidth="1"/>
    <col min="7429" max="7429" width="27.140625" style="43" customWidth="1"/>
    <col min="7430" max="7430" width="11.85546875" style="43" customWidth="1"/>
    <col min="7431" max="7431" width="10.140625" style="43" customWidth="1"/>
    <col min="7432" max="7432" width="7.85546875" style="43" customWidth="1"/>
    <col min="7433" max="7433" width="11.42578125" style="43"/>
    <col min="7434" max="7434" width="14" style="43" customWidth="1"/>
    <col min="7435" max="7680" width="11.42578125" style="43"/>
    <col min="7681" max="7681" width="35" style="43" customWidth="1"/>
    <col min="7682" max="7682" width="19.7109375" style="43" customWidth="1"/>
    <col min="7683" max="7683" width="21.140625" style="43" customWidth="1"/>
    <col min="7684" max="7684" width="18.140625" style="43" customWidth="1"/>
    <col min="7685" max="7685" width="27.140625" style="43" customWidth="1"/>
    <col min="7686" max="7686" width="11.85546875" style="43" customWidth="1"/>
    <col min="7687" max="7687" width="10.140625" style="43" customWidth="1"/>
    <col min="7688" max="7688" width="7.85546875" style="43" customWidth="1"/>
    <col min="7689" max="7689" width="11.42578125" style="43"/>
    <col min="7690" max="7690" width="14" style="43" customWidth="1"/>
    <col min="7691" max="7936" width="11.42578125" style="43"/>
    <col min="7937" max="7937" width="35" style="43" customWidth="1"/>
    <col min="7938" max="7938" width="19.7109375" style="43" customWidth="1"/>
    <col min="7939" max="7939" width="21.140625" style="43" customWidth="1"/>
    <col min="7940" max="7940" width="18.140625" style="43" customWidth="1"/>
    <col min="7941" max="7941" width="27.140625" style="43" customWidth="1"/>
    <col min="7942" max="7942" width="11.85546875" style="43" customWidth="1"/>
    <col min="7943" max="7943" width="10.140625" style="43" customWidth="1"/>
    <col min="7944" max="7944" width="7.85546875" style="43" customWidth="1"/>
    <col min="7945" max="7945" width="11.42578125" style="43"/>
    <col min="7946" max="7946" width="14" style="43" customWidth="1"/>
    <col min="7947" max="8192" width="11.42578125" style="43"/>
    <col min="8193" max="8193" width="35" style="43" customWidth="1"/>
    <col min="8194" max="8194" width="19.7109375" style="43" customWidth="1"/>
    <col min="8195" max="8195" width="21.140625" style="43" customWidth="1"/>
    <col min="8196" max="8196" width="18.140625" style="43" customWidth="1"/>
    <col min="8197" max="8197" width="27.140625" style="43" customWidth="1"/>
    <col min="8198" max="8198" width="11.85546875" style="43" customWidth="1"/>
    <col min="8199" max="8199" width="10.140625" style="43" customWidth="1"/>
    <col min="8200" max="8200" width="7.85546875" style="43" customWidth="1"/>
    <col min="8201" max="8201" width="11.42578125" style="43"/>
    <col min="8202" max="8202" width="14" style="43" customWidth="1"/>
    <col min="8203" max="8448" width="11.42578125" style="43"/>
    <col min="8449" max="8449" width="35" style="43" customWidth="1"/>
    <col min="8450" max="8450" width="19.7109375" style="43" customWidth="1"/>
    <col min="8451" max="8451" width="21.140625" style="43" customWidth="1"/>
    <col min="8452" max="8452" width="18.140625" style="43" customWidth="1"/>
    <col min="8453" max="8453" width="27.140625" style="43" customWidth="1"/>
    <col min="8454" max="8454" width="11.85546875" style="43" customWidth="1"/>
    <col min="8455" max="8455" width="10.140625" style="43" customWidth="1"/>
    <col min="8456" max="8456" width="7.85546875" style="43" customWidth="1"/>
    <col min="8457" max="8457" width="11.42578125" style="43"/>
    <col min="8458" max="8458" width="14" style="43" customWidth="1"/>
    <col min="8459" max="8704" width="11.42578125" style="43"/>
    <col min="8705" max="8705" width="35" style="43" customWidth="1"/>
    <col min="8706" max="8706" width="19.7109375" style="43" customWidth="1"/>
    <col min="8707" max="8707" width="21.140625" style="43" customWidth="1"/>
    <col min="8708" max="8708" width="18.140625" style="43" customWidth="1"/>
    <col min="8709" max="8709" width="27.140625" style="43" customWidth="1"/>
    <col min="8710" max="8710" width="11.85546875" style="43" customWidth="1"/>
    <col min="8711" max="8711" width="10.140625" style="43" customWidth="1"/>
    <col min="8712" max="8712" width="7.85546875" style="43" customWidth="1"/>
    <col min="8713" max="8713" width="11.42578125" style="43"/>
    <col min="8714" max="8714" width="14" style="43" customWidth="1"/>
    <col min="8715" max="8960" width="11.42578125" style="43"/>
    <col min="8961" max="8961" width="35" style="43" customWidth="1"/>
    <col min="8962" max="8962" width="19.7109375" style="43" customWidth="1"/>
    <col min="8963" max="8963" width="21.140625" style="43" customWidth="1"/>
    <col min="8964" max="8964" width="18.140625" style="43" customWidth="1"/>
    <col min="8965" max="8965" width="27.140625" style="43" customWidth="1"/>
    <col min="8966" max="8966" width="11.85546875" style="43" customWidth="1"/>
    <col min="8967" max="8967" width="10.140625" style="43" customWidth="1"/>
    <col min="8968" max="8968" width="7.85546875" style="43" customWidth="1"/>
    <col min="8969" max="8969" width="11.42578125" style="43"/>
    <col min="8970" max="8970" width="14" style="43" customWidth="1"/>
    <col min="8971" max="9216" width="11.42578125" style="43"/>
    <col min="9217" max="9217" width="35" style="43" customWidth="1"/>
    <col min="9218" max="9218" width="19.7109375" style="43" customWidth="1"/>
    <col min="9219" max="9219" width="21.140625" style="43" customWidth="1"/>
    <col min="9220" max="9220" width="18.140625" style="43" customWidth="1"/>
    <col min="9221" max="9221" width="27.140625" style="43" customWidth="1"/>
    <col min="9222" max="9222" width="11.85546875" style="43" customWidth="1"/>
    <col min="9223" max="9223" width="10.140625" style="43" customWidth="1"/>
    <col min="9224" max="9224" width="7.85546875" style="43" customWidth="1"/>
    <col min="9225" max="9225" width="11.42578125" style="43"/>
    <col min="9226" max="9226" width="14" style="43" customWidth="1"/>
    <col min="9227" max="9472" width="11.42578125" style="43"/>
    <col min="9473" max="9473" width="35" style="43" customWidth="1"/>
    <col min="9474" max="9474" width="19.7109375" style="43" customWidth="1"/>
    <col min="9475" max="9475" width="21.140625" style="43" customWidth="1"/>
    <col min="9476" max="9476" width="18.140625" style="43" customWidth="1"/>
    <col min="9477" max="9477" width="27.140625" style="43" customWidth="1"/>
    <col min="9478" max="9478" width="11.85546875" style="43" customWidth="1"/>
    <col min="9479" max="9479" width="10.140625" style="43" customWidth="1"/>
    <col min="9480" max="9480" width="7.85546875" style="43" customWidth="1"/>
    <col min="9481" max="9481" width="11.42578125" style="43"/>
    <col min="9482" max="9482" width="14" style="43" customWidth="1"/>
    <col min="9483" max="9728" width="11.42578125" style="43"/>
    <col min="9729" max="9729" width="35" style="43" customWidth="1"/>
    <col min="9730" max="9730" width="19.7109375" style="43" customWidth="1"/>
    <col min="9731" max="9731" width="21.140625" style="43" customWidth="1"/>
    <col min="9732" max="9732" width="18.140625" style="43" customWidth="1"/>
    <col min="9733" max="9733" width="27.140625" style="43" customWidth="1"/>
    <col min="9734" max="9734" width="11.85546875" style="43" customWidth="1"/>
    <col min="9735" max="9735" width="10.140625" style="43" customWidth="1"/>
    <col min="9736" max="9736" width="7.85546875" style="43" customWidth="1"/>
    <col min="9737" max="9737" width="11.42578125" style="43"/>
    <col min="9738" max="9738" width="14" style="43" customWidth="1"/>
    <col min="9739" max="9984" width="11.42578125" style="43"/>
    <col min="9985" max="9985" width="35" style="43" customWidth="1"/>
    <col min="9986" max="9986" width="19.7109375" style="43" customWidth="1"/>
    <col min="9987" max="9987" width="21.140625" style="43" customWidth="1"/>
    <col min="9988" max="9988" width="18.140625" style="43" customWidth="1"/>
    <col min="9989" max="9989" width="27.140625" style="43" customWidth="1"/>
    <col min="9990" max="9990" width="11.85546875" style="43" customWidth="1"/>
    <col min="9991" max="9991" width="10.140625" style="43" customWidth="1"/>
    <col min="9992" max="9992" width="7.85546875" style="43" customWidth="1"/>
    <col min="9993" max="9993" width="11.42578125" style="43"/>
    <col min="9994" max="9994" width="14" style="43" customWidth="1"/>
    <col min="9995" max="10240" width="11.42578125" style="43"/>
    <col min="10241" max="10241" width="35" style="43" customWidth="1"/>
    <col min="10242" max="10242" width="19.7109375" style="43" customWidth="1"/>
    <col min="10243" max="10243" width="21.140625" style="43" customWidth="1"/>
    <col min="10244" max="10244" width="18.140625" style="43" customWidth="1"/>
    <col min="10245" max="10245" width="27.140625" style="43" customWidth="1"/>
    <col min="10246" max="10246" width="11.85546875" style="43" customWidth="1"/>
    <col min="10247" max="10247" width="10.140625" style="43" customWidth="1"/>
    <col min="10248" max="10248" width="7.85546875" style="43" customWidth="1"/>
    <col min="10249" max="10249" width="11.42578125" style="43"/>
    <col min="10250" max="10250" width="14" style="43" customWidth="1"/>
    <col min="10251" max="10496" width="11.42578125" style="43"/>
    <col min="10497" max="10497" width="35" style="43" customWidth="1"/>
    <col min="10498" max="10498" width="19.7109375" style="43" customWidth="1"/>
    <col min="10499" max="10499" width="21.140625" style="43" customWidth="1"/>
    <col min="10500" max="10500" width="18.140625" style="43" customWidth="1"/>
    <col min="10501" max="10501" width="27.140625" style="43" customWidth="1"/>
    <col min="10502" max="10502" width="11.85546875" style="43" customWidth="1"/>
    <col min="10503" max="10503" width="10.140625" style="43" customWidth="1"/>
    <col min="10504" max="10504" width="7.85546875" style="43" customWidth="1"/>
    <col min="10505" max="10505" width="11.42578125" style="43"/>
    <col min="10506" max="10506" width="14" style="43" customWidth="1"/>
    <col min="10507" max="10752" width="11.42578125" style="43"/>
    <col min="10753" max="10753" width="35" style="43" customWidth="1"/>
    <col min="10754" max="10754" width="19.7109375" style="43" customWidth="1"/>
    <col min="10755" max="10755" width="21.140625" style="43" customWidth="1"/>
    <col min="10756" max="10756" width="18.140625" style="43" customWidth="1"/>
    <col min="10757" max="10757" width="27.140625" style="43" customWidth="1"/>
    <col min="10758" max="10758" width="11.85546875" style="43" customWidth="1"/>
    <col min="10759" max="10759" width="10.140625" style="43" customWidth="1"/>
    <col min="10760" max="10760" width="7.85546875" style="43" customWidth="1"/>
    <col min="10761" max="10761" width="11.42578125" style="43"/>
    <col min="10762" max="10762" width="14" style="43" customWidth="1"/>
    <col min="10763" max="11008" width="11.42578125" style="43"/>
    <col min="11009" max="11009" width="35" style="43" customWidth="1"/>
    <col min="11010" max="11010" width="19.7109375" style="43" customWidth="1"/>
    <col min="11011" max="11011" width="21.140625" style="43" customWidth="1"/>
    <col min="11012" max="11012" width="18.140625" style="43" customWidth="1"/>
    <col min="11013" max="11013" width="27.140625" style="43" customWidth="1"/>
    <col min="11014" max="11014" width="11.85546875" style="43" customWidth="1"/>
    <col min="11015" max="11015" width="10.140625" style="43" customWidth="1"/>
    <col min="11016" max="11016" width="7.85546875" style="43" customWidth="1"/>
    <col min="11017" max="11017" width="11.42578125" style="43"/>
    <col min="11018" max="11018" width="14" style="43" customWidth="1"/>
    <col min="11019" max="11264" width="11.42578125" style="43"/>
    <col min="11265" max="11265" width="35" style="43" customWidth="1"/>
    <col min="11266" max="11266" width="19.7109375" style="43" customWidth="1"/>
    <col min="11267" max="11267" width="21.140625" style="43" customWidth="1"/>
    <col min="11268" max="11268" width="18.140625" style="43" customWidth="1"/>
    <col min="11269" max="11269" width="27.140625" style="43" customWidth="1"/>
    <col min="11270" max="11270" width="11.85546875" style="43" customWidth="1"/>
    <col min="11271" max="11271" width="10.140625" style="43" customWidth="1"/>
    <col min="11272" max="11272" width="7.85546875" style="43" customWidth="1"/>
    <col min="11273" max="11273" width="11.42578125" style="43"/>
    <col min="11274" max="11274" width="14" style="43" customWidth="1"/>
    <col min="11275" max="11520" width="11.42578125" style="43"/>
    <col min="11521" max="11521" width="35" style="43" customWidth="1"/>
    <col min="11522" max="11522" width="19.7109375" style="43" customWidth="1"/>
    <col min="11523" max="11523" width="21.140625" style="43" customWidth="1"/>
    <col min="11524" max="11524" width="18.140625" style="43" customWidth="1"/>
    <col min="11525" max="11525" width="27.140625" style="43" customWidth="1"/>
    <col min="11526" max="11526" width="11.85546875" style="43" customWidth="1"/>
    <col min="11527" max="11527" width="10.140625" style="43" customWidth="1"/>
    <col min="11528" max="11528" width="7.85546875" style="43" customWidth="1"/>
    <col min="11529" max="11529" width="11.42578125" style="43"/>
    <col min="11530" max="11530" width="14" style="43" customWidth="1"/>
    <col min="11531" max="11776" width="11.42578125" style="43"/>
    <col min="11777" max="11777" width="35" style="43" customWidth="1"/>
    <col min="11778" max="11778" width="19.7109375" style="43" customWidth="1"/>
    <col min="11779" max="11779" width="21.140625" style="43" customWidth="1"/>
    <col min="11780" max="11780" width="18.140625" style="43" customWidth="1"/>
    <col min="11781" max="11781" width="27.140625" style="43" customWidth="1"/>
    <col min="11782" max="11782" width="11.85546875" style="43" customWidth="1"/>
    <col min="11783" max="11783" width="10.140625" style="43" customWidth="1"/>
    <col min="11784" max="11784" width="7.85546875" style="43" customWidth="1"/>
    <col min="11785" max="11785" width="11.42578125" style="43"/>
    <col min="11786" max="11786" width="14" style="43" customWidth="1"/>
    <col min="11787" max="12032" width="11.42578125" style="43"/>
    <col min="12033" max="12033" width="35" style="43" customWidth="1"/>
    <col min="12034" max="12034" width="19.7109375" style="43" customWidth="1"/>
    <col min="12035" max="12035" width="21.140625" style="43" customWidth="1"/>
    <col min="12036" max="12036" width="18.140625" style="43" customWidth="1"/>
    <col min="12037" max="12037" width="27.140625" style="43" customWidth="1"/>
    <col min="12038" max="12038" width="11.85546875" style="43" customWidth="1"/>
    <col min="12039" max="12039" width="10.140625" style="43" customWidth="1"/>
    <col min="12040" max="12040" width="7.85546875" style="43" customWidth="1"/>
    <col min="12041" max="12041" width="11.42578125" style="43"/>
    <col min="12042" max="12042" width="14" style="43" customWidth="1"/>
    <col min="12043" max="12288" width="11.42578125" style="43"/>
    <col min="12289" max="12289" width="35" style="43" customWidth="1"/>
    <col min="12290" max="12290" width="19.7109375" style="43" customWidth="1"/>
    <col min="12291" max="12291" width="21.140625" style="43" customWidth="1"/>
    <col min="12292" max="12292" width="18.140625" style="43" customWidth="1"/>
    <col min="12293" max="12293" width="27.140625" style="43" customWidth="1"/>
    <col min="12294" max="12294" width="11.85546875" style="43" customWidth="1"/>
    <col min="12295" max="12295" width="10.140625" style="43" customWidth="1"/>
    <col min="12296" max="12296" width="7.85546875" style="43" customWidth="1"/>
    <col min="12297" max="12297" width="11.42578125" style="43"/>
    <col min="12298" max="12298" width="14" style="43" customWidth="1"/>
    <col min="12299" max="12544" width="11.42578125" style="43"/>
    <col min="12545" max="12545" width="35" style="43" customWidth="1"/>
    <col min="12546" max="12546" width="19.7109375" style="43" customWidth="1"/>
    <col min="12547" max="12547" width="21.140625" style="43" customWidth="1"/>
    <col min="12548" max="12548" width="18.140625" style="43" customWidth="1"/>
    <col min="12549" max="12549" width="27.140625" style="43" customWidth="1"/>
    <col min="12550" max="12550" width="11.85546875" style="43" customWidth="1"/>
    <col min="12551" max="12551" width="10.140625" style="43" customWidth="1"/>
    <col min="12552" max="12552" width="7.85546875" style="43" customWidth="1"/>
    <col min="12553" max="12553" width="11.42578125" style="43"/>
    <col min="12554" max="12554" width="14" style="43" customWidth="1"/>
    <col min="12555" max="12800" width="11.42578125" style="43"/>
    <col min="12801" max="12801" width="35" style="43" customWidth="1"/>
    <col min="12802" max="12802" width="19.7109375" style="43" customWidth="1"/>
    <col min="12803" max="12803" width="21.140625" style="43" customWidth="1"/>
    <col min="12804" max="12804" width="18.140625" style="43" customWidth="1"/>
    <col min="12805" max="12805" width="27.140625" style="43" customWidth="1"/>
    <col min="12806" max="12806" width="11.85546875" style="43" customWidth="1"/>
    <col min="12807" max="12807" width="10.140625" style="43" customWidth="1"/>
    <col min="12808" max="12808" width="7.85546875" style="43" customWidth="1"/>
    <col min="12809" max="12809" width="11.42578125" style="43"/>
    <col min="12810" max="12810" width="14" style="43" customWidth="1"/>
    <col min="12811" max="13056" width="11.42578125" style="43"/>
    <col min="13057" max="13057" width="35" style="43" customWidth="1"/>
    <col min="13058" max="13058" width="19.7109375" style="43" customWidth="1"/>
    <col min="13059" max="13059" width="21.140625" style="43" customWidth="1"/>
    <col min="13060" max="13060" width="18.140625" style="43" customWidth="1"/>
    <col min="13061" max="13061" width="27.140625" style="43" customWidth="1"/>
    <col min="13062" max="13062" width="11.85546875" style="43" customWidth="1"/>
    <col min="13063" max="13063" width="10.140625" style="43" customWidth="1"/>
    <col min="13064" max="13064" width="7.85546875" style="43" customWidth="1"/>
    <col min="13065" max="13065" width="11.42578125" style="43"/>
    <col min="13066" max="13066" width="14" style="43" customWidth="1"/>
    <col min="13067" max="13312" width="11.42578125" style="43"/>
    <col min="13313" max="13313" width="35" style="43" customWidth="1"/>
    <col min="13314" max="13314" width="19.7109375" style="43" customWidth="1"/>
    <col min="13315" max="13315" width="21.140625" style="43" customWidth="1"/>
    <col min="13316" max="13316" width="18.140625" style="43" customWidth="1"/>
    <col min="13317" max="13317" width="27.140625" style="43" customWidth="1"/>
    <col min="13318" max="13318" width="11.85546875" style="43" customWidth="1"/>
    <col min="13319" max="13319" width="10.140625" style="43" customWidth="1"/>
    <col min="13320" max="13320" width="7.85546875" style="43" customWidth="1"/>
    <col min="13321" max="13321" width="11.42578125" style="43"/>
    <col min="13322" max="13322" width="14" style="43" customWidth="1"/>
    <col min="13323" max="13568" width="11.42578125" style="43"/>
    <col min="13569" max="13569" width="35" style="43" customWidth="1"/>
    <col min="13570" max="13570" width="19.7109375" style="43" customWidth="1"/>
    <col min="13571" max="13571" width="21.140625" style="43" customWidth="1"/>
    <col min="13572" max="13572" width="18.140625" style="43" customWidth="1"/>
    <col min="13573" max="13573" width="27.140625" style="43" customWidth="1"/>
    <col min="13574" max="13574" width="11.85546875" style="43" customWidth="1"/>
    <col min="13575" max="13575" width="10.140625" style="43" customWidth="1"/>
    <col min="13576" max="13576" width="7.85546875" style="43" customWidth="1"/>
    <col min="13577" max="13577" width="11.42578125" style="43"/>
    <col min="13578" max="13578" width="14" style="43" customWidth="1"/>
    <col min="13579" max="13824" width="11.42578125" style="43"/>
    <col min="13825" max="13825" width="35" style="43" customWidth="1"/>
    <col min="13826" max="13826" width="19.7109375" style="43" customWidth="1"/>
    <col min="13827" max="13827" width="21.140625" style="43" customWidth="1"/>
    <col min="13828" max="13828" width="18.140625" style="43" customWidth="1"/>
    <col min="13829" max="13829" width="27.140625" style="43" customWidth="1"/>
    <col min="13830" max="13830" width="11.85546875" style="43" customWidth="1"/>
    <col min="13831" max="13831" width="10.140625" style="43" customWidth="1"/>
    <col min="13832" max="13832" width="7.85546875" style="43" customWidth="1"/>
    <col min="13833" max="13833" width="11.42578125" style="43"/>
    <col min="13834" max="13834" width="14" style="43" customWidth="1"/>
    <col min="13835" max="14080" width="11.42578125" style="43"/>
    <col min="14081" max="14081" width="35" style="43" customWidth="1"/>
    <col min="14082" max="14082" width="19.7109375" style="43" customWidth="1"/>
    <col min="14083" max="14083" width="21.140625" style="43" customWidth="1"/>
    <col min="14084" max="14084" width="18.140625" style="43" customWidth="1"/>
    <col min="14085" max="14085" width="27.140625" style="43" customWidth="1"/>
    <col min="14086" max="14086" width="11.85546875" style="43" customWidth="1"/>
    <col min="14087" max="14087" width="10.140625" style="43" customWidth="1"/>
    <col min="14088" max="14088" width="7.85546875" style="43" customWidth="1"/>
    <col min="14089" max="14089" width="11.42578125" style="43"/>
    <col min="14090" max="14090" width="14" style="43" customWidth="1"/>
    <col min="14091" max="14336" width="11.42578125" style="43"/>
    <col min="14337" max="14337" width="35" style="43" customWidth="1"/>
    <col min="14338" max="14338" width="19.7109375" style="43" customWidth="1"/>
    <col min="14339" max="14339" width="21.140625" style="43" customWidth="1"/>
    <col min="14340" max="14340" width="18.140625" style="43" customWidth="1"/>
    <col min="14341" max="14341" width="27.140625" style="43" customWidth="1"/>
    <col min="14342" max="14342" width="11.85546875" style="43" customWidth="1"/>
    <col min="14343" max="14343" width="10.140625" style="43" customWidth="1"/>
    <col min="14344" max="14344" width="7.85546875" style="43" customWidth="1"/>
    <col min="14345" max="14345" width="11.42578125" style="43"/>
    <col min="14346" max="14346" width="14" style="43" customWidth="1"/>
    <col min="14347" max="14592" width="11.42578125" style="43"/>
    <col min="14593" max="14593" width="35" style="43" customWidth="1"/>
    <col min="14594" max="14594" width="19.7109375" style="43" customWidth="1"/>
    <col min="14595" max="14595" width="21.140625" style="43" customWidth="1"/>
    <col min="14596" max="14596" width="18.140625" style="43" customWidth="1"/>
    <col min="14597" max="14597" width="27.140625" style="43" customWidth="1"/>
    <col min="14598" max="14598" width="11.85546875" style="43" customWidth="1"/>
    <col min="14599" max="14599" width="10.140625" style="43" customWidth="1"/>
    <col min="14600" max="14600" width="7.85546875" style="43" customWidth="1"/>
    <col min="14601" max="14601" width="11.42578125" style="43"/>
    <col min="14602" max="14602" width="14" style="43" customWidth="1"/>
    <col min="14603" max="14848" width="11.42578125" style="43"/>
    <col min="14849" max="14849" width="35" style="43" customWidth="1"/>
    <col min="14850" max="14850" width="19.7109375" style="43" customWidth="1"/>
    <col min="14851" max="14851" width="21.140625" style="43" customWidth="1"/>
    <col min="14852" max="14852" width="18.140625" style="43" customWidth="1"/>
    <col min="14853" max="14853" width="27.140625" style="43" customWidth="1"/>
    <col min="14854" max="14854" width="11.85546875" style="43" customWidth="1"/>
    <col min="14855" max="14855" width="10.140625" style="43" customWidth="1"/>
    <col min="14856" max="14856" width="7.85546875" style="43" customWidth="1"/>
    <col min="14857" max="14857" width="11.42578125" style="43"/>
    <col min="14858" max="14858" width="14" style="43" customWidth="1"/>
    <col min="14859" max="15104" width="11.42578125" style="43"/>
    <col min="15105" max="15105" width="35" style="43" customWidth="1"/>
    <col min="15106" max="15106" width="19.7109375" style="43" customWidth="1"/>
    <col min="15107" max="15107" width="21.140625" style="43" customWidth="1"/>
    <col min="15108" max="15108" width="18.140625" style="43" customWidth="1"/>
    <col min="15109" max="15109" width="27.140625" style="43" customWidth="1"/>
    <col min="15110" max="15110" width="11.85546875" style="43" customWidth="1"/>
    <col min="15111" max="15111" width="10.140625" style="43" customWidth="1"/>
    <col min="15112" max="15112" width="7.85546875" style="43" customWidth="1"/>
    <col min="15113" max="15113" width="11.42578125" style="43"/>
    <col min="15114" max="15114" width="14" style="43" customWidth="1"/>
    <col min="15115" max="15360" width="11.42578125" style="43"/>
    <col min="15361" max="15361" width="35" style="43" customWidth="1"/>
    <col min="15362" max="15362" width="19.7109375" style="43" customWidth="1"/>
    <col min="15363" max="15363" width="21.140625" style="43" customWidth="1"/>
    <col min="15364" max="15364" width="18.140625" style="43" customWidth="1"/>
    <col min="15365" max="15365" width="27.140625" style="43" customWidth="1"/>
    <col min="15366" max="15366" width="11.85546875" style="43" customWidth="1"/>
    <col min="15367" max="15367" width="10.140625" style="43" customWidth="1"/>
    <col min="15368" max="15368" width="7.85546875" style="43" customWidth="1"/>
    <col min="15369" max="15369" width="11.42578125" style="43"/>
    <col min="15370" max="15370" width="14" style="43" customWidth="1"/>
    <col min="15371" max="15616" width="11.42578125" style="43"/>
    <col min="15617" max="15617" width="35" style="43" customWidth="1"/>
    <col min="15618" max="15618" width="19.7109375" style="43" customWidth="1"/>
    <col min="15619" max="15619" width="21.140625" style="43" customWidth="1"/>
    <col min="15620" max="15620" width="18.140625" style="43" customWidth="1"/>
    <col min="15621" max="15621" width="27.140625" style="43" customWidth="1"/>
    <col min="15622" max="15622" width="11.85546875" style="43" customWidth="1"/>
    <col min="15623" max="15623" width="10.140625" style="43" customWidth="1"/>
    <col min="15624" max="15624" width="7.85546875" style="43" customWidth="1"/>
    <col min="15625" max="15625" width="11.42578125" style="43"/>
    <col min="15626" max="15626" width="14" style="43" customWidth="1"/>
    <col min="15627" max="15872" width="11.42578125" style="43"/>
    <col min="15873" max="15873" width="35" style="43" customWidth="1"/>
    <col min="15874" max="15874" width="19.7109375" style="43" customWidth="1"/>
    <col min="15875" max="15875" width="21.140625" style="43" customWidth="1"/>
    <col min="15876" max="15876" width="18.140625" style="43" customWidth="1"/>
    <col min="15877" max="15877" width="27.140625" style="43" customWidth="1"/>
    <col min="15878" max="15878" width="11.85546875" style="43" customWidth="1"/>
    <col min="15879" max="15879" width="10.140625" style="43" customWidth="1"/>
    <col min="15880" max="15880" width="7.85546875" style="43" customWidth="1"/>
    <col min="15881" max="15881" width="11.42578125" style="43"/>
    <col min="15882" max="15882" width="14" style="43" customWidth="1"/>
    <col min="15883" max="16128" width="11.42578125" style="43"/>
    <col min="16129" max="16129" width="35" style="43" customWidth="1"/>
    <col min="16130" max="16130" width="19.7109375" style="43" customWidth="1"/>
    <col min="16131" max="16131" width="21.140625" style="43" customWidth="1"/>
    <col min="16132" max="16132" width="18.140625" style="43" customWidth="1"/>
    <col min="16133" max="16133" width="27.140625" style="43" customWidth="1"/>
    <col min="16134" max="16134" width="11.85546875" style="43" customWidth="1"/>
    <col min="16135" max="16135" width="10.140625" style="43" customWidth="1"/>
    <col min="16136" max="16136" width="7.85546875" style="43" customWidth="1"/>
    <col min="16137" max="16137" width="11.42578125" style="43"/>
    <col min="16138" max="16138" width="14" style="43" customWidth="1"/>
    <col min="16139" max="16384" width="11.42578125" style="43"/>
  </cols>
  <sheetData>
    <row r="1" spans="1:10" ht="20.25" customHeight="1" x14ac:dyDescent="0.25">
      <c r="A1" s="39" t="s">
        <v>459</v>
      </c>
      <c r="B1" s="45">
        <f>MAX(CG[Fecha actualización])</f>
        <v>44277</v>
      </c>
      <c r="C1" s="40" t="s">
        <v>444</v>
      </c>
      <c r="D1" s="40" t="s">
        <v>780</v>
      </c>
      <c r="E1" s="437" t="s">
        <v>738</v>
      </c>
      <c r="F1" s="438"/>
      <c r="G1" s="438"/>
      <c r="H1" s="438"/>
      <c r="I1" s="438"/>
      <c r="J1" s="266"/>
    </row>
    <row r="2" spans="1:10" ht="18.75" x14ac:dyDescent="0.25">
      <c r="A2" s="81" t="s">
        <v>441</v>
      </c>
      <c r="B2" s="82" t="s">
        <v>419</v>
      </c>
      <c r="C2" s="81" t="s">
        <v>715</v>
      </c>
      <c r="D2" s="81" t="s">
        <v>1</v>
      </c>
      <c r="E2" s="81" t="s">
        <v>718</v>
      </c>
      <c r="F2" s="223" t="s">
        <v>55</v>
      </c>
      <c r="G2" s="223" t="s">
        <v>402</v>
      </c>
      <c r="H2" s="81" t="s">
        <v>5</v>
      </c>
      <c r="I2" s="81" t="s">
        <v>591</v>
      </c>
      <c r="J2" s="224" t="s">
        <v>260</v>
      </c>
    </row>
    <row r="3" spans="1:10" x14ac:dyDescent="0.25">
      <c r="A3" s="85" t="s">
        <v>858</v>
      </c>
      <c r="B3" s="129" t="s">
        <v>857</v>
      </c>
      <c r="C3" s="63" t="s">
        <v>717</v>
      </c>
      <c r="D3" s="63" t="s">
        <v>326</v>
      </c>
      <c r="E3" s="63"/>
      <c r="F3" s="19">
        <v>2250</v>
      </c>
      <c r="G3" s="47" t="s">
        <v>149</v>
      </c>
      <c r="H3" s="47"/>
      <c r="I3" s="37">
        <v>43957</v>
      </c>
      <c r="J3" s="63" t="str">
        <f>CONCATENATE(CG[[#This Row],[Material]]," ",CG[[#This Row],[Especificación]])</f>
        <v>Aceite Ultra grade 15</v>
      </c>
    </row>
    <row r="4" spans="1:10" x14ac:dyDescent="0.25">
      <c r="A4" s="85" t="s">
        <v>314</v>
      </c>
      <c r="B4" s="129"/>
      <c r="C4" s="63" t="s">
        <v>716</v>
      </c>
      <c r="D4" s="63"/>
      <c r="E4" s="63"/>
      <c r="F4" s="19">
        <v>3</v>
      </c>
      <c r="G4" s="226" t="s">
        <v>65</v>
      </c>
      <c r="H4" s="47"/>
      <c r="I4" s="37">
        <v>43957</v>
      </c>
      <c r="J4" s="97" t="str">
        <f>CONCATENATE(CG[[#This Row],[Material]]," ",CG[[#This Row],[Especificación]])</f>
        <v xml:space="preserve">Adaptadores de columna </v>
      </c>
    </row>
    <row r="5" spans="1:10" x14ac:dyDescent="0.25">
      <c r="A5" s="85" t="s">
        <v>315</v>
      </c>
      <c r="B5" s="129"/>
      <c r="C5" s="63"/>
      <c r="D5" s="63"/>
      <c r="E5" s="63" t="s">
        <v>316</v>
      </c>
      <c r="F5" s="19">
        <v>2</v>
      </c>
      <c r="G5" s="47" t="s">
        <v>65</v>
      </c>
      <c r="H5" s="47"/>
      <c r="I5" s="37">
        <v>43957</v>
      </c>
      <c r="J5" s="97" t="str">
        <f>CONCATENATE(CG[[#This Row],[Material]]," ",CG[[#This Row],[Especificación]])</f>
        <v xml:space="preserve">Capilares </v>
      </c>
    </row>
    <row r="6" spans="1:10" x14ac:dyDescent="0.25">
      <c r="A6" s="131" t="s">
        <v>377</v>
      </c>
      <c r="B6" s="163"/>
      <c r="C6" s="97" t="s">
        <v>717</v>
      </c>
      <c r="D6" s="97" t="s">
        <v>326</v>
      </c>
      <c r="E6" s="97" t="s">
        <v>859</v>
      </c>
      <c r="F6" s="24">
        <v>1</v>
      </c>
      <c r="G6" s="47" t="s">
        <v>65</v>
      </c>
      <c r="H6" s="48"/>
      <c r="I6" s="37">
        <v>43957</v>
      </c>
      <c r="J6" s="97" t="str">
        <f>CONCATENATE(CG[[#This Row],[Material]]," ",CG[[#This Row],[Especificación]])</f>
        <v xml:space="preserve">Cinta amarilla </v>
      </c>
    </row>
    <row r="7" spans="1:10" x14ac:dyDescent="0.25">
      <c r="A7" s="85" t="s">
        <v>317</v>
      </c>
      <c r="B7" s="129"/>
      <c r="C7" s="63"/>
      <c r="D7" s="63"/>
      <c r="E7" s="63"/>
      <c r="F7" s="19">
        <v>2</v>
      </c>
      <c r="G7" s="47" t="s">
        <v>65</v>
      </c>
      <c r="H7" s="47"/>
      <c r="I7" s="37">
        <v>43957</v>
      </c>
      <c r="J7" s="97" t="str">
        <f>CONCATENATE(CG[[#This Row],[Material]]," ",CG[[#This Row],[Especificación]])</f>
        <v xml:space="preserve">Cinta antiestática </v>
      </c>
    </row>
    <row r="8" spans="1:10" x14ac:dyDescent="0.25">
      <c r="A8" s="85" t="s">
        <v>719</v>
      </c>
      <c r="B8" s="129" t="s">
        <v>318</v>
      </c>
      <c r="C8" s="63" t="s">
        <v>721</v>
      </c>
      <c r="D8" s="63"/>
      <c r="E8" s="63" t="s">
        <v>319</v>
      </c>
      <c r="F8" s="19">
        <v>2</v>
      </c>
      <c r="G8" s="47"/>
      <c r="H8" s="47"/>
      <c r="I8" s="37">
        <v>43957</v>
      </c>
      <c r="J8" s="97" t="str">
        <f>CONCATENATE(CG[[#This Row],[Material]]," ",CG[[#This Row],[Especificación]])</f>
        <v>Columna HP-5 MS UI</v>
      </c>
    </row>
    <row r="9" spans="1:10" x14ac:dyDescent="0.25">
      <c r="A9" s="85" t="s">
        <v>719</v>
      </c>
      <c r="B9" s="129" t="s">
        <v>320</v>
      </c>
      <c r="C9" s="63" t="s">
        <v>721</v>
      </c>
      <c r="D9" s="63"/>
      <c r="E9" s="63" t="s">
        <v>321</v>
      </c>
      <c r="F9" s="19">
        <v>1</v>
      </c>
      <c r="G9" s="47"/>
      <c r="H9" s="47"/>
      <c r="I9" s="37">
        <v>43957</v>
      </c>
      <c r="J9" s="97" t="str">
        <f>CONCATENATE(CG[[#This Row],[Material]]," ",CG[[#This Row],[Especificación]])</f>
        <v>Columna VF-WAX MS</v>
      </c>
    </row>
    <row r="10" spans="1:10" x14ac:dyDescent="0.25">
      <c r="A10" s="131" t="s">
        <v>862</v>
      </c>
      <c r="B10" s="163" t="s">
        <v>860</v>
      </c>
      <c r="C10" s="97" t="s">
        <v>717</v>
      </c>
      <c r="D10" s="97" t="s">
        <v>326</v>
      </c>
      <c r="E10" s="97" t="s">
        <v>378</v>
      </c>
      <c r="F10" s="24">
        <v>2</v>
      </c>
      <c r="G10" s="47" t="s">
        <v>65</v>
      </c>
      <c r="H10" s="48"/>
      <c r="I10" s="37">
        <v>43957</v>
      </c>
      <c r="J10" s="97" t="str">
        <f>CONCATENATE(CG[[#This Row],[Material]]," ",CG[[#This Row],[Especificación]])</f>
        <v>Conector columna Detector</v>
      </c>
    </row>
    <row r="11" spans="1:10" x14ac:dyDescent="0.25">
      <c r="A11" s="131" t="s">
        <v>862</v>
      </c>
      <c r="B11" s="163" t="s">
        <v>861</v>
      </c>
      <c r="C11" s="97" t="s">
        <v>717</v>
      </c>
      <c r="D11" s="97" t="s">
        <v>326</v>
      </c>
      <c r="E11" s="97" t="s">
        <v>379</v>
      </c>
      <c r="F11" s="24">
        <v>2</v>
      </c>
      <c r="G11" s="47" t="s">
        <v>65</v>
      </c>
      <c r="H11" s="48"/>
      <c r="I11" s="37">
        <v>43957</v>
      </c>
      <c r="J11" s="97" t="str">
        <f>CONCATENATE(CG[[#This Row],[Material]]," ",CG[[#This Row],[Especificación]])</f>
        <v>Conector columna Inyector</v>
      </c>
    </row>
    <row r="12" spans="1:10" x14ac:dyDescent="0.25">
      <c r="A12" s="131" t="s">
        <v>380</v>
      </c>
      <c r="B12" s="163"/>
      <c r="C12" s="97" t="s">
        <v>717</v>
      </c>
      <c r="D12" s="97" t="s">
        <v>326</v>
      </c>
      <c r="E12" s="97" t="s">
        <v>863</v>
      </c>
      <c r="F12" s="24">
        <v>1</v>
      </c>
      <c r="G12" s="47" t="s">
        <v>65</v>
      </c>
      <c r="H12" s="48"/>
      <c r="I12" s="37">
        <v>43957</v>
      </c>
      <c r="J12" s="97" t="str">
        <f>CONCATENATE(CG[[#This Row],[Material]]," ",CG[[#This Row],[Especificación]])</f>
        <v xml:space="preserve">Corta columna </v>
      </c>
    </row>
    <row r="13" spans="1:10" x14ac:dyDescent="0.25">
      <c r="A13" s="131" t="s">
        <v>733</v>
      </c>
      <c r="B13" s="163" t="s">
        <v>381</v>
      </c>
      <c r="C13" s="97" t="s">
        <v>717</v>
      </c>
      <c r="D13" s="97" t="s">
        <v>326</v>
      </c>
      <c r="E13" s="97" t="s">
        <v>864</v>
      </c>
      <c r="F13" s="24">
        <v>1</v>
      </c>
      <c r="G13" s="47" t="s">
        <v>65</v>
      </c>
      <c r="H13" s="48"/>
      <c r="I13" s="37">
        <v>43957</v>
      </c>
      <c r="J13" s="97" t="str">
        <f>CONCATENATE(CG[[#This Row],[Material]]," ",CG[[#This Row],[Especificación]])</f>
        <v>Destornilladores  Hexagon 4,0</v>
      </c>
    </row>
    <row r="14" spans="1:10" x14ac:dyDescent="0.25">
      <c r="A14" s="131" t="s">
        <v>733</v>
      </c>
      <c r="B14" s="163" t="s">
        <v>382</v>
      </c>
      <c r="C14" s="97" t="s">
        <v>717</v>
      </c>
      <c r="D14" s="97" t="s">
        <v>326</v>
      </c>
      <c r="E14" s="97" t="s">
        <v>865</v>
      </c>
      <c r="F14" s="24">
        <v>1</v>
      </c>
      <c r="G14" s="47" t="s">
        <v>65</v>
      </c>
      <c r="H14" s="48"/>
      <c r="I14" s="37">
        <v>43957</v>
      </c>
      <c r="J14" s="97" t="str">
        <f>CONCATENATE(CG[[#This Row],[Material]]," ",CG[[#This Row],[Especificación]])</f>
        <v>Destornilladores  Hexagon 1,5</v>
      </c>
    </row>
    <row r="15" spans="1:10" x14ac:dyDescent="0.25">
      <c r="A15" s="131" t="s">
        <v>733</v>
      </c>
      <c r="B15" s="163" t="s">
        <v>383</v>
      </c>
      <c r="C15" s="97" t="s">
        <v>717</v>
      </c>
      <c r="D15" s="97" t="s">
        <v>326</v>
      </c>
      <c r="E15" s="97" t="s">
        <v>866</v>
      </c>
      <c r="F15" s="24">
        <v>1</v>
      </c>
      <c r="G15" s="47" t="s">
        <v>65</v>
      </c>
      <c r="H15" s="48"/>
      <c r="I15" s="37">
        <v>43957</v>
      </c>
      <c r="J15" s="97" t="str">
        <f>CONCATENATE(CG[[#This Row],[Material]]," ",CG[[#This Row],[Especificación]])</f>
        <v>Destornilladores  Minus</v>
      </c>
    </row>
    <row r="16" spans="1:10" x14ac:dyDescent="0.25">
      <c r="A16" s="131" t="s">
        <v>733</v>
      </c>
      <c r="B16" s="163" t="s">
        <v>868</v>
      </c>
      <c r="C16" s="97" t="s">
        <v>717</v>
      </c>
      <c r="D16" s="97" t="s">
        <v>326</v>
      </c>
      <c r="E16" s="97" t="s">
        <v>867</v>
      </c>
      <c r="F16" s="24">
        <v>1</v>
      </c>
      <c r="G16" s="47" t="s">
        <v>65</v>
      </c>
      <c r="H16" s="48"/>
      <c r="I16" s="37">
        <v>43957</v>
      </c>
      <c r="J16" s="97" t="str">
        <f>CONCATENATE(CG[[#This Row],[Material]]," ",CG[[#This Row],[Especificación]])</f>
        <v>Destornilladores  Phillips</v>
      </c>
    </row>
    <row r="17" spans="1:10" x14ac:dyDescent="0.25">
      <c r="A17" s="131" t="s">
        <v>736</v>
      </c>
      <c r="B17" s="163" t="s">
        <v>737</v>
      </c>
      <c r="C17" s="97" t="s">
        <v>717</v>
      </c>
      <c r="D17" s="97" t="s">
        <v>326</v>
      </c>
      <c r="E17" s="97" t="s">
        <v>869</v>
      </c>
      <c r="F17" s="24">
        <v>1</v>
      </c>
      <c r="G17" s="47" t="s">
        <v>65</v>
      </c>
      <c r="H17" s="48"/>
      <c r="I17" s="37">
        <v>43957</v>
      </c>
      <c r="J17" s="97" t="str">
        <f>CONCATENATE(CG[[#This Row],[Material]]," ",CG[[#This Row],[Especificación]])</f>
        <v>Destornilladror  JIG IS</v>
      </c>
    </row>
    <row r="18" spans="1:10" x14ac:dyDescent="0.25">
      <c r="A18" s="85" t="s">
        <v>322</v>
      </c>
      <c r="B18" s="129" t="s">
        <v>323</v>
      </c>
      <c r="C18" s="97" t="s">
        <v>716</v>
      </c>
      <c r="D18" s="63" t="s">
        <v>337</v>
      </c>
      <c r="E18" s="63" t="s">
        <v>324</v>
      </c>
      <c r="F18" s="19">
        <v>11</v>
      </c>
      <c r="G18" s="47" t="s">
        <v>65</v>
      </c>
      <c r="H18" s="47"/>
      <c r="I18" s="37">
        <v>44139</v>
      </c>
      <c r="J18" s="97" t="str">
        <f>CONCATENATE(CG[[#This Row],[Material]]," ",CG[[#This Row],[Especificación]])</f>
        <v>Ferrules 0,4 mm</v>
      </c>
    </row>
    <row r="19" spans="1:10" x14ac:dyDescent="0.25">
      <c r="A19" s="85" t="s">
        <v>322</v>
      </c>
      <c r="B19" s="129" t="s">
        <v>323</v>
      </c>
      <c r="C19" s="63"/>
      <c r="D19" s="63"/>
      <c r="E19" s="63" t="s">
        <v>325</v>
      </c>
      <c r="F19" s="19">
        <v>6</v>
      </c>
      <c r="G19" s="47" t="s">
        <v>65</v>
      </c>
      <c r="H19" s="47"/>
      <c r="I19" s="37">
        <v>43957</v>
      </c>
      <c r="J19" s="97" t="str">
        <f>CONCATENATE(CG[[#This Row],[Material]]," ",CG[[#This Row],[Especificación]])</f>
        <v>Ferrules 0,4 mm</v>
      </c>
    </row>
    <row r="20" spans="1:10" x14ac:dyDescent="0.25">
      <c r="A20" s="85" t="s">
        <v>322</v>
      </c>
      <c r="B20" s="225" t="s">
        <v>870</v>
      </c>
      <c r="C20" s="63" t="s">
        <v>717</v>
      </c>
      <c r="D20" s="63" t="s">
        <v>326</v>
      </c>
      <c r="E20" s="63" t="s">
        <v>327</v>
      </c>
      <c r="F20" s="19">
        <v>21</v>
      </c>
      <c r="G20" s="47" t="s">
        <v>65</v>
      </c>
      <c r="H20" s="47"/>
      <c r="I20" s="37">
        <v>44277</v>
      </c>
      <c r="J20" s="97" t="str">
        <f>CONCATENATE(CG[[#This Row],[Material]]," ",CG[[#This Row],[Especificación]])</f>
        <v>Ferrules GVF16-004</v>
      </c>
    </row>
    <row r="21" spans="1:10" x14ac:dyDescent="0.25">
      <c r="A21" s="85" t="s">
        <v>322</v>
      </c>
      <c r="B21" s="129" t="s">
        <v>328</v>
      </c>
      <c r="C21" s="63" t="s">
        <v>722</v>
      </c>
      <c r="D21" s="63" t="s">
        <v>326</v>
      </c>
      <c r="E21" s="63" t="s">
        <v>329</v>
      </c>
      <c r="F21" s="19">
        <v>5</v>
      </c>
      <c r="G21" s="47" t="s">
        <v>65</v>
      </c>
      <c r="H21" s="47"/>
      <c r="I21" s="37">
        <v>43957</v>
      </c>
      <c r="J21" s="97" t="str">
        <f>CONCATENATE(CG[[#This Row],[Material]]," ",CG[[#This Row],[Especificación]])</f>
        <v>Ferrules G-05</v>
      </c>
    </row>
    <row r="22" spans="1:10" x14ac:dyDescent="0.25">
      <c r="A22" s="85" t="s">
        <v>330</v>
      </c>
      <c r="B22" s="129"/>
      <c r="C22" s="63" t="s">
        <v>717</v>
      </c>
      <c r="D22" s="63" t="s">
        <v>326</v>
      </c>
      <c r="E22" s="63" t="s">
        <v>871</v>
      </c>
      <c r="F22" s="19">
        <v>1</v>
      </c>
      <c r="G22" s="47" t="s">
        <v>65</v>
      </c>
      <c r="H22" s="47"/>
      <c r="I22" s="37">
        <v>44273</v>
      </c>
      <c r="J22" s="97" t="str">
        <f>CONCATENATE(CG[[#This Row],[Material]]," ",CG[[#This Row],[Especificación]])</f>
        <v xml:space="preserve">Filamento </v>
      </c>
    </row>
    <row r="23" spans="1:10" x14ac:dyDescent="0.25">
      <c r="A23" s="85" t="s">
        <v>331</v>
      </c>
      <c r="B23" s="129" t="s">
        <v>61</v>
      </c>
      <c r="C23" s="97" t="s">
        <v>722</v>
      </c>
      <c r="D23" s="63" t="s">
        <v>326</v>
      </c>
      <c r="E23" s="63" t="s">
        <v>332</v>
      </c>
      <c r="F23" s="19">
        <v>1</v>
      </c>
      <c r="G23" s="47" t="s">
        <v>65</v>
      </c>
      <c r="H23" s="47"/>
      <c r="I23" s="37">
        <v>43957</v>
      </c>
      <c r="J23" s="97" t="str">
        <f>CONCATENATE(CG[[#This Row],[Material]]," ",CG[[#This Row],[Especificación]])</f>
        <v>Filtro FPD S</v>
      </c>
    </row>
    <row r="24" spans="1:10" x14ac:dyDescent="0.25">
      <c r="A24" s="85" t="s">
        <v>331</v>
      </c>
      <c r="B24" s="129" t="s">
        <v>333</v>
      </c>
      <c r="C24" s="97" t="s">
        <v>722</v>
      </c>
      <c r="D24" s="63" t="s">
        <v>326</v>
      </c>
      <c r="E24" s="63" t="s">
        <v>334</v>
      </c>
      <c r="F24" s="19">
        <v>1</v>
      </c>
      <c r="G24" s="47" t="s">
        <v>65</v>
      </c>
      <c r="H24" s="47"/>
      <c r="I24" s="37">
        <v>43957</v>
      </c>
      <c r="J24" s="97" t="str">
        <f>CONCATENATE(CG[[#This Row],[Material]]," ",CG[[#This Row],[Especificación]])</f>
        <v>Filtro FPD P</v>
      </c>
    </row>
    <row r="25" spans="1:10" x14ac:dyDescent="0.25">
      <c r="A25" s="85" t="s">
        <v>331</v>
      </c>
      <c r="B25" s="129" t="s">
        <v>335</v>
      </c>
      <c r="C25" s="97" t="s">
        <v>722</v>
      </c>
      <c r="D25" s="63" t="s">
        <v>326</v>
      </c>
      <c r="E25" s="63" t="s">
        <v>336</v>
      </c>
      <c r="F25" s="19">
        <v>1</v>
      </c>
      <c r="G25" s="47" t="s">
        <v>65</v>
      </c>
      <c r="H25" s="47"/>
      <c r="I25" s="37">
        <v>43957</v>
      </c>
      <c r="J25" s="97" t="str">
        <f>CONCATENATE(CG[[#This Row],[Material]]," ",CG[[#This Row],[Especificación]])</f>
        <v>Filtro FPD Sn</v>
      </c>
    </row>
    <row r="26" spans="1:10" x14ac:dyDescent="0.25">
      <c r="A26" s="85" t="s">
        <v>367</v>
      </c>
      <c r="B26" s="129" t="s">
        <v>872</v>
      </c>
      <c r="C26" s="97" t="s">
        <v>721</v>
      </c>
      <c r="D26" s="63" t="s">
        <v>337</v>
      </c>
      <c r="E26" s="63" t="s">
        <v>338</v>
      </c>
      <c r="F26" s="19">
        <v>87</v>
      </c>
      <c r="G26" s="47" t="s">
        <v>65</v>
      </c>
      <c r="H26" s="47"/>
      <c r="I26" s="37">
        <v>43957</v>
      </c>
      <c r="J26" s="97" t="str">
        <f>CONCATENATE(CG[[#This Row],[Material]]," ",CG[[#This Row],[Especificación]])</f>
        <v>Viales Inserto (microvial)</v>
      </c>
    </row>
    <row r="27" spans="1:10" x14ac:dyDescent="0.25">
      <c r="A27" s="85" t="s">
        <v>339</v>
      </c>
      <c r="B27" s="129" t="s">
        <v>724</v>
      </c>
      <c r="C27" s="97" t="s">
        <v>721</v>
      </c>
      <c r="D27" s="63" t="s">
        <v>337</v>
      </c>
      <c r="E27" s="63" t="s">
        <v>340</v>
      </c>
      <c r="F27" s="19">
        <v>2</v>
      </c>
      <c r="G27" s="47" t="s">
        <v>65</v>
      </c>
      <c r="H27" s="47"/>
      <c r="I27" s="37">
        <v>43957</v>
      </c>
      <c r="J27" s="97" t="str">
        <f>CONCATENATE(CG[[#This Row],[Material]]," ",CG[[#This Row],[Especificación]])</f>
        <v>Jeringas 2,5 ml Headspace</v>
      </c>
    </row>
    <row r="28" spans="1:10" x14ac:dyDescent="0.25">
      <c r="A28" s="85" t="s">
        <v>339</v>
      </c>
      <c r="B28" s="129" t="s">
        <v>731</v>
      </c>
      <c r="C28" s="97" t="s">
        <v>717</v>
      </c>
      <c r="D28" s="63" t="s">
        <v>326</v>
      </c>
      <c r="E28" s="63" t="s">
        <v>341</v>
      </c>
      <c r="F28" s="19">
        <v>1</v>
      </c>
      <c r="G28" s="47" t="s">
        <v>65</v>
      </c>
      <c r="H28" s="47"/>
      <c r="I28" s="37">
        <v>44273</v>
      </c>
      <c r="J28" s="97" t="str">
        <f>CONCATENATE(CG[[#This Row],[Material]]," ",CG[[#This Row],[Especificación]])</f>
        <v>Jeringas 10 µl nuevas</v>
      </c>
    </row>
    <row r="29" spans="1:10" x14ac:dyDescent="0.25">
      <c r="A29" s="85" t="s">
        <v>339</v>
      </c>
      <c r="B29" s="129" t="s">
        <v>725</v>
      </c>
      <c r="C29" s="97" t="s">
        <v>721</v>
      </c>
      <c r="D29" s="63" t="s">
        <v>326</v>
      </c>
      <c r="E29" s="63" t="s">
        <v>341</v>
      </c>
      <c r="F29" s="19">
        <v>1</v>
      </c>
      <c r="G29" s="47" t="s">
        <v>65</v>
      </c>
      <c r="H29" s="47"/>
      <c r="I29" s="37">
        <v>43957</v>
      </c>
      <c r="J29" s="97" t="str">
        <f>CONCATENATE(CG[[#This Row],[Material]]," ",CG[[#This Row],[Especificación]])</f>
        <v>Jeringas 10 µl para patrones</v>
      </c>
    </row>
    <row r="30" spans="1:10" x14ac:dyDescent="0.25">
      <c r="A30" s="85" t="s">
        <v>339</v>
      </c>
      <c r="B30" s="129" t="s">
        <v>781</v>
      </c>
      <c r="C30" s="97" t="s">
        <v>721</v>
      </c>
      <c r="D30" s="63"/>
      <c r="E30" s="63"/>
      <c r="F30" s="19">
        <v>1</v>
      </c>
      <c r="G30" s="47" t="s">
        <v>65</v>
      </c>
      <c r="H30" s="47"/>
      <c r="I30" s="37">
        <v>43957</v>
      </c>
      <c r="J30" s="97" t="str">
        <f>CONCATENATE(CG[[#This Row],[Material]]," ",CG[[#This Row],[Especificación]])</f>
        <v>Jeringas 25µl</v>
      </c>
    </row>
    <row r="31" spans="1:10" x14ac:dyDescent="0.25">
      <c r="A31" s="85" t="s">
        <v>345</v>
      </c>
      <c r="B31" s="129" t="s">
        <v>346</v>
      </c>
      <c r="C31" s="63" t="s">
        <v>716</v>
      </c>
      <c r="D31" s="63" t="s">
        <v>337</v>
      </c>
      <c r="E31" s="63" t="s">
        <v>873</v>
      </c>
      <c r="F31" s="19">
        <v>1</v>
      </c>
      <c r="G31" s="47" t="s">
        <v>65</v>
      </c>
      <c r="H31" s="47"/>
      <c r="I31" s="37">
        <v>43957</v>
      </c>
      <c r="J31" s="97" t="str">
        <f>CONCATENATE(CG[[#This Row],[Material]]," ",CG[[#This Row],[Especificación]])</f>
        <v>Jet Columna capilar</v>
      </c>
    </row>
    <row r="32" spans="1:10" x14ac:dyDescent="0.25">
      <c r="A32" s="85" t="s">
        <v>345</v>
      </c>
      <c r="B32" s="129" t="s">
        <v>347</v>
      </c>
      <c r="C32" s="63" t="s">
        <v>716</v>
      </c>
      <c r="D32" s="63" t="s">
        <v>337</v>
      </c>
      <c r="E32" s="63" t="s">
        <v>900</v>
      </c>
      <c r="F32" s="19">
        <v>1</v>
      </c>
      <c r="G32" s="47" t="s">
        <v>65</v>
      </c>
      <c r="H32" s="47"/>
      <c r="I32" s="37">
        <v>43957</v>
      </c>
      <c r="J32" s="97" t="str">
        <f>CONCATENATE(CG[[#This Row],[Material]]," ",CG[[#This Row],[Especificación]])</f>
        <v>Jet Columna empacada</v>
      </c>
    </row>
    <row r="33" spans="1:10" x14ac:dyDescent="0.25">
      <c r="A33" s="131" t="s">
        <v>384</v>
      </c>
      <c r="B33" s="163"/>
      <c r="C33" s="97" t="s">
        <v>717</v>
      </c>
      <c r="D33" s="97" t="s">
        <v>326</v>
      </c>
      <c r="E33" s="97" t="s">
        <v>874</v>
      </c>
      <c r="F33" s="24">
        <v>1</v>
      </c>
      <c r="G33" s="47" t="s">
        <v>65</v>
      </c>
      <c r="H33" s="48"/>
      <c r="I33" s="37">
        <v>43957</v>
      </c>
      <c r="J33" s="97" t="str">
        <f>CONCATENATE(CG[[#This Row],[Material]]," ",CG[[#This Row],[Especificación]])</f>
        <v xml:space="preserve">Lana de vidrio </v>
      </c>
    </row>
    <row r="34" spans="1:10" x14ac:dyDescent="0.25">
      <c r="A34" s="85" t="s">
        <v>348</v>
      </c>
      <c r="B34" s="129" t="s">
        <v>730</v>
      </c>
      <c r="C34" s="97" t="s">
        <v>717</v>
      </c>
      <c r="D34" s="63" t="s">
        <v>349</v>
      </c>
      <c r="E34" s="63" t="s">
        <v>350</v>
      </c>
      <c r="F34" s="19">
        <v>0</v>
      </c>
      <c r="G34" s="47" t="s">
        <v>65</v>
      </c>
      <c r="H34" s="47"/>
      <c r="I34" s="37">
        <v>43957</v>
      </c>
      <c r="J34" s="97" t="str">
        <f>CONCATENATE(CG[[#This Row],[Material]]," ",CG[[#This Row],[Especificación]])</f>
        <v>Liners Split nuevos</v>
      </c>
    </row>
    <row r="35" spans="1:10" x14ac:dyDescent="0.25">
      <c r="A35" s="85" t="s">
        <v>348</v>
      </c>
      <c r="B35" s="129" t="s">
        <v>782</v>
      </c>
      <c r="C35" s="63" t="s">
        <v>716</v>
      </c>
      <c r="D35" s="63" t="s">
        <v>337</v>
      </c>
      <c r="E35" s="63" t="s">
        <v>351</v>
      </c>
      <c r="F35" s="19">
        <v>0</v>
      </c>
      <c r="G35" s="47" t="s">
        <v>65</v>
      </c>
      <c r="H35" s="47"/>
      <c r="I35" s="37">
        <v>43957</v>
      </c>
      <c r="J35" s="97" t="str">
        <f>CONCATENATE(CG[[#This Row],[Material]]," ",CG[[#This Row],[Especificación]])</f>
        <v>Liners Splitless nuevos</v>
      </c>
    </row>
    <row r="36" spans="1:10" x14ac:dyDescent="0.25">
      <c r="A36" s="85" t="s">
        <v>348</v>
      </c>
      <c r="B36" s="129" t="s">
        <v>729</v>
      </c>
      <c r="C36" s="97" t="s">
        <v>717</v>
      </c>
      <c r="D36" s="63" t="s">
        <v>349</v>
      </c>
      <c r="E36" s="63" t="s">
        <v>350</v>
      </c>
      <c r="F36" s="19">
        <v>11</v>
      </c>
      <c r="G36" s="47" t="s">
        <v>65</v>
      </c>
      <c r="H36" s="47"/>
      <c r="I36" s="37">
        <v>43957</v>
      </c>
      <c r="J36" s="97" t="str">
        <f>CONCATENATE(CG[[#This Row],[Material]]," ",CG[[#This Row],[Especificación]])</f>
        <v>Liners Split recuperados</v>
      </c>
    </row>
    <row r="37" spans="1:10" x14ac:dyDescent="0.25">
      <c r="A37" s="85" t="s">
        <v>348</v>
      </c>
      <c r="B37" s="129" t="s">
        <v>783</v>
      </c>
      <c r="C37" s="63" t="s">
        <v>716</v>
      </c>
      <c r="D37" s="63" t="s">
        <v>337</v>
      </c>
      <c r="E37" s="63" t="s">
        <v>351</v>
      </c>
      <c r="F37" s="19">
        <v>2</v>
      </c>
      <c r="G37" s="47" t="s">
        <v>65</v>
      </c>
      <c r="H37" s="47"/>
      <c r="I37" s="37">
        <v>43957</v>
      </c>
      <c r="J37" s="97" t="str">
        <f>CONCATENATE(CG[[#This Row],[Material]]," ",CG[[#This Row],[Especificación]])</f>
        <v>Liners Splitless recuperados</v>
      </c>
    </row>
    <row r="38" spans="1:10" x14ac:dyDescent="0.25">
      <c r="A38" s="85" t="s">
        <v>348</v>
      </c>
      <c r="B38" s="129" t="s">
        <v>784</v>
      </c>
      <c r="C38" s="63" t="s">
        <v>716</v>
      </c>
      <c r="D38" s="63" t="s">
        <v>337</v>
      </c>
      <c r="E38" s="63" t="s">
        <v>902</v>
      </c>
      <c r="F38" s="19">
        <v>2</v>
      </c>
      <c r="G38" s="47" t="s">
        <v>65</v>
      </c>
      <c r="H38" s="47"/>
      <c r="I38" s="37">
        <v>43957</v>
      </c>
      <c r="J38" s="97" t="str">
        <f>CONCATENATE(CG[[#This Row],[Material]]," ",CG[[#This Row],[Especificación]])</f>
        <v>Liners Split-Splitless nuevos</v>
      </c>
    </row>
    <row r="39" spans="1:10" ht="31.5" x14ac:dyDescent="0.25">
      <c r="A39" s="85" t="s">
        <v>348</v>
      </c>
      <c r="B39" s="129" t="s">
        <v>785</v>
      </c>
      <c r="C39" s="63" t="s">
        <v>716</v>
      </c>
      <c r="D39" s="63" t="s">
        <v>337</v>
      </c>
      <c r="E39" s="63" t="s">
        <v>902</v>
      </c>
      <c r="F39" s="19">
        <v>3</v>
      </c>
      <c r="G39" s="47" t="s">
        <v>65</v>
      </c>
      <c r="H39" s="47"/>
      <c r="I39" s="37">
        <v>43957</v>
      </c>
      <c r="J39" s="97" t="str">
        <f>CONCATENATE(CG[[#This Row],[Material]]," ",CG[[#This Row],[Especificación]])</f>
        <v>Liners Split-Splitless recuperados</v>
      </c>
    </row>
    <row r="40" spans="1:10" s="44" customFormat="1" x14ac:dyDescent="0.25">
      <c r="A40" s="85" t="s">
        <v>348</v>
      </c>
      <c r="B40" s="129" t="s">
        <v>786</v>
      </c>
      <c r="C40" s="63" t="s">
        <v>716</v>
      </c>
      <c r="D40" s="63" t="s">
        <v>337</v>
      </c>
      <c r="E40" s="63" t="s">
        <v>901</v>
      </c>
      <c r="F40" s="19">
        <v>1</v>
      </c>
      <c r="G40" s="47" t="s">
        <v>65</v>
      </c>
      <c r="H40" s="47"/>
      <c r="I40" s="37">
        <v>43957</v>
      </c>
      <c r="J40" s="97" t="str">
        <f>CONCATENATE(CG[[#This Row],[Material]]," ",CG[[#This Row],[Especificación]])</f>
        <v>Liners Direct nuevo</v>
      </c>
    </row>
    <row r="41" spans="1:10" s="44" customFormat="1" x14ac:dyDescent="0.25">
      <c r="A41" s="85" t="s">
        <v>348</v>
      </c>
      <c r="B41" s="129" t="s">
        <v>787</v>
      </c>
      <c r="C41" s="63" t="s">
        <v>716</v>
      </c>
      <c r="D41" s="63" t="s">
        <v>337</v>
      </c>
      <c r="E41" s="63" t="s">
        <v>901</v>
      </c>
      <c r="F41" s="19">
        <v>0</v>
      </c>
      <c r="G41" s="47" t="s">
        <v>65</v>
      </c>
      <c r="H41" s="47"/>
      <c r="I41" s="37">
        <v>43957</v>
      </c>
      <c r="J41" s="97" t="str">
        <f>CONCATENATE(CG[[#This Row],[Material]]," ",CG[[#This Row],[Especificación]])</f>
        <v>Liners Direct recuperado</v>
      </c>
    </row>
    <row r="42" spans="1:10" x14ac:dyDescent="0.25">
      <c r="A42" s="131" t="s">
        <v>385</v>
      </c>
      <c r="B42" s="163"/>
      <c r="C42" s="97"/>
      <c r="D42" s="97"/>
      <c r="E42" s="97"/>
      <c r="F42" s="24">
        <v>1</v>
      </c>
      <c r="G42" s="47" t="s">
        <v>65</v>
      </c>
      <c r="H42" s="48"/>
      <c r="I42" s="37">
        <v>43957</v>
      </c>
      <c r="J42" s="97" t="str">
        <f>CONCATENATE(CG[[#This Row],[Material]]," ",CG[[#This Row],[Especificación]])</f>
        <v xml:space="preserve">llave para columna </v>
      </c>
    </row>
    <row r="43" spans="1:10" x14ac:dyDescent="0.25">
      <c r="A43" s="131" t="s">
        <v>386</v>
      </c>
      <c r="B43" s="163"/>
      <c r="C43" s="97"/>
      <c r="D43" s="97"/>
      <c r="E43" s="97"/>
      <c r="F43" s="24">
        <v>6</v>
      </c>
      <c r="G43" s="47" t="s">
        <v>65</v>
      </c>
      <c r="H43" s="48"/>
      <c r="I43" s="37">
        <v>43957</v>
      </c>
      <c r="J43" s="97" t="str">
        <f>CONCATENATE(CG[[#This Row],[Material]]," ",CG[[#This Row],[Especificación]])</f>
        <v xml:space="preserve">llave spaner </v>
      </c>
    </row>
    <row r="44" spans="1:10" x14ac:dyDescent="0.25">
      <c r="A44" s="131" t="s">
        <v>1010</v>
      </c>
      <c r="B44" s="163"/>
      <c r="C44" s="97" t="s">
        <v>717</v>
      </c>
      <c r="D44" s="97" t="s">
        <v>326</v>
      </c>
      <c r="E44" s="97" t="s">
        <v>875</v>
      </c>
      <c r="F44" s="24">
        <v>1</v>
      </c>
      <c r="G44" s="47" t="s">
        <v>65</v>
      </c>
      <c r="H44" s="48"/>
      <c r="I44" s="37">
        <v>43957</v>
      </c>
      <c r="J44" s="97" t="str">
        <f>CONCATENATE(CG[[#This Row],[Material]]," ",CG[[#This Row],[Especificación]])</f>
        <v xml:space="preserve">llave wrench </v>
      </c>
    </row>
    <row r="45" spans="1:10" x14ac:dyDescent="0.25">
      <c r="A45" s="131" t="s">
        <v>894</v>
      </c>
      <c r="B45" s="163"/>
      <c r="C45" s="97" t="s">
        <v>716</v>
      </c>
      <c r="D45" s="97" t="s">
        <v>397</v>
      </c>
      <c r="E45" s="97" t="s">
        <v>397</v>
      </c>
      <c r="F45" s="24">
        <v>1</v>
      </c>
      <c r="G45" s="47" t="s">
        <v>65</v>
      </c>
      <c r="H45" s="48"/>
      <c r="I45" s="37">
        <v>43957</v>
      </c>
      <c r="J45" s="97" t="str">
        <f>CONCATENATE(CG[[#This Row],[Material]]," ",CG[[#This Row],[Especificación]])</f>
        <v xml:space="preserve">Llave estrella set x9 </v>
      </c>
    </row>
    <row r="46" spans="1:10" x14ac:dyDescent="0.25">
      <c r="A46" s="85" t="s">
        <v>352</v>
      </c>
      <c r="B46" s="129" t="s">
        <v>879</v>
      </c>
      <c r="C46" s="63" t="s">
        <v>716</v>
      </c>
      <c r="D46" s="63" t="s">
        <v>337</v>
      </c>
      <c r="E46" s="63" t="s">
        <v>876</v>
      </c>
      <c r="F46" s="19">
        <v>22</v>
      </c>
      <c r="G46" s="47" t="s">
        <v>65</v>
      </c>
      <c r="H46" s="47"/>
      <c r="I46" s="37">
        <v>43957</v>
      </c>
      <c r="J46" s="97" t="str">
        <f>CONCATENATE(CG[[#This Row],[Material]]," ",CG[[#This Row],[Especificación]])</f>
        <v>O-ring Para liner FID</v>
      </c>
    </row>
    <row r="47" spans="1:10" s="436" customFormat="1" x14ac:dyDescent="0.25">
      <c r="A47" s="85" t="s">
        <v>352</v>
      </c>
      <c r="B47" s="129" t="s">
        <v>881</v>
      </c>
      <c r="C47" s="63" t="s">
        <v>416</v>
      </c>
      <c r="D47" s="63" t="s">
        <v>898</v>
      </c>
      <c r="E47" s="63" t="s">
        <v>882</v>
      </c>
      <c r="F47" s="19">
        <v>2</v>
      </c>
      <c r="G47" s="47" t="s">
        <v>65</v>
      </c>
      <c r="H47" s="48"/>
      <c r="I47" s="37">
        <v>43957</v>
      </c>
      <c r="J47" s="97" t="str">
        <f>CONCATENATE(CG[[#This Row],[Material]]," ",CG[[#This Row],[Especificación]])</f>
        <v>O-ring grandes (drivebelts)</v>
      </c>
    </row>
    <row r="48" spans="1:10" s="436" customFormat="1" x14ac:dyDescent="0.25">
      <c r="A48" s="85" t="s">
        <v>352</v>
      </c>
      <c r="B48" s="163" t="s">
        <v>896</v>
      </c>
      <c r="C48" s="63" t="s">
        <v>897</v>
      </c>
      <c r="D48" s="97" t="s">
        <v>895</v>
      </c>
      <c r="E48" s="63" t="s">
        <v>883</v>
      </c>
      <c r="F48" s="19">
        <v>3</v>
      </c>
      <c r="G48" s="47" t="s">
        <v>65</v>
      </c>
      <c r="H48" s="48"/>
      <c r="I48" s="37">
        <v>43957</v>
      </c>
      <c r="J48" s="97" t="str">
        <f>CONCATENATE(CG[[#This Row],[Material]]," ",CG[[#This Row],[Especificación]])</f>
        <v>O-ring 25mm casette holder</v>
      </c>
    </row>
    <row r="49" spans="1:10" x14ac:dyDescent="0.25">
      <c r="A49" s="85" t="s">
        <v>352</v>
      </c>
      <c r="B49" s="129" t="s">
        <v>877</v>
      </c>
      <c r="C49" s="63" t="s">
        <v>716</v>
      </c>
      <c r="D49" s="63" t="s">
        <v>337</v>
      </c>
      <c r="E49" s="63" t="s">
        <v>878</v>
      </c>
      <c r="F49" s="19">
        <v>10</v>
      </c>
      <c r="G49" s="47" t="s">
        <v>65</v>
      </c>
      <c r="H49" s="47"/>
      <c r="I49" s="37">
        <v>43957</v>
      </c>
      <c r="J49" s="97" t="str">
        <f>CONCATENATE(CG[[#This Row],[Material]]," ",CG[[#This Row],[Especificación]])</f>
        <v>O-ring Chicos marrones</v>
      </c>
    </row>
    <row r="50" spans="1:10" x14ac:dyDescent="0.25">
      <c r="A50" s="85" t="s">
        <v>352</v>
      </c>
      <c r="B50" s="129" t="s">
        <v>880</v>
      </c>
      <c r="C50" s="63" t="s">
        <v>717</v>
      </c>
      <c r="D50" s="63" t="s">
        <v>326</v>
      </c>
      <c r="E50" s="63" t="s">
        <v>353</v>
      </c>
      <c r="F50" s="19">
        <v>13</v>
      </c>
      <c r="G50" s="47" t="s">
        <v>65</v>
      </c>
      <c r="H50" s="47"/>
      <c r="I50" s="37">
        <v>43957</v>
      </c>
      <c r="J50" s="97" t="str">
        <f>CONCATENATE(CG[[#This Row],[Material]]," ",CG[[#This Row],[Especificación]])</f>
        <v>O-ring Para liners MS</v>
      </c>
    </row>
    <row r="51" spans="1:10" x14ac:dyDescent="0.25">
      <c r="A51" s="131" t="s">
        <v>387</v>
      </c>
      <c r="B51" s="163"/>
      <c r="C51" s="97" t="s">
        <v>717</v>
      </c>
      <c r="D51" s="97" t="s">
        <v>326</v>
      </c>
      <c r="E51" s="97" t="s">
        <v>884</v>
      </c>
      <c r="F51" s="24">
        <v>0</v>
      </c>
      <c r="G51" s="47" t="s">
        <v>65</v>
      </c>
      <c r="H51" s="48"/>
      <c r="I51" s="37">
        <v>43957</v>
      </c>
      <c r="J51" s="97" t="str">
        <f>CONCATENATE(CG[[#This Row],[Material]]," ",CG[[#This Row],[Especificación]])</f>
        <v xml:space="preserve">Palito quita ferrules </v>
      </c>
    </row>
    <row r="52" spans="1:10" x14ac:dyDescent="0.25">
      <c r="A52" s="85" t="s">
        <v>354</v>
      </c>
      <c r="B52" s="129"/>
      <c r="C52" s="63" t="s">
        <v>717</v>
      </c>
      <c r="D52" s="63"/>
      <c r="E52" s="63" t="s">
        <v>355</v>
      </c>
      <c r="F52" s="19">
        <v>1</v>
      </c>
      <c r="G52" s="47" t="s">
        <v>65</v>
      </c>
      <c r="H52" s="47"/>
      <c r="I52" s="37">
        <v>43957</v>
      </c>
      <c r="J52" s="97" t="str">
        <f>CONCATENATE(CG[[#This Row],[Material]]," ",CG[[#This Row],[Especificación]])</f>
        <v xml:space="preserve">PFTBA </v>
      </c>
    </row>
    <row r="53" spans="1:10" x14ac:dyDescent="0.25">
      <c r="A53" s="131" t="s">
        <v>388</v>
      </c>
      <c r="B53" s="163" t="s">
        <v>886</v>
      </c>
      <c r="C53" s="97" t="s">
        <v>717</v>
      </c>
      <c r="D53" s="97" t="s">
        <v>326</v>
      </c>
      <c r="E53" s="97" t="s">
        <v>885</v>
      </c>
      <c r="F53" s="24">
        <v>1</v>
      </c>
      <c r="G53" s="47" t="s">
        <v>65</v>
      </c>
      <c r="H53" s="48"/>
      <c r="I53" s="37">
        <v>43957</v>
      </c>
      <c r="J53" s="97" t="str">
        <f>CONCATENATE(CG[[#This Row],[Material]]," ",CG[[#This Row],[Especificación]])</f>
        <v>Pinza de metal</v>
      </c>
    </row>
    <row r="54" spans="1:10" x14ac:dyDescent="0.25">
      <c r="A54" s="85" t="s">
        <v>356</v>
      </c>
      <c r="B54" s="129"/>
      <c r="C54" s="63"/>
      <c r="D54" s="63"/>
      <c r="E54" s="63"/>
      <c r="F54" s="19">
        <v>2</v>
      </c>
      <c r="G54" s="47" t="s">
        <v>65</v>
      </c>
      <c r="H54" s="47"/>
      <c r="I54" s="37">
        <v>43957</v>
      </c>
      <c r="J54" s="97" t="str">
        <f>CONCATENATE(CG[[#This Row],[Material]]," ",CG[[#This Row],[Especificación]])</f>
        <v xml:space="preserve">Pituto para septum </v>
      </c>
    </row>
    <row r="55" spans="1:10" x14ac:dyDescent="0.25">
      <c r="A55" s="131" t="s">
        <v>389</v>
      </c>
      <c r="B55" s="163"/>
      <c r="C55" s="97"/>
      <c r="D55" s="97"/>
      <c r="E55" s="97"/>
      <c r="F55" s="24">
        <v>8</v>
      </c>
      <c r="G55" s="47" t="s">
        <v>65</v>
      </c>
      <c r="H55" s="48"/>
      <c r="I55" s="37">
        <v>43957</v>
      </c>
      <c r="J55" s="97" t="str">
        <f>CONCATENATE(CG[[#This Row],[Material]]," ",CG[[#This Row],[Especificación]])</f>
        <v xml:space="preserve">Protectores de dedos </v>
      </c>
    </row>
    <row r="56" spans="1:10" x14ac:dyDescent="0.25">
      <c r="A56" s="85" t="s">
        <v>732</v>
      </c>
      <c r="B56" s="129" t="s">
        <v>720</v>
      </c>
      <c r="C56" s="97" t="s">
        <v>721</v>
      </c>
      <c r="D56" s="63" t="s">
        <v>337</v>
      </c>
      <c r="E56" s="63" t="s">
        <v>342</v>
      </c>
      <c r="F56" s="19">
        <v>5</v>
      </c>
      <c r="G56" s="47" t="s">
        <v>65</v>
      </c>
      <c r="H56" s="47"/>
      <c r="I56" s="37">
        <v>43957</v>
      </c>
      <c r="J56" s="97" t="str">
        <f>CONCATENATE(CG[[#This Row],[Material]]," ",CG[[#This Row],[Especificación]])</f>
        <v>Punta de jeringa Headspace</v>
      </c>
    </row>
    <row r="57" spans="1:10" x14ac:dyDescent="0.25">
      <c r="A57" s="85" t="s">
        <v>732</v>
      </c>
      <c r="B57" s="129" t="s">
        <v>720</v>
      </c>
      <c r="C57" s="97" t="s">
        <v>721</v>
      </c>
      <c r="D57" s="63" t="s">
        <v>343</v>
      </c>
      <c r="E57" s="63" t="s">
        <v>344</v>
      </c>
      <c r="F57" s="19">
        <v>2</v>
      </c>
      <c r="G57" s="47" t="s">
        <v>65</v>
      </c>
      <c r="H57" s="47"/>
      <c r="I57" s="37">
        <v>43957</v>
      </c>
      <c r="J57" s="97" t="str">
        <f>CONCATENATE(CG[[#This Row],[Material]]," ",CG[[#This Row],[Especificación]])</f>
        <v>Punta de jeringa Headspace</v>
      </c>
    </row>
    <row r="58" spans="1:10" x14ac:dyDescent="0.25">
      <c r="A58" s="131" t="s">
        <v>380</v>
      </c>
      <c r="B58" s="163" t="s">
        <v>888</v>
      </c>
      <c r="C58" s="97" t="s">
        <v>717</v>
      </c>
      <c r="D58" s="97" t="s">
        <v>326</v>
      </c>
      <c r="E58" s="97" t="s">
        <v>887</v>
      </c>
      <c r="F58" s="24">
        <v>1</v>
      </c>
      <c r="G58" s="47" t="s">
        <v>65</v>
      </c>
      <c r="H58" s="48"/>
      <c r="I58" s="37">
        <v>43957</v>
      </c>
      <c r="J58" s="97" t="str">
        <f>CONCATENATE(CG[[#This Row],[Material]]," ",CG[[#This Row],[Especificación]])</f>
        <v>Corta columna Punta repuesto</v>
      </c>
    </row>
    <row r="59" spans="1:10" x14ac:dyDescent="0.25">
      <c r="A59" s="85" t="s">
        <v>357</v>
      </c>
      <c r="B59" s="129"/>
      <c r="C59" s="63" t="s">
        <v>721</v>
      </c>
      <c r="D59" s="63" t="s">
        <v>397</v>
      </c>
      <c r="E59" s="63" t="s">
        <v>397</v>
      </c>
      <c r="F59" s="19">
        <v>1</v>
      </c>
      <c r="G59" s="47" t="s">
        <v>65</v>
      </c>
      <c r="H59" s="47"/>
      <c r="I59" s="37">
        <v>43957</v>
      </c>
      <c r="J59" s="97" t="str">
        <f>CONCATENATE(CG[[#This Row],[Material]]," ",CG[[#This Row],[Especificación]])</f>
        <v xml:space="preserve">Selladora de viales </v>
      </c>
    </row>
    <row r="60" spans="1:10" x14ac:dyDescent="0.25">
      <c r="A60" s="85" t="s">
        <v>358</v>
      </c>
      <c r="B60" s="129"/>
      <c r="C60" s="63" t="s">
        <v>716</v>
      </c>
      <c r="D60" s="63" t="s">
        <v>337</v>
      </c>
      <c r="E60" s="63" t="s">
        <v>889</v>
      </c>
      <c r="F60" s="19">
        <v>2</v>
      </c>
      <c r="G60" s="47" t="s">
        <v>65</v>
      </c>
      <c r="H60" s="47"/>
      <c r="I60" s="37">
        <v>43957</v>
      </c>
      <c r="J60" s="97" t="str">
        <f>CONCATENATE(CG[[#This Row],[Material]]," ",CG[[#This Row],[Especificación]])</f>
        <v xml:space="preserve">Sellos de oro </v>
      </c>
    </row>
    <row r="61" spans="1:10" ht="31.5" x14ac:dyDescent="0.25">
      <c r="A61" s="85" t="s">
        <v>359</v>
      </c>
      <c r="B61" s="129" t="s">
        <v>890</v>
      </c>
      <c r="C61" s="63" t="s">
        <v>716</v>
      </c>
      <c r="D61" s="63" t="s">
        <v>337</v>
      </c>
      <c r="E61" s="62" t="s">
        <v>360</v>
      </c>
      <c r="F61" s="19">
        <v>87</v>
      </c>
      <c r="G61" s="47" t="s">
        <v>65</v>
      </c>
      <c r="H61" s="47"/>
      <c r="I61" s="37">
        <v>43957</v>
      </c>
      <c r="J61" s="97" t="str">
        <f>CONCATENATE(CG[[#This Row],[Material]]," ",CG[[#This Row],[Especificación]])</f>
        <v>Septum Para FID</v>
      </c>
    </row>
    <row r="62" spans="1:10" x14ac:dyDescent="0.25">
      <c r="A62" s="85" t="s">
        <v>359</v>
      </c>
      <c r="B62" s="163" t="s">
        <v>726</v>
      </c>
      <c r="C62" s="63" t="s">
        <v>717</v>
      </c>
      <c r="D62" s="63" t="s">
        <v>723</v>
      </c>
      <c r="E62" s="63">
        <v>20633</v>
      </c>
      <c r="F62" s="19">
        <v>23</v>
      </c>
      <c r="G62" s="47" t="s">
        <v>65</v>
      </c>
      <c r="H62" s="47"/>
      <c r="I62" s="37">
        <v>43957</v>
      </c>
      <c r="J62" s="97" t="str">
        <f>CONCATENATE(CG[[#This Row],[Material]]," ",CG[[#This Row],[Especificación]])</f>
        <v>Septum Verde</v>
      </c>
    </row>
    <row r="63" spans="1:10" ht="31.5" x14ac:dyDescent="0.25">
      <c r="A63" s="85" t="s">
        <v>359</v>
      </c>
      <c r="B63" s="129" t="s">
        <v>727</v>
      </c>
      <c r="C63" s="97" t="s">
        <v>721</v>
      </c>
      <c r="D63" s="63" t="s">
        <v>326</v>
      </c>
      <c r="E63" s="63" t="s">
        <v>361</v>
      </c>
      <c r="F63" s="19">
        <v>40</v>
      </c>
      <c r="G63" s="47" t="s">
        <v>65</v>
      </c>
      <c r="H63" s="47"/>
      <c r="I63" s="37">
        <v>43957</v>
      </c>
      <c r="J63" s="97" t="str">
        <f>CONCATENATE(CG[[#This Row],[Material]]," ",CG[[#This Row],[Especificación]])</f>
        <v>Septum Para viales 1,5 boca chica</v>
      </c>
    </row>
    <row r="64" spans="1:10" ht="31.5" x14ac:dyDescent="0.25">
      <c r="A64" s="85" t="s">
        <v>359</v>
      </c>
      <c r="B64" s="129" t="s">
        <v>363</v>
      </c>
      <c r="C64" s="97"/>
      <c r="D64" s="63" t="s">
        <v>337</v>
      </c>
      <c r="E64" s="63" t="s">
        <v>362</v>
      </c>
      <c r="F64" s="19">
        <v>1</v>
      </c>
      <c r="G64" s="47" t="s">
        <v>65</v>
      </c>
      <c r="H64" s="48"/>
      <c r="I64" s="37">
        <v>43957</v>
      </c>
      <c r="J64" s="97" t="str">
        <f>CONCATENATE(CG[[#This Row],[Material]]," ",CG[[#This Row],[Especificación]])</f>
        <v>Septum microseptum para alta presion</v>
      </c>
    </row>
    <row r="65" spans="1:10" ht="31.5" x14ac:dyDescent="0.25">
      <c r="A65" s="131" t="s">
        <v>734</v>
      </c>
      <c r="B65" s="163" t="s">
        <v>735</v>
      </c>
      <c r="C65" s="97" t="s">
        <v>717</v>
      </c>
      <c r="D65" s="97" t="s">
        <v>397</v>
      </c>
      <c r="E65" s="97" t="s">
        <v>397</v>
      </c>
      <c r="F65" s="24">
        <v>1</v>
      </c>
      <c r="G65" s="47" t="s">
        <v>65</v>
      </c>
      <c r="H65" s="48"/>
      <c r="I65" s="37">
        <v>43957</v>
      </c>
      <c r="J65" s="97" t="str">
        <f>CONCATENATE(CG[[#This Row],[Material]]," ",CG[[#This Row],[Especificación]])</f>
        <v xml:space="preserve">Tapon  para inyector o detector </v>
      </c>
    </row>
    <row r="66" spans="1:10" x14ac:dyDescent="0.25">
      <c r="A66" s="131" t="s">
        <v>891</v>
      </c>
      <c r="B66" s="163" t="s">
        <v>892</v>
      </c>
      <c r="C66" s="97" t="s">
        <v>717</v>
      </c>
      <c r="D66" s="97" t="s">
        <v>326</v>
      </c>
      <c r="E66" s="97" t="s">
        <v>893</v>
      </c>
      <c r="F66" s="24">
        <v>4</v>
      </c>
      <c r="G66" s="47" t="s">
        <v>65</v>
      </c>
      <c r="H66" s="48"/>
      <c r="I66" s="37">
        <v>43957</v>
      </c>
      <c r="J66" s="97" t="str">
        <f>CONCATENATE(CG[[#This Row],[Material]]," ",CG[[#This Row],[Especificación]])</f>
        <v>Tapon Para Split y purga</v>
      </c>
    </row>
    <row r="67" spans="1:10" x14ac:dyDescent="0.25">
      <c r="A67" s="131" t="s">
        <v>390</v>
      </c>
      <c r="B67" s="163"/>
      <c r="C67" s="97"/>
      <c r="D67" s="97"/>
      <c r="E67" s="97"/>
      <c r="F67" s="24">
        <v>6</v>
      </c>
      <c r="G67" s="47" t="s">
        <v>65</v>
      </c>
      <c r="H67" s="48"/>
      <c r="I67" s="37">
        <v>43957</v>
      </c>
      <c r="J67" s="97" t="str">
        <f>CONCATENATE(CG[[#This Row],[Material]]," ",CG[[#This Row],[Especificación]])</f>
        <v xml:space="preserve">Tuercas </v>
      </c>
    </row>
    <row r="68" spans="1:10" x14ac:dyDescent="0.25">
      <c r="A68" s="85" t="s">
        <v>367</v>
      </c>
      <c r="B68" s="129" t="s">
        <v>788</v>
      </c>
      <c r="C68" s="97" t="s">
        <v>721</v>
      </c>
      <c r="D68" s="63" t="s">
        <v>337</v>
      </c>
      <c r="E68" s="63" t="s">
        <v>364</v>
      </c>
      <c r="F68" s="19">
        <v>100</v>
      </c>
      <c r="G68" s="47" t="s">
        <v>65</v>
      </c>
      <c r="H68" s="47"/>
      <c r="I68" s="37">
        <v>44041</v>
      </c>
      <c r="J68" s="97" t="str">
        <f>CONCATENATE(CG[[#This Row],[Material]]," ",CG[[#This Row],[Especificación]])</f>
        <v>Viales Tapas 1,5 boca grande</v>
      </c>
    </row>
    <row r="69" spans="1:10" x14ac:dyDescent="0.25">
      <c r="A69" s="85" t="s">
        <v>367</v>
      </c>
      <c r="B69" s="129" t="s">
        <v>789</v>
      </c>
      <c r="C69" s="97" t="s">
        <v>721</v>
      </c>
      <c r="D69" s="63" t="s">
        <v>326</v>
      </c>
      <c r="E69" s="63" t="s">
        <v>365</v>
      </c>
      <c r="F69" s="19">
        <v>45</v>
      </c>
      <c r="G69" s="47" t="s">
        <v>65</v>
      </c>
      <c r="H69" s="47"/>
      <c r="I69" s="37">
        <v>43957</v>
      </c>
      <c r="J69" s="97" t="str">
        <f>CONCATENATE(CG[[#This Row],[Material]]," ",CG[[#This Row],[Especificación]])</f>
        <v>Viales Tapas 1,5 boca chica</v>
      </c>
    </row>
    <row r="70" spans="1:10" x14ac:dyDescent="0.25">
      <c r="A70" s="85" t="s">
        <v>367</v>
      </c>
      <c r="B70" s="129" t="s">
        <v>790</v>
      </c>
      <c r="C70" s="97" t="s">
        <v>721</v>
      </c>
      <c r="D70" s="63" t="s">
        <v>337</v>
      </c>
      <c r="E70" s="63" t="s">
        <v>366</v>
      </c>
      <c r="F70" s="19">
        <v>122</v>
      </c>
      <c r="G70" s="47" t="s">
        <v>65</v>
      </c>
      <c r="H70" s="47"/>
      <c r="I70" s="37">
        <v>43957</v>
      </c>
      <c r="J70" s="97" t="str">
        <f>CONCATENATE(CG[[#This Row],[Material]]," ",CG[[#This Row],[Especificación]])</f>
        <v>Viales Tapas Head space</v>
      </c>
    </row>
    <row r="71" spans="1:10" x14ac:dyDescent="0.25">
      <c r="A71" s="85" t="s">
        <v>367</v>
      </c>
      <c r="B71" s="129" t="s">
        <v>368</v>
      </c>
      <c r="C71" s="97" t="s">
        <v>721</v>
      </c>
      <c r="D71" s="63" t="s">
        <v>337</v>
      </c>
      <c r="E71" s="63" t="s">
        <v>369</v>
      </c>
      <c r="F71" s="19">
        <v>220</v>
      </c>
      <c r="G71" s="47" t="s">
        <v>65</v>
      </c>
      <c r="H71" s="47"/>
      <c r="I71" s="37">
        <v>43957</v>
      </c>
      <c r="J71" s="97" t="str">
        <f>CONCATENATE(CG[[#This Row],[Material]]," ",CG[[#This Row],[Especificación]])</f>
        <v>Viales 1,5 ml graduados</v>
      </c>
    </row>
    <row r="72" spans="1:10" ht="31.5" x14ac:dyDescent="0.25">
      <c r="A72" s="85" t="s">
        <v>367</v>
      </c>
      <c r="B72" s="129" t="s">
        <v>728</v>
      </c>
      <c r="C72" s="97" t="s">
        <v>721</v>
      </c>
      <c r="D72" s="63" t="s">
        <v>326</v>
      </c>
      <c r="E72" s="63" t="s">
        <v>370</v>
      </c>
      <c r="F72" s="19">
        <v>66</v>
      </c>
      <c r="G72" s="47" t="s">
        <v>65</v>
      </c>
      <c r="H72" s="47"/>
      <c r="I72" s="37">
        <v>43957</v>
      </c>
      <c r="J72" s="97" t="str">
        <f>CONCATENATE(CG[[#This Row],[Material]]," ",CG[[#This Row],[Especificación]])</f>
        <v>Viales 1,5 ml no graduados boca chica</v>
      </c>
    </row>
    <row r="73" spans="1:10" ht="31.5" x14ac:dyDescent="0.25">
      <c r="A73" s="85" t="s">
        <v>367</v>
      </c>
      <c r="B73" s="129" t="s">
        <v>791</v>
      </c>
      <c r="C73" s="97" t="s">
        <v>721</v>
      </c>
      <c r="D73" s="63" t="s">
        <v>371</v>
      </c>
      <c r="E73" s="63">
        <v>392611549</v>
      </c>
      <c r="F73" s="19">
        <v>130</v>
      </c>
      <c r="G73" s="47" t="s">
        <v>65</v>
      </c>
      <c r="H73" s="47"/>
      <c r="I73" s="37">
        <v>43957</v>
      </c>
      <c r="J73" s="97" t="str">
        <f>CONCATENATE(CG[[#This Row],[Material]]," ",CG[[#This Row],[Especificación]])</f>
        <v>Viales 1,5 ml no graduados boca grande</v>
      </c>
    </row>
    <row r="74" spans="1:10" ht="31.5" x14ac:dyDescent="0.25">
      <c r="A74" s="85" t="s">
        <v>367</v>
      </c>
      <c r="B74" s="129" t="s">
        <v>792</v>
      </c>
      <c r="C74" s="97" t="s">
        <v>721</v>
      </c>
      <c r="D74" s="63" t="s">
        <v>397</v>
      </c>
      <c r="E74" s="63" t="s">
        <v>397</v>
      </c>
      <c r="F74" s="19">
        <v>20</v>
      </c>
      <c r="G74" s="47" t="s">
        <v>65</v>
      </c>
      <c r="H74" s="47"/>
      <c r="I74" s="37">
        <v>43957</v>
      </c>
      <c r="J74" s="97" t="str">
        <f>CONCATENATE(CG[[#This Row],[Material]]," ",CG[[#This Row],[Especificación]])</f>
        <v>Viales Headspace recuperados</v>
      </c>
    </row>
    <row r="75" spans="1:10" x14ac:dyDescent="0.25">
      <c r="A75" s="85" t="s">
        <v>367</v>
      </c>
      <c r="B75" s="129" t="s">
        <v>793</v>
      </c>
      <c r="C75" s="97" t="s">
        <v>721</v>
      </c>
      <c r="D75" s="63"/>
      <c r="E75" s="63" t="s">
        <v>372</v>
      </c>
      <c r="F75" s="19">
        <v>100</v>
      </c>
      <c r="G75" s="47" t="s">
        <v>65</v>
      </c>
      <c r="H75" s="47"/>
      <c r="I75" s="37">
        <v>43957</v>
      </c>
      <c r="J75" s="97" t="str">
        <f>CONCATENATE(CG[[#This Row],[Material]]," ",CG[[#This Row],[Especificación]])</f>
        <v>Viales Headspace nuevos</v>
      </c>
    </row>
    <row r="76" spans="1:10" x14ac:dyDescent="0.25">
      <c r="A76" s="85" t="s">
        <v>367</v>
      </c>
      <c r="B76" s="129" t="s">
        <v>373</v>
      </c>
      <c r="C76" s="97" t="s">
        <v>721</v>
      </c>
      <c r="D76" s="63" t="s">
        <v>326</v>
      </c>
      <c r="E76" s="63" t="s">
        <v>374</v>
      </c>
      <c r="F76" s="19">
        <v>43</v>
      </c>
      <c r="G76" s="47" t="s">
        <v>65</v>
      </c>
      <c r="H76" s="47"/>
      <c r="I76" s="37">
        <v>43957</v>
      </c>
      <c r="J76" s="97" t="str">
        <f>CONCATENATE(CG[[#This Row],[Material]]," ",CG[[#This Row],[Especificación]])</f>
        <v>Viales 4 ml</v>
      </c>
    </row>
    <row r="77" spans="1:10" x14ac:dyDescent="0.25">
      <c r="A77" s="85" t="s">
        <v>375</v>
      </c>
      <c r="B77" s="129" t="s">
        <v>376</v>
      </c>
      <c r="C77" s="97" t="s">
        <v>716</v>
      </c>
      <c r="D77" s="63" t="s">
        <v>337</v>
      </c>
      <c r="E77" s="63" t="s">
        <v>899</v>
      </c>
      <c r="F77" s="19">
        <v>12</v>
      </c>
      <c r="G77" s="47" t="s">
        <v>65</v>
      </c>
      <c r="H77" s="47"/>
      <c r="I77" s="37">
        <v>43957</v>
      </c>
      <c r="J77" s="97" t="str">
        <f>CONCATENATE(CG[[#This Row],[Material]]," ",CG[[#This Row],[Especificación]])</f>
        <v>Washers 375 OD</v>
      </c>
    </row>
    <row r="78" spans="1:10" x14ac:dyDescent="0.25">
      <c r="A78" s="131"/>
      <c r="B78" s="163"/>
      <c r="C78" s="97"/>
      <c r="D78" s="97"/>
      <c r="E78" s="97"/>
      <c r="F78" s="227"/>
      <c r="G78" s="48"/>
      <c r="H78" s="48"/>
      <c r="I78" s="37"/>
      <c r="J78" s="97" t="str">
        <f>CONCATENATE(CG[[#This Row],[Material]]," ",CG[[#This Row],[Especificación]])</f>
        <v xml:space="preserve"> </v>
      </c>
    </row>
  </sheetData>
  <sheetProtection sheet="1" scenarios="1" formatColumns="0" formatRows="0" autoFilter="0"/>
  <mergeCells count="1">
    <mergeCell ref="E1:I1"/>
  </mergeCells>
  <hyperlinks>
    <hyperlink ref="C1" location="'Estado general'!A1" display="General" xr:uid="{00000000-0004-0000-0600-000000000000}"/>
    <hyperlink ref="D1" location="'Insumos a comprar'!A1" display="A comprar" xr:uid="{00000000-0004-0000-0600-000001000000}"/>
  </hyperlinks>
  <printOptions horizontalCentered="1" verticalCentered="1"/>
  <pageMargins left="0.23622047244094491" right="0.23622047244094491" top="0.74803149606299213" bottom="0.74803149606299213" header="0.31496062992125984" footer="0.31496062992125984"/>
  <pageSetup scale="69" orientation="portrait" verticalDpi="0"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50"/>
    <pageSetUpPr fitToPage="1"/>
  </sheetPr>
  <dimension ref="A1:K9"/>
  <sheetViews>
    <sheetView showGridLines="0" workbookViewId="0">
      <selection activeCell="J7" sqref="J7"/>
    </sheetView>
  </sheetViews>
  <sheetFormatPr defaultColWidth="11.42578125" defaultRowHeight="15" x14ac:dyDescent="0.25"/>
  <cols>
    <col min="1" max="1" width="33.7109375" style="80" customWidth="1"/>
    <col min="2" max="2" width="13.7109375" style="80" bestFit="1" customWidth="1"/>
    <col min="3" max="4" width="12.28515625" style="80" bestFit="1" customWidth="1"/>
    <col min="5" max="5" width="20.5703125" style="80" bestFit="1" customWidth="1"/>
    <col min="6" max="6" width="14.85546875" style="110" bestFit="1" customWidth="1"/>
    <col min="7" max="7" width="14.85546875" style="80" bestFit="1" customWidth="1"/>
    <col min="8" max="8" width="17.7109375" style="80" customWidth="1"/>
    <col min="9" max="9" width="22.140625" style="80" bestFit="1" customWidth="1"/>
    <col min="10" max="10" width="15.85546875" style="80" customWidth="1"/>
    <col min="11" max="11" width="22.85546875" style="80" customWidth="1"/>
    <col min="12" max="257" width="11.42578125" style="80"/>
    <col min="258" max="258" width="33.7109375" style="80" customWidth="1"/>
    <col min="259" max="260" width="15.5703125" style="80" customWidth="1"/>
    <col min="261" max="261" width="12.42578125" style="80" bestFit="1" customWidth="1"/>
    <col min="262" max="265" width="11.42578125" style="80"/>
    <col min="266" max="266" width="15" style="80" bestFit="1" customWidth="1"/>
    <col min="267" max="267" width="15.42578125" style="80" customWidth="1"/>
    <col min="268" max="513" width="11.42578125" style="80"/>
    <col min="514" max="514" width="33.7109375" style="80" customWidth="1"/>
    <col min="515" max="516" width="15.5703125" style="80" customWidth="1"/>
    <col min="517" max="517" width="12.42578125" style="80" bestFit="1" customWidth="1"/>
    <col min="518" max="521" width="11.42578125" style="80"/>
    <col min="522" max="522" width="15" style="80" bestFit="1" customWidth="1"/>
    <col min="523" max="523" width="15.42578125" style="80" customWidth="1"/>
    <col min="524" max="769" width="11.42578125" style="80"/>
    <col min="770" max="770" width="33.7109375" style="80" customWidth="1"/>
    <col min="771" max="772" width="15.5703125" style="80" customWidth="1"/>
    <col min="773" max="773" width="12.42578125" style="80" bestFit="1" customWidth="1"/>
    <col min="774" max="777" width="11.42578125" style="80"/>
    <col min="778" max="778" width="15" style="80" bestFit="1" customWidth="1"/>
    <col min="779" max="779" width="15.42578125" style="80" customWidth="1"/>
    <col min="780" max="1025" width="11.42578125" style="80"/>
    <col min="1026" max="1026" width="33.7109375" style="80" customWidth="1"/>
    <col min="1027" max="1028" width="15.5703125" style="80" customWidth="1"/>
    <col min="1029" max="1029" width="12.42578125" style="80" bestFit="1" customWidth="1"/>
    <col min="1030" max="1033" width="11.42578125" style="80"/>
    <col min="1034" max="1034" width="15" style="80" bestFit="1" customWidth="1"/>
    <col min="1035" max="1035" width="15.42578125" style="80" customWidth="1"/>
    <col min="1036" max="1281" width="11.42578125" style="80"/>
    <col min="1282" max="1282" width="33.7109375" style="80" customWidth="1"/>
    <col min="1283" max="1284" width="15.5703125" style="80" customWidth="1"/>
    <col min="1285" max="1285" width="12.42578125" style="80" bestFit="1" customWidth="1"/>
    <col min="1286" max="1289" width="11.42578125" style="80"/>
    <col min="1290" max="1290" width="15" style="80" bestFit="1" customWidth="1"/>
    <col min="1291" max="1291" width="15.42578125" style="80" customWidth="1"/>
    <col min="1292" max="1537" width="11.42578125" style="80"/>
    <col min="1538" max="1538" width="33.7109375" style="80" customWidth="1"/>
    <col min="1539" max="1540" width="15.5703125" style="80" customWidth="1"/>
    <col min="1541" max="1541" width="12.42578125" style="80" bestFit="1" customWidth="1"/>
    <col min="1542" max="1545" width="11.42578125" style="80"/>
    <col min="1546" max="1546" width="15" style="80" bestFit="1" customWidth="1"/>
    <col min="1547" max="1547" width="15.42578125" style="80" customWidth="1"/>
    <col min="1548" max="1793" width="11.42578125" style="80"/>
    <col min="1794" max="1794" width="33.7109375" style="80" customWidth="1"/>
    <col min="1795" max="1796" width="15.5703125" style="80" customWidth="1"/>
    <col min="1797" max="1797" width="12.42578125" style="80" bestFit="1" customWidth="1"/>
    <col min="1798" max="1801" width="11.42578125" style="80"/>
    <col min="1802" max="1802" width="15" style="80" bestFit="1" customWidth="1"/>
    <col min="1803" max="1803" width="15.42578125" style="80" customWidth="1"/>
    <col min="1804" max="2049" width="11.42578125" style="80"/>
    <col min="2050" max="2050" width="33.7109375" style="80" customWidth="1"/>
    <col min="2051" max="2052" width="15.5703125" style="80" customWidth="1"/>
    <col min="2053" max="2053" width="12.42578125" style="80" bestFit="1" customWidth="1"/>
    <col min="2054" max="2057" width="11.42578125" style="80"/>
    <col min="2058" max="2058" width="15" style="80" bestFit="1" customWidth="1"/>
    <col min="2059" max="2059" width="15.42578125" style="80" customWidth="1"/>
    <col min="2060" max="2305" width="11.42578125" style="80"/>
    <col min="2306" max="2306" width="33.7109375" style="80" customWidth="1"/>
    <col min="2307" max="2308" width="15.5703125" style="80" customWidth="1"/>
    <col min="2309" max="2309" width="12.42578125" style="80" bestFit="1" customWidth="1"/>
    <col min="2310" max="2313" width="11.42578125" style="80"/>
    <col min="2314" max="2314" width="15" style="80" bestFit="1" customWidth="1"/>
    <col min="2315" max="2315" width="15.42578125" style="80" customWidth="1"/>
    <col min="2316" max="2561" width="11.42578125" style="80"/>
    <col min="2562" max="2562" width="33.7109375" style="80" customWidth="1"/>
    <col min="2563" max="2564" width="15.5703125" style="80" customWidth="1"/>
    <col min="2565" max="2565" width="12.42578125" style="80" bestFit="1" customWidth="1"/>
    <col min="2566" max="2569" width="11.42578125" style="80"/>
    <col min="2570" max="2570" width="15" style="80" bestFit="1" customWidth="1"/>
    <col min="2571" max="2571" width="15.42578125" style="80" customWidth="1"/>
    <col min="2572" max="2817" width="11.42578125" style="80"/>
    <col min="2818" max="2818" width="33.7109375" style="80" customWidth="1"/>
    <col min="2819" max="2820" width="15.5703125" style="80" customWidth="1"/>
    <col min="2821" max="2821" width="12.42578125" style="80" bestFit="1" customWidth="1"/>
    <col min="2822" max="2825" width="11.42578125" style="80"/>
    <col min="2826" max="2826" width="15" style="80" bestFit="1" customWidth="1"/>
    <col min="2827" max="2827" width="15.42578125" style="80" customWidth="1"/>
    <col min="2828" max="3073" width="11.42578125" style="80"/>
    <col min="3074" max="3074" width="33.7109375" style="80" customWidth="1"/>
    <col min="3075" max="3076" width="15.5703125" style="80" customWidth="1"/>
    <col min="3077" max="3077" width="12.42578125" style="80" bestFit="1" customWidth="1"/>
    <col min="3078" max="3081" width="11.42578125" style="80"/>
    <col min="3082" max="3082" width="15" style="80" bestFit="1" customWidth="1"/>
    <col min="3083" max="3083" width="15.42578125" style="80" customWidth="1"/>
    <col min="3084" max="3329" width="11.42578125" style="80"/>
    <col min="3330" max="3330" width="33.7109375" style="80" customWidth="1"/>
    <col min="3331" max="3332" width="15.5703125" style="80" customWidth="1"/>
    <col min="3333" max="3333" width="12.42578125" style="80" bestFit="1" customWidth="1"/>
    <col min="3334" max="3337" width="11.42578125" style="80"/>
    <col min="3338" max="3338" width="15" style="80" bestFit="1" customWidth="1"/>
    <col min="3339" max="3339" width="15.42578125" style="80" customWidth="1"/>
    <col min="3340" max="3585" width="11.42578125" style="80"/>
    <col min="3586" max="3586" width="33.7109375" style="80" customWidth="1"/>
    <col min="3587" max="3588" width="15.5703125" style="80" customWidth="1"/>
    <col min="3589" max="3589" width="12.42578125" style="80" bestFit="1" customWidth="1"/>
    <col min="3590" max="3593" width="11.42578125" style="80"/>
    <col min="3594" max="3594" width="15" style="80" bestFit="1" customWidth="1"/>
    <col min="3595" max="3595" width="15.42578125" style="80" customWidth="1"/>
    <col min="3596" max="3841" width="11.42578125" style="80"/>
    <col min="3842" max="3842" width="33.7109375" style="80" customWidth="1"/>
    <col min="3843" max="3844" width="15.5703125" style="80" customWidth="1"/>
    <col min="3845" max="3845" width="12.42578125" style="80" bestFit="1" customWidth="1"/>
    <col min="3846" max="3849" width="11.42578125" style="80"/>
    <col min="3850" max="3850" width="15" style="80" bestFit="1" customWidth="1"/>
    <col min="3851" max="3851" width="15.42578125" style="80" customWidth="1"/>
    <col min="3852" max="4097" width="11.42578125" style="80"/>
    <col min="4098" max="4098" width="33.7109375" style="80" customWidth="1"/>
    <col min="4099" max="4100" width="15.5703125" style="80" customWidth="1"/>
    <col min="4101" max="4101" width="12.42578125" style="80" bestFit="1" customWidth="1"/>
    <col min="4102" max="4105" width="11.42578125" style="80"/>
    <col min="4106" max="4106" width="15" style="80" bestFit="1" customWidth="1"/>
    <col min="4107" max="4107" width="15.42578125" style="80" customWidth="1"/>
    <col min="4108" max="4353" width="11.42578125" style="80"/>
    <col min="4354" max="4354" width="33.7109375" style="80" customWidth="1"/>
    <col min="4355" max="4356" width="15.5703125" style="80" customWidth="1"/>
    <col min="4357" max="4357" width="12.42578125" style="80" bestFit="1" customWidth="1"/>
    <col min="4358" max="4361" width="11.42578125" style="80"/>
    <col min="4362" max="4362" width="15" style="80" bestFit="1" customWidth="1"/>
    <col min="4363" max="4363" width="15.42578125" style="80" customWidth="1"/>
    <col min="4364" max="4609" width="11.42578125" style="80"/>
    <col min="4610" max="4610" width="33.7109375" style="80" customWidth="1"/>
    <col min="4611" max="4612" width="15.5703125" style="80" customWidth="1"/>
    <col min="4613" max="4613" width="12.42578125" style="80" bestFit="1" customWidth="1"/>
    <col min="4614" max="4617" width="11.42578125" style="80"/>
    <col min="4618" max="4618" width="15" style="80" bestFit="1" customWidth="1"/>
    <col min="4619" max="4619" width="15.42578125" style="80" customWidth="1"/>
    <col min="4620" max="4865" width="11.42578125" style="80"/>
    <col min="4866" max="4866" width="33.7109375" style="80" customWidth="1"/>
    <col min="4867" max="4868" width="15.5703125" style="80" customWidth="1"/>
    <col min="4869" max="4869" width="12.42578125" style="80" bestFit="1" customWidth="1"/>
    <col min="4870" max="4873" width="11.42578125" style="80"/>
    <col min="4874" max="4874" width="15" style="80" bestFit="1" customWidth="1"/>
    <col min="4875" max="4875" width="15.42578125" style="80" customWidth="1"/>
    <col min="4876" max="5121" width="11.42578125" style="80"/>
    <col min="5122" max="5122" width="33.7109375" style="80" customWidth="1"/>
    <col min="5123" max="5124" width="15.5703125" style="80" customWidth="1"/>
    <col min="5125" max="5125" width="12.42578125" style="80" bestFit="1" customWidth="1"/>
    <col min="5126" max="5129" width="11.42578125" style="80"/>
    <col min="5130" max="5130" width="15" style="80" bestFit="1" customWidth="1"/>
    <col min="5131" max="5131" width="15.42578125" style="80" customWidth="1"/>
    <col min="5132" max="5377" width="11.42578125" style="80"/>
    <col min="5378" max="5378" width="33.7109375" style="80" customWidth="1"/>
    <col min="5379" max="5380" width="15.5703125" style="80" customWidth="1"/>
    <col min="5381" max="5381" width="12.42578125" style="80" bestFit="1" customWidth="1"/>
    <col min="5382" max="5385" width="11.42578125" style="80"/>
    <col min="5386" max="5386" width="15" style="80" bestFit="1" customWidth="1"/>
    <col min="5387" max="5387" width="15.42578125" style="80" customWidth="1"/>
    <col min="5388" max="5633" width="11.42578125" style="80"/>
    <col min="5634" max="5634" width="33.7109375" style="80" customWidth="1"/>
    <col min="5635" max="5636" width="15.5703125" style="80" customWidth="1"/>
    <col min="5637" max="5637" width="12.42578125" style="80" bestFit="1" customWidth="1"/>
    <col min="5638" max="5641" width="11.42578125" style="80"/>
    <col min="5642" max="5642" width="15" style="80" bestFit="1" customWidth="1"/>
    <col min="5643" max="5643" width="15.42578125" style="80" customWidth="1"/>
    <col min="5644" max="5889" width="11.42578125" style="80"/>
    <col min="5890" max="5890" width="33.7109375" style="80" customWidth="1"/>
    <col min="5891" max="5892" width="15.5703125" style="80" customWidth="1"/>
    <col min="5893" max="5893" width="12.42578125" style="80" bestFit="1" customWidth="1"/>
    <col min="5894" max="5897" width="11.42578125" style="80"/>
    <col min="5898" max="5898" width="15" style="80" bestFit="1" customWidth="1"/>
    <col min="5899" max="5899" width="15.42578125" style="80" customWidth="1"/>
    <col min="5900" max="6145" width="11.42578125" style="80"/>
    <col min="6146" max="6146" width="33.7109375" style="80" customWidth="1"/>
    <col min="6147" max="6148" width="15.5703125" style="80" customWidth="1"/>
    <col min="6149" max="6149" width="12.42578125" style="80" bestFit="1" customWidth="1"/>
    <col min="6150" max="6153" width="11.42578125" style="80"/>
    <col min="6154" max="6154" width="15" style="80" bestFit="1" customWidth="1"/>
    <col min="6155" max="6155" width="15.42578125" style="80" customWidth="1"/>
    <col min="6156" max="6401" width="11.42578125" style="80"/>
    <col min="6402" max="6402" width="33.7109375" style="80" customWidth="1"/>
    <col min="6403" max="6404" width="15.5703125" style="80" customWidth="1"/>
    <col min="6405" max="6405" width="12.42578125" style="80" bestFit="1" customWidth="1"/>
    <col min="6406" max="6409" width="11.42578125" style="80"/>
    <col min="6410" max="6410" width="15" style="80" bestFit="1" customWidth="1"/>
    <col min="6411" max="6411" width="15.42578125" style="80" customWidth="1"/>
    <col min="6412" max="6657" width="11.42578125" style="80"/>
    <col min="6658" max="6658" width="33.7109375" style="80" customWidth="1"/>
    <col min="6659" max="6660" width="15.5703125" style="80" customWidth="1"/>
    <col min="6661" max="6661" width="12.42578125" style="80" bestFit="1" customWidth="1"/>
    <col min="6662" max="6665" width="11.42578125" style="80"/>
    <col min="6666" max="6666" width="15" style="80" bestFit="1" customWidth="1"/>
    <col min="6667" max="6667" width="15.42578125" style="80" customWidth="1"/>
    <col min="6668" max="6913" width="11.42578125" style="80"/>
    <col min="6914" max="6914" width="33.7109375" style="80" customWidth="1"/>
    <col min="6915" max="6916" width="15.5703125" style="80" customWidth="1"/>
    <col min="6917" max="6917" width="12.42578125" style="80" bestFit="1" customWidth="1"/>
    <col min="6918" max="6921" width="11.42578125" style="80"/>
    <col min="6922" max="6922" width="15" style="80" bestFit="1" customWidth="1"/>
    <col min="6923" max="6923" width="15.42578125" style="80" customWidth="1"/>
    <col min="6924" max="7169" width="11.42578125" style="80"/>
    <col min="7170" max="7170" width="33.7109375" style="80" customWidth="1"/>
    <col min="7171" max="7172" width="15.5703125" style="80" customWidth="1"/>
    <col min="7173" max="7173" width="12.42578125" style="80" bestFit="1" customWidth="1"/>
    <col min="7174" max="7177" width="11.42578125" style="80"/>
    <col min="7178" max="7178" width="15" style="80" bestFit="1" customWidth="1"/>
    <col min="7179" max="7179" width="15.42578125" style="80" customWidth="1"/>
    <col min="7180" max="7425" width="11.42578125" style="80"/>
    <col min="7426" max="7426" width="33.7109375" style="80" customWidth="1"/>
    <col min="7427" max="7428" width="15.5703125" style="80" customWidth="1"/>
    <col min="7429" max="7429" width="12.42578125" style="80" bestFit="1" customWidth="1"/>
    <col min="7430" max="7433" width="11.42578125" style="80"/>
    <col min="7434" max="7434" width="15" style="80" bestFit="1" customWidth="1"/>
    <col min="7435" max="7435" width="15.42578125" style="80" customWidth="1"/>
    <col min="7436" max="7681" width="11.42578125" style="80"/>
    <col min="7682" max="7682" width="33.7109375" style="80" customWidth="1"/>
    <col min="7683" max="7684" width="15.5703125" style="80" customWidth="1"/>
    <col min="7685" max="7685" width="12.42578125" style="80" bestFit="1" customWidth="1"/>
    <col min="7686" max="7689" width="11.42578125" style="80"/>
    <col min="7690" max="7690" width="15" style="80" bestFit="1" customWidth="1"/>
    <col min="7691" max="7691" width="15.42578125" style="80" customWidth="1"/>
    <col min="7692" max="7937" width="11.42578125" style="80"/>
    <col min="7938" max="7938" width="33.7109375" style="80" customWidth="1"/>
    <col min="7939" max="7940" width="15.5703125" style="80" customWidth="1"/>
    <col min="7941" max="7941" width="12.42578125" style="80" bestFit="1" customWidth="1"/>
    <col min="7942" max="7945" width="11.42578125" style="80"/>
    <col min="7946" max="7946" width="15" style="80" bestFit="1" customWidth="1"/>
    <col min="7947" max="7947" width="15.42578125" style="80" customWidth="1"/>
    <col min="7948" max="8193" width="11.42578125" style="80"/>
    <col min="8194" max="8194" width="33.7109375" style="80" customWidth="1"/>
    <col min="8195" max="8196" width="15.5703125" style="80" customWidth="1"/>
    <col min="8197" max="8197" width="12.42578125" style="80" bestFit="1" customWidth="1"/>
    <col min="8198" max="8201" width="11.42578125" style="80"/>
    <col min="8202" max="8202" width="15" style="80" bestFit="1" customWidth="1"/>
    <col min="8203" max="8203" width="15.42578125" style="80" customWidth="1"/>
    <col min="8204" max="8449" width="11.42578125" style="80"/>
    <col min="8450" max="8450" width="33.7109375" style="80" customWidth="1"/>
    <col min="8451" max="8452" width="15.5703125" style="80" customWidth="1"/>
    <col min="8453" max="8453" width="12.42578125" style="80" bestFit="1" customWidth="1"/>
    <col min="8454" max="8457" width="11.42578125" style="80"/>
    <col min="8458" max="8458" width="15" style="80" bestFit="1" customWidth="1"/>
    <col min="8459" max="8459" width="15.42578125" style="80" customWidth="1"/>
    <col min="8460" max="8705" width="11.42578125" style="80"/>
    <col min="8706" max="8706" width="33.7109375" style="80" customWidth="1"/>
    <col min="8707" max="8708" width="15.5703125" style="80" customWidth="1"/>
    <col min="8709" max="8709" width="12.42578125" style="80" bestFit="1" customWidth="1"/>
    <col min="8710" max="8713" width="11.42578125" style="80"/>
    <col min="8714" max="8714" width="15" style="80" bestFit="1" customWidth="1"/>
    <col min="8715" max="8715" width="15.42578125" style="80" customWidth="1"/>
    <col min="8716" max="8961" width="11.42578125" style="80"/>
    <col min="8962" max="8962" width="33.7109375" style="80" customWidth="1"/>
    <col min="8963" max="8964" width="15.5703125" style="80" customWidth="1"/>
    <col min="8965" max="8965" width="12.42578125" style="80" bestFit="1" customWidth="1"/>
    <col min="8966" max="8969" width="11.42578125" style="80"/>
    <col min="8970" max="8970" width="15" style="80" bestFit="1" customWidth="1"/>
    <col min="8971" max="8971" width="15.42578125" style="80" customWidth="1"/>
    <col min="8972" max="9217" width="11.42578125" style="80"/>
    <col min="9218" max="9218" width="33.7109375" style="80" customWidth="1"/>
    <col min="9219" max="9220" width="15.5703125" style="80" customWidth="1"/>
    <col min="9221" max="9221" width="12.42578125" style="80" bestFit="1" customWidth="1"/>
    <col min="9222" max="9225" width="11.42578125" style="80"/>
    <col min="9226" max="9226" width="15" style="80" bestFit="1" customWidth="1"/>
    <col min="9227" max="9227" width="15.42578125" style="80" customWidth="1"/>
    <col min="9228" max="9473" width="11.42578125" style="80"/>
    <col min="9474" max="9474" width="33.7109375" style="80" customWidth="1"/>
    <col min="9475" max="9476" width="15.5703125" style="80" customWidth="1"/>
    <col min="9477" max="9477" width="12.42578125" style="80" bestFit="1" customWidth="1"/>
    <col min="9478" max="9481" width="11.42578125" style="80"/>
    <col min="9482" max="9482" width="15" style="80" bestFit="1" customWidth="1"/>
    <col min="9483" max="9483" width="15.42578125" style="80" customWidth="1"/>
    <col min="9484" max="9729" width="11.42578125" style="80"/>
    <col min="9730" max="9730" width="33.7109375" style="80" customWidth="1"/>
    <col min="9731" max="9732" width="15.5703125" style="80" customWidth="1"/>
    <col min="9733" max="9733" width="12.42578125" style="80" bestFit="1" customWidth="1"/>
    <col min="9734" max="9737" width="11.42578125" style="80"/>
    <col min="9738" max="9738" width="15" style="80" bestFit="1" customWidth="1"/>
    <col min="9739" max="9739" width="15.42578125" style="80" customWidth="1"/>
    <col min="9740" max="9985" width="11.42578125" style="80"/>
    <col min="9986" max="9986" width="33.7109375" style="80" customWidth="1"/>
    <col min="9987" max="9988" width="15.5703125" style="80" customWidth="1"/>
    <col min="9989" max="9989" width="12.42578125" style="80" bestFit="1" customWidth="1"/>
    <col min="9990" max="9993" width="11.42578125" style="80"/>
    <col min="9994" max="9994" width="15" style="80" bestFit="1" customWidth="1"/>
    <col min="9995" max="9995" width="15.42578125" style="80" customWidth="1"/>
    <col min="9996" max="10241" width="11.42578125" style="80"/>
    <col min="10242" max="10242" width="33.7109375" style="80" customWidth="1"/>
    <col min="10243" max="10244" width="15.5703125" style="80" customWidth="1"/>
    <col min="10245" max="10245" width="12.42578125" style="80" bestFit="1" customWidth="1"/>
    <col min="10246" max="10249" width="11.42578125" style="80"/>
    <col min="10250" max="10250" width="15" style="80" bestFit="1" customWidth="1"/>
    <col min="10251" max="10251" width="15.42578125" style="80" customWidth="1"/>
    <col min="10252" max="10497" width="11.42578125" style="80"/>
    <col min="10498" max="10498" width="33.7109375" style="80" customWidth="1"/>
    <col min="10499" max="10500" width="15.5703125" style="80" customWidth="1"/>
    <col min="10501" max="10501" width="12.42578125" style="80" bestFit="1" customWidth="1"/>
    <col min="10502" max="10505" width="11.42578125" style="80"/>
    <col min="10506" max="10506" width="15" style="80" bestFit="1" customWidth="1"/>
    <col min="10507" max="10507" width="15.42578125" style="80" customWidth="1"/>
    <col min="10508" max="10753" width="11.42578125" style="80"/>
    <col min="10754" max="10754" width="33.7109375" style="80" customWidth="1"/>
    <col min="10755" max="10756" width="15.5703125" style="80" customWidth="1"/>
    <col min="10757" max="10757" width="12.42578125" style="80" bestFit="1" customWidth="1"/>
    <col min="10758" max="10761" width="11.42578125" style="80"/>
    <col min="10762" max="10762" width="15" style="80" bestFit="1" customWidth="1"/>
    <col min="10763" max="10763" width="15.42578125" style="80" customWidth="1"/>
    <col min="10764" max="11009" width="11.42578125" style="80"/>
    <col min="11010" max="11010" width="33.7109375" style="80" customWidth="1"/>
    <col min="11011" max="11012" width="15.5703125" style="80" customWidth="1"/>
    <col min="11013" max="11013" width="12.42578125" style="80" bestFit="1" customWidth="1"/>
    <col min="11014" max="11017" width="11.42578125" style="80"/>
    <col min="11018" max="11018" width="15" style="80" bestFit="1" customWidth="1"/>
    <col min="11019" max="11019" width="15.42578125" style="80" customWidth="1"/>
    <col min="11020" max="11265" width="11.42578125" style="80"/>
    <col min="11266" max="11266" width="33.7109375" style="80" customWidth="1"/>
    <col min="11267" max="11268" width="15.5703125" style="80" customWidth="1"/>
    <col min="11269" max="11269" width="12.42578125" style="80" bestFit="1" customWidth="1"/>
    <col min="11270" max="11273" width="11.42578125" style="80"/>
    <col min="11274" max="11274" width="15" style="80" bestFit="1" customWidth="1"/>
    <col min="11275" max="11275" width="15.42578125" style="80" customWidth="1"/>
    <col min="11276" max="11521" width="11.42578125" style="80"/>
    <col min="11522" max="11522" width="33.7109375" style="80" customWidth="1"/>
    <col min="11523" max="11524" width="15.5703125" style="80" customWidth="1"/>
    <col min="11525" max="11525" width="12.42578125" style="80" bestFit="1" customWidth="1"/>
    <col min="11526" max="11529" width="11.42578125" style="80"/>
    <col min="11530" max="11530" width="15" style="80" bestFit="1" customWidth="1"/>
    <col min="11531" max="11531" width="15.42578125" style="80" customWidth="1"/>
    <col min="11532" max="11777" width="11.42578125" style="80"/>
    <col min="11778" max="11778" width="33.7109375" style="80" customWidth="1"/>
    <col min="11779" max="11780" width="15.5703125" style="80" customWidth="1"/>
    <col min="11781" max="11781" width="12.42578125" style="80" bestFit="1" customWidth="1"/>
    <col min="11782" max="11785" width="11.42578125" style="80"/>
    <col min="11786" max="11786" width="15" style="80" bestFit="1" customWidth="1"/>
    <col min="11787" max="11787" width="15.42578125" style="80" customWidth="1"/>
    <col min="11788" max="12033" width="11.42578125" style="80"/>
    <col min="12034" max="12034" width="33.7109375" style="80" customWidth="1"/>
    <col min="12035" max="12036" width="15.5703125" style="80" customWidth="1"/>
    <col min="12037" max="12037" width="12.42578125" style="80" bestFit="1" customWidth="1"/>
    <col min="12038" max="12041" width="11.42578125" style="80"/>
    <col min="12042" max="12042" width="15" style="80" bestFit="1" customWidth="1"/>
    <col min="12043" max="12043" width="15.42578125" style="80" customWidth="1"/>
    <col min="12044" max="12289" width="11.42578125" style="80"/>
    <col min="12290" max="12290" width="33.7109375" style="80" customWidth="1"/>
    <col min="12291" max="12292" width="15.5703125" style="80" customWidth="1"/>
    <col min="12293" max="12293" width="12.42578125" style="80" bestFit="1" customWidth="1"/>
    <col min="12294" max="12297" width="11.42578125" style="80"/>
    <col min="12298" max="12298" width="15" style="80" bestFit="1" customWidth="1"/>
    <col min="12299" max="12299" width="15.42578125" style="80" customWidth="1"/>
    <col min="12300" max="12545" width="11.42578125" style="80"/>
    <col min="12546" max="12546" width="33.7109375" style="80" customWidth="1"/>
    <col min="12547" max="12548" width="15.5703125" style="80" customWidth="1"/>
    <col min="12549" max="12549" width="12.42578125" style="80" bestFit="1" customWidth="1"/>
    <col min="12550" max="12553" width="11.42578125" style="80"/>
    <col min="12554" max="12554" width="15" style="80" bestFit="1" customWidth="1"/>
    <col min="12555" max="12555" width="15.42578125" style="80" customWidth="1"/>
    <col min="12556" max="12801" width="11.42578125" style="80"/>
    <col min="12802" max="12802" width="33.7109375" style="80" customWidth="1"/>
    <col min="12803" max="12804" width="15.5703125" style="80" customWidth="1"/>
    <col min="12805" max="12805" width="12.42578125" style="80" bestFit="1" customWidth="1"/>
    <col min="12806" max="12809" width="11.42578125" style="80"/>
    <col min="12810" max="12810" width="15" style="80" bestFit="1" customWidth="1"/>
    <col min="12811" max="12811" width="15.42578125" style="80" customWidth="1"/>
    <col min="12812" max="13057" width="11.42578125" style="80"/>
    <col min="13058" max="13058" width="33.7109375" style="80" customWidth="1"/>
    <col min="13059" max="13060" width="15.5703125" style="80" customWidth="1"/>
    <col min="13061" max="13061" width="12.42578125" style="80" bestFit="1" customWidth="1"/>
    <col min="13062" max="13065" width="11.42578125" style="80"/>
    <col min="13066" max="13066" width="15" style="80" bestFit="1" customWidth="1"/>
    <col min="13067" max="13067" width="15.42578125" style="80" customWidth="1"/>
    <col min="13068" max="13313" width="11.42578125" style="80"/>
    <col min="13314" max="13314" width="33.7109375" style="80" customWidth="1"/>
    <col min="13315" max="13316" width="15.5703125" style="80" customWidth="1"/>
    <col min="13317" max="13317" width="12.42578125" style="80" bestFit="1" customWidth="1"/>
    <col min="13318" max="13321" width="11.42578125" style="80"/>
    <col min="13322" max="13322" width="15" style="80" bestFit="1" customWidth="1"/>
    <col min="13323" max="13323" width="15.42578125" style="80" customWidth="1"/>
    <col min="13324" max="13569" width="11.42578125" style="80"/>
    <col min="13570" max="13570" width="33.7109375" style="80" customWidth="1"/>
    <col min="13571" max="13572" width="15.5703125" style="80" customWidth="1"/>
    <col min="13573" max="13573" width="12.42578125" style="80" bestFit="1" customWidth="1"/>
    <col min="13574" max="13577" width="11.42578125" style="80"/>
    <col min="13578" max="13578" width="15" style="80" bestFit="1" customWidth="1"/>
    <col min="13579" max="13579" width="15.42578125" style="80" customWidth="1"/>
    <col min="13580" max="13825" width="11.42578125" style="80"/>
    <col min="13826" max="13826" width="33.7109375" style="80" customWidth="1"/>
    <col min="13827" max="13828" width="15.5703125" style="80" customWidth="1"/>
    <col min="13829" max="13829" width="12.42578125" style="80" bestFit="1" customWidth="1"/>
    <col min="13830" max="13833" width="11.42578125" style="80"/>
    <col min="13834" max="13834" width="15" style="80" bestFit="1" customWidth="1"/>
    <col min="13835" max="13835" width="15.42578125" style="80" customWidth="1"/>
    <col min="13836" max="14081" width="11.42578125" style="80"/>
    <col min="14082" max="14082" width="33.7109375" style="80" customWidth="1"/>
    <col min="14083" max="14084" width="15.5703125" style="80" customWidth="1"/>
    <col min="14085" max="14085" width="12.42578125" style="80" bestFit="1" customWidth="1"/>
    <col min="14086" max="14089" width="11.42578125" style="80"/>
    <col min="14090" max="14090" width="15" style="80" bestFit="1" customWidth="1"/>
    <col min="14091" max="14091" width="15.42578125" style="80" customWidth="1"/>
    <col min="14092" max="14337" width="11.42578125" style="80"/>
    <col min="14338" max="14338" width="33.7109375" style="80" customWidth="1"/>
    <col min="14339" max="14340" width="15.5703125" style="80" customWidth="1"/>
    <col min="14341" max="14341" width="12.42578125" style="80" bestFit="1" customWidth="1"/>
    <col min="14342" max="14345" width="11.42578125" style="80"/>
    <col min="14346" max="14346" width="15" style="80" bestFit="1" customWidth="1"/>
    <col min="14347" max="14347" width="15.42578125" style="80" customWidth="1"/>
    <col min="14348" max="14593" width="11.42578125" style="80"/>
    <col min="14594" max="14594" width="33.7109375" style="80" customWidth="1"/>
    <col min="14595" max="14596" width="15.5703125" style="80" customWidth="1"/>
    <col min="14597" max="14597" width="12.42578125" style="80" bestFit="1" customWidth="1"/>
    <col min="14598" max="14601" width="11.42578125" style="80"/>
    <col min="14602" max="14602" width="15" style="80" bestFit="1" customWidth="1"/>
    <col min="14603" max="14603" width="15.42578125" style="80" customWidth="1"/>
    <col min="14604" max="14849" width="11.42578125" style="80"/>
    <col min="14850" max="14850" width="33.7109375" style="80" customWidth="1"/>
    <col min="14851" max="14852" width="15.5703125" style="80" customWidth="1"/>
    <col min="14853" max="14853" width="12.42578125" style="80" bestFit="1" customWidth="1"/>
    <col min="14854" max="14857" width="11.42578125" style="80"/>
    <col min="14858" max="14858" width="15" style="80" bestFit="1" customWidth="1"/>
    <col min="14859" max="14859" width="15.42578125" style="80" customWidth="1"/>
    <col min="14860" max="15105" width="11.42578125" style="80"/>
    <col min="15106" max="15106" width="33.7109375" style="80" customWidth="1"/>
    <col min="15107" max="15108" width="15.5703125" style="80" customWidth="1"/>
    <col min="15109" max="15109" width="12.42578125" style="80" bestFit="1" customWidth="1"/>
    <col min="15110" max="15113" width="11.42578125" style="80"/>
    <col min="15114" max="15114" width="15" style="80" bestFit="1" customWidth="1"/>
    <col min="15115" max="15115" width="15.42578125" style="80" customWidth="1"/>
    <col min="15116" max="15361" width="11.42578125" style="80"/>
    <col min="15362" max="15362" width="33.7109375" style="80" customWidth="1"/>
    <col min="15363" max="15364" width="15.5703125" style="80" customWidth="1"/>
    <col min="15365" max="15365" width="12.42578125" style="80" bestFit="1" customWidth="1"/>
    <col min="15366" max="15369" width="11.42578125" style="80"/>
    <col min="15370" max="15370" width="15" style="80" bestFit="1" customWidth="1"/>
    <col min="15371" max="15371" width="15.42578125" style="80" customWidth="1"/>
    <col min="15372" max="15617" width="11.42578125" style="80"/>
    <col min="15618" max="15618" width="33.7109375" style="80" customWidth="1"/>
    <col min="15619" max="15620" width="15.5703125" style="80" customWidth="1"/>
    <col min="15621" max="15621" width="12.42578125" style="80" bestFit="1" customWidth="1"/>
    <col min="15622" max="15625" width="11.42578125" style="80"/>
    <col min="15626" max="15626" width="15" style="80" bestFit="1" customWidth="1"/>
    <col min="15627" max="15627" width="15.42578125" style="80" customWidth="1"/>
    <col min="15628" max="15873" width="11.42578125" style="80"/>
    <col min="15874" max="15874" width="33.7109375" style="80" customWidth="1"/>
    <col min="15875" max="15876" width="15.5703125" style="80" customWidth="1"/>
    <col min="15877" max="15877" width="12.42578125" style="80" bestFit="1" customWidth="1"/>
    <col min="15878" max="15881" width="11.42578125" style="80"/>
    <col min="15882" max="15882" width="15" style="80" bestFit="1" customWidth="1"/>
    <col min="15883" max="15883" width="15.42578125" style="80" customWidth="1"/>
    <col min="15884" max="16129" width="11.42578125" style="80"/>
    <col min="16130" max="16130" width="33.7109375" style="80" customWidth="1"/>
    <col min="16131" max="16132" width="15.5703125" style="80" customWidth="1"/>
    <col min="16133" max="16133" width="12.42578125" style="80" bestFit="1" customWidth="1"/>
    <col min="16134" max="16137" width="11.42578125" style="80"/>
    <col min="16138" max="16138" width="15" style="80" bestFit="1" customWidth="1"/>
    <col min="16139" max="16139" width="15.42578125" style="80" customWidth="1"/>
    <col min="16140" max="16384" width="11.42578125" style="80"/>
  </cols>
  <sheetData>
    <row r="1" spans="1:11" ht="21.75" customHeight="1" x14ac:dyDescent="0.2">
      <c r="A1" s="78" t="s">
        <v>56</v>
      </c>
      <c r="B1" s="92">
        <v>44322</v>
      </c>
      <c r="C1" s="79" t="s">
        <v>444</v>
      </c>
      <c r="D1" s="79" t="s">
        <v>780</v>
      </c>
      <c r="E1" s="434" t="s">
        <v>250</v>
      </c>
      <c r="F1" s="435"/>
      <c r="G1" s="435"/>
      <c r="H1" s="435"/>
      <c r="I1" s="435"/>
      <c r="J1" s="435"/>
      <c r="K1" s="93"/>
    </row>
    <row r="2" spans="1:11" s="106" customFormat="1" ht="37.5" x14ac:dyDescent="0.2">
      <c r="A2" s="103" t="s">
        <v>260</v>
      </c>
      <c r="B2" s="103" t="s">
        <v>412</v>
      </c>
      <c r="C2" s="104" t="s">
        <v>55</v>
      </c>
      <c r="D2" s="111" t="s">
        <v>402</v>
      </c>
      <c r="E2" s="103" t="s">
        <v>414</v>
      </c>
      <c r="F2" s="103" t="s">
        <v>58</v>
      </c>
      <c r="G2" s="103" t="s">
        <v>3</v>
      </c>
      <c r="H2" s="103" t="s">
        <v>434</v>
      </c>
      <c r="I2" s="104" t="s">
        <v>5</v>
      </c>
      <c r="J2" s="105" t="s">
        <v>658</v>
      </c>
    </row>
    <row r="3" spans="1:11" ht="15.75" x14ac:dyDescent="0.25">
      <c r="A3" s="107" t="s">
        <v>256</v>
      </c>
      <c r="B3" s="87"/>
      <c r="C3" s="19">
        <v>210</v>
      </c>
      <c r="D3" s="96" t="s">
        <v>252</v>
      </c>
      <c r="E3" s="87">
        <v>210</v>
      </c>
      <c r="F3" s="90">
        <v>43661</v>
      </c>
      <c r="G3" s="90">
        <v>44387</v>
      </c>
      <c r="H3" s="87" t="s">
        <v>253</v>
      </c>
      <c r="I3" s="20"/>
      <c r="J3" s="25"/>
    </row>
    <row r="4" spans="1:11" ht="15.75" x14ac:dyDescent="0.25">
      <c r="A4" s="107" t="s">
        <v>254</v>
      </c>
      <c r="B4" s="87" t="s">
        <v>413</v>
      </c>
      <c r="C4" s="19">
        <v>1500</v>
      </c>
      <c r="D4" s="96" t="s">
        <v>252</v>
      </c>
      <c r="E4" s="87"/>
      <c r="F4" s="90">
        <v>43322</v>
      </c>
      <c r="G4" s="87" t="s">
        <v>397</v>
      </c>
      <c r="H4" s="87" t="s">
        <v>253</v>
      </c>
      <c r="I4" s="20"/>
      <c r="J4" s="25"/>
    </row>
    <row r="5" spans="1:11" ht="15.75" x14ac:dyDescent="0.25">
      <c r="A5" s="107" t="s">
        <v>258</v>
      </c>
      <c r="B5" s="87" t="s">
        <v>259</v>
      </c>
      <c r="C5" s="19" t="s">
        <v>1067</v>
      </c>
      <c r="D5" s="96" t="s">
        <v>252</v>
      </c>
      <c r="E5" s="90"/>
      <c r="F5" s="90">
        <v>43617</v>
      </c>
      <c r="G5" s="87" t="s">
        <v>397</v>
      </c>
      <c r="H5" s="87" t="s">
        <v>253</v>
      </c>
      <c r="I5" s="20"/>
      <c r="J5" s="25"/>
    </row>
    <row r="6" spans="1:11" ht="15.75" x14ac:dyDescent="0.25">
      <c r="A6" s="107" t="s">
        <v>251</v>
      </c>
      <c r="B6" s="87"/>
      <c r="C6" s="19">
        <v>700</v>
      </c>
      <c r="D6" s="96" t="s">
        <v>252</v>
      </c>
      <c r="E6" s="87"/>
      <c r="F6" s="87"/>
      <c r="G6" s="87" t="s">
        <v>397</v>
      </c>
      <c r="H6" s="87" t="s">
        <v>253</v>
      </c>
      <c r="I6" s="20"/>
      <c r="J6" s="25"/>
    </row>
    <row r="7" spans="1:11" ht="15.75" x14ac:dyDescent="0.25">
      <c r="A7" s="107" t="s">
        <v>255</v>
      </c>
      <c r="B7" s="87"/>
      <c r="C7" s="19">
        <v>1400</v>
      </c>
      <c r="D7" s="96" t="s">
        <v>252</v>
      </c>
      <c r="E7" s="87"/>
      <c r="F7" s="90">
        <v>43256</v>
      </c>
      <c r="G7" s="87" t="s">
        <v>397</v>
      </c>
      <c r="H7" s="87" t="s">
        <v>253</v>
      </c>
      <c r="I7" s="20"/>
      <c r="J7" s="25"/>
    </row>
    <row r="8" spans="1:11" ht="18" x14ac:dyDescent="0.25">
      <c r="A8" s="107" t="s">
        <v>257</v>
      </c>
      <c r="B8" s="87"/>
      <c r="C8" s="19">
        <v>50</v>
      </c>
      <c r="D8" s="96" t="s">
        <v>458</v>
      </c>
      <c r="E8" s="90"/>
      <c r="F8" s="90">
        <v>43262</v>
      </c>
      <c r="G8" s="87" t="s">
        <v>397</v>
      </c>
      <c r="H8" s="87" t="s">
        <v>253</v>
      </c>
      <c r="I8" s="20"/>
      <c r="J8" s="25"/>
    </row>
    <row r="9" spans="1:11" ht="15.75" x14ac:dyDescent="0.25">
      <c r="A9" s="108"/>
      <c r="B9" s="57"/>
      <c r="C9" s="24"/>
      <c r="D9" s="100"/>
      <c r="E9" s="57"/>
      <c r="F9" s="109"/>
      <c r="G9" s="57"/>
      <c r="H9" s="57"/>
      <c r="I9" s="25"/>
      <c r="J9" s="25"/>
    </row>
  </sheetData>
  <sheetProtection sheet="1" objects="1" scenarios="1" formatColumns="0" formatRows="0" sort="0" autoFilter="0"/>
  <mergeCells count="1">
    <mergeCell ref="E1:J1"/>
  </mergeCells>
  <conditionalFormatting sqref="G3:G9">
    <cfRule type="cellIs" dxfId="9" priority="1" operator="lessThan">
      <formula>NOW()</formula>
    </cfRule>
  </conditionalFormatting>
  <hyperlinks>
    <hyperlink ref="C1" location="'Estado general'!A6" display="General" xr:uid="{00000000-0004-0000-0700-000000000000}"/>
    <hyperlink ref="D1" location="'Insumos a comprar'!A1" display="A comprar" xr:uid="{00000000-0004-0000-0700-000001000000}"/>
  </hyperlinks>
  <pageMargins left="0.75" right="0.75" top="1" bottom="1" header="0" footer="0"/>
  <pageSetup paperSize="9" orientation="landscape" horizontalDpi="0" verticalDpi="0" r:id="rId1"/>
  <headerFooter alignWithMargins="0"/>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xr:uid="{00000000-0002-0000-0700-000000000000}">
          <x14:formula1>
            <xm:f>Datos!$G$2:$G$100</xm:f>
          </x14:formula1>
          <xm:sqref>A3:A9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B482DA"/>
  </sheetPr>
  <dimension ref="A1:M58"/>
  <sheetViews>
    <sheetView showGridLines="0" zoomScaleNormal="100" workbookViewId="0">
      <selection activeCell="I17" sqref="I17"/>
    </sheetView>
  </sheetViews>
  <sheetFormatPr defaultColWidth="11.42578125" defaultRowHeight="15" x14ac:dyDescent="0.25"/>
  <cols>
    <col min="1" max="1" width="24.7109375" style="80" bestFit="1" customWidth="1"/>
    <col min="2" max="2" width="23.140625" style="110" bestFit="1" customWidth="1"/>
    <col min="3" max="3" width="12.7109375" style="110" customWidth="1"/>
    <col min="4" max="4" width="11.42578125" style="110" customWidth="1"/>
    <col min="5" max="5" width="9.85546875" style="80" customWidth="1"/>
    <col min="6" max="6" width="6.42578125" style="80" customWidth="1"/>
    <col min="7" max="7" width="31.140625" style="80" customWidth="1"/>
    <col min="8" max="8" width="16.5703125" style="80" bestFit="1" customWidth="1"/>
    <col min="9" max="9" width="20.140625" style="80" customWidth="1"/>
    <col min="10" max="10" width="23.28515625" style="118" bestFit="1" customWidth="1"/>
    <col min="11" max="11" width="36.42578125" style="119" hidden="1" customWidth="1"/>
    <col min="12" max="12" width="37.140625" style="118" bestFit="1" customWidth="1"/>
    <col min="13" max="13" width="37.140625" style="110" customWidth="1"/>
    <col min="14" max="14" width="19.7109375" style="80" customWidth="1"/>
    <col min="15" max="15" width="44" style="80" bestFit="1" customWidth="1"/>
    <col min="16" max="262" width="11.42578125" style="80"/>
    <col min="263" max="263" width="30.5703125" style="80" customWidth="1"/>
    <col min="264" max="265" width="13.42578125" style="80" customWidth="1"/>
    <col min="266" max="266" width="9.5703125" style="80" customWidth="1"/>
    <col min="267" max="268" width="11.42578125" style="80"/>
    <col min="269" max="269" width="19.7109375" style="80" customWidth="1"/>
    <col min="270" max="270" width="24" style="80" customWidth="1"/>
    <col min="271" max="271" width="20.28515625" style="80" customWidth="1"/>
    <col min="272" max="518" width="11.42578125" style="80"/>
    <col min="519" max="519" width="30.5703125" style="80" customWidth="1"/>
    <col min="520" max="521" width="13.42578125" style="80" customWidth="1"/>
    <col min="522" max="522" width="9.5703125" style="80" customWidth="1"/>
    <col min="523" max="524" width="11.42578125" style="80"/>
    <col min="525" max="525" width="19.7109375" style="80" customWidth="1"/>
    <col min="526" max="526" width="24" style="80" customWidth="1"/>
    <col min="527" max="527" width="20.28515625" style="80" customWidth="1"/>
    <col min="528" max="774" width="11.42578125" style="80"/>
    <col min="775" max="775" width="30.5703125" style="80" customWidth="1"/>
    <col min="776" max="777" width="13.42578125" style="80" customWidth="1"/>
    <col min="778" max="778" width="9.5703125" style="80" customWidth="1"/>
    <col min="779" max="780" width="11.42578125" style="80"/>
    <col min="781" max="781" width="19.7109375" style="80" customWidth="1"/>
    <col min="782" max="782" width="24" style="80" customWidth="1"/>
    <col min="783" max="783" width="20.28515625" style="80" customWidth="1"/>
    <col min="784" max="1030" width="11.42578125" style="80"/>
    <col min="1031" max="1031" width="30.5703125" style="80" customWidth="1"/>
    <col min="1032" max="1033" width="13.42578125" style="80" customWidth="1"/>
    <col min="1034" max="1034" width="9.5703125" style="80" customWidth="1"/>
    <col min="1035" max="1036" width="11.42578125" style="80"/>
    <col min="1037" max="1037" width="19.7109375" style="80" customWidth="1"/>
    <col min="1038" max="1038" width="24" style="80" customWidth="1"/>
    <col min="1039" max="1039" width="20.28515625" style="80" customWidth="1"/>
    <col min="1040" max="1286" width="11.42578125" style="80"/>
    <col min="1287" max="1287" width="30.5703125" style="80" customWidth="1"/>
    <col min="1288" max="1289" width="13.42578125" style="80" customWidth="1"/>
    <col min="1290" max="1290" width="9.5703125" style="80" customWidth="1"/>
    <col min="1291" max="1292" width="11.42578125" style="80"/>
    <col min="1293" max="1293" width="19.7109375" style="80" customWidth="1"/>
    <col min="1294" max="1294" width="24" style="80" customWidth="1"/>
    <col min="1295" max="1295" width="20.28515625" style="80" customWidth="1"/>
    <col min="1296" max="1542" width="11.42578125" style="80"/>
    <col min="1543" max="1543" width="30.5703125" style="80" customWidth="1"/>
    <col min="1544" max="1545" width="13.42578125" style="80" customWidth="1"/>
    <col min="1546" max="1546" width="9.5703125" style="80" customWidth="1"/>
    <col min="1547" max="1548" width="11.42578125" style="80"/>
    <col min="1549" max="1549" width="19.7109375" style="80" customWidth="1"/>
    <col min="1550" max="1550" width="24" style="80" customWidth="1"/>
    <col min="1551" max="1551" width="20.28515625" style="80" customWidth="1"/>
    <col min="1552" max="1798" width="11.42578125" style="80"/>
    <col min="1799" max="1799" width="30.5703125" style="80" customWidth="1"/>
    <col min="1800" max="1801" width="13.42578125" style="80" customWidth="1"/>
    <col min="1802" max="1802" width="9.5703125" style="80" customWidth="1"/>
    <col min="1803" max="1804" width="11.42578125" style="80"/>
    <col min="1805" max="1805" width="19.7109375" style="80" customWidth="1"/>
    <col min="1806" max="1806" width="24" style="80" customWidth="1"/>
    <col min="1807" max="1807" width="20.28515625" style="80" customWidth="1"/>
    <col min="1808" max="2054" width="11.42578125" style="80"/>
    <col min="2055" max="2055" width="30.5703125" style="80" customWidth="1"/>
    <col min="2056" max="2057" width="13.42578125" style="80" customWidth="1"/>
    <col min="2058" max="2058" width="9.5703125" style="80" customWidth="1"/>
    <col min="2059" max="2060" width="11.42578125" style="80"/>
    <col min="2061" max="2061" width="19.7109375" style="80" customWidth="1"/>
    <col min="2062" max="2062" width="24" style="80" customWidth="1"/>
    <col min="2063" max="2063" width="20.28515625" style="80" customWidth="1"/>
    <col min="2064" max="2310" width="11.42578125" style="80"/>
    <col min="2311" max="2311" width="30.5703125" style="80" customWidth="1"/>
    <col min="2312" max="2313" width="13.42578125" style="80" customWidth="1"/>
    <col min="2314" max="2314" width="9.5703125" style="80" customWidth="1"/>
    <col min="2315" max="2316" width="11.42578125" style="80"/>
    <col min="2317" max="2317" width="19.7109375" style="80" customWidth="1"/>
    <col min="2318" max="2318" width="24" style="80" customWidth="1"/>
    <col min="2319" max="2319" width="20.28515625" style="80" customWidth="1"/>
    <col min="2320" max="2566" width="11.42578125" style="80"/>
    <col min="2567" max="2567" width="30.5703125" style="80" customWidth="1"/>
    <col min="2568" max="2569" width="13.42578125" style="80" customWidth="1"/>
    <col min="2570" max="2570" width="9.5703125" style="80" customWidth="1"/>
    <col min="2571" max="2572" width="11.42578125" style="80"/>
    <col min="2573" max="2573" width="19.7109375" style="80" customWidth="1"/>
    <col min="2574" max="2574" width="24" style="80" customWidth="1"/>
    <col min="2575" max="2575" width="20.28515625" style="80" customWidth="1"/>
    <col min="2576" max="2822" width="11.42578125" style="80"/>
    <col min="2823" max="2823" width="30.5703125" style="80" customWidth="1"/>
    <col min="2824" max="2825" width="13.42578125" style="80" customWidth="1"/>
    <col min="2826" max="2826" width="9.5703125" style="80" customWidth="1"/>
    <col min="2827" max="2828" width="11.42578125" style="80"/>
    <col min="2829" max="2829" width="19.7109375" style="80" customWidth="1"/>
    <col min="2830" max="2830" width="24" style="80" customWidth="1"/>
    <col min="2831" max="2831" width="20.28515625" style="80" customWidth="1"/>
    <col min="2832" max="3078" width="11.42578125" style="80"/>
    <col min="3079" max="3079" width="30.5703125" style="80" customWidth="1"/>
    <col min="3080" max="3081" width="13.42578125" style="80" customWidth="1"/>
    <col min="3082" max="3082" width="9.5703125" style="80" customWidth="1"/>
    <col min="3083" max="3084" width="11.42578125" style="80"/>
    <col min="3085" max="3085" width="19.7109375" style="80" customWidth="1"/>
    <col min="3086" max="3086" width="24" style="80" customWidth="1"/>
    <col min="3087" max="3087" width="20.28515625" style="80" customWidth="1"/>
    <col min="3088" max="3334" width="11.42578125" style="80"/>
    <col min="3335" max="3335" width="30.5703125" style="80" customWidth="1"/>
    <col min="3336" max="3337" width="13.42578125" style="80" customWidth="1"/>
    <col min="3338" max="3338" width="9.5703125" style="80" customWidth="1"/>
    <col min="3339" max="3340" width="11.42578125" style="80"/>
    <col min="3341" max="3341" width="19.7109375" style="80" customWidth="1"/>
    <col min="3342" max="3342" width="24" style="80" customWidth="1"/>
    <col min="3343" max="3343" width="20.28515625" style="80" customWidth="1"/>
    <col min="3344" max="3590" width="11.42578125" style="80"/>
    <col min="3591" max="3591" width="30.5703125" style="80" customWidth="1"/>
    <col min="3592" max="3593" width="13.42578125" style="80" customWidth="1"/>
    <col min="3594" max="3594" width="9.5703125" style="80" customWidth="1"/>
    <col min="3595" max="3596" width="11.42578125" style="80"/>
    <col min="3597" max="3597" width="19.7109375" style="80" customWidth="1"/>
    <col min="3598" max="3598" width="24" style="80" customWidth="1"/>
    <col min="3599" max="3599" width="20.28515625" style="80" customWidth="1"/>
    <col min="3600" max="3846" width="11.42578125" style="80"/>
    <col min="3847" max="3847" width="30.5703125" style="80" customWidth="1"/>
    <col min="3848" max="3849" width="13.42578125" style="80" customWidth="1"/>
    <col min="3850" max="3850" width="9.5703125" style="80" customWidth="1"/>
    <col min="3851" max="3852" width="11.42578125" style="80"/>
    <col min="3853" max="3853" width="19.7109375" style="80" customWidth="1"/>
    <col min="3854" max="3854" width="24" style="80" customWidth="1"/>
    <col min="3855" max="3855" width="20.28515625" style="80" customWidth="1"/>
    <col min="3856" max="4102" width="11.42578125" style="80"/>
    <col min="4103" max="4103" width="30.5703125" style="80" customWidth="1"/>
    <col min="4104" max="4105" width="13.42578125" style="80" customWidth="1"/>
    <col min="4106" max="4106" width="9.5703125" style="80" customWidth="1"/>
    <col min="4107" max="4108" width="11.42578125" style="80"/>
    <col min="4109" max="4109" width="19.7109375" style="80" customWidth="1"/>
    <col min="4110" max="4110" width="24" style="80" customWidth="1"/>
    <col min="4111" max="4111" width="20.28515625" style="80" customWidth="1"/>
    <col min="4112" max="4358" width="11.42578125" style="80"/>
    <col min="4359" max="4359" width="30.5703125" style="80" customWidth="1"/>
    <col min="4360" max="4361" width="13.42578125" style="80" customWidth="1"/>
    <col min="4362" max="4362" width="9.5703125" style="80" customWidth="1"/>
    <col min="4363" max="4364" width="11.42578125" style="80"/>
    <col min="4365" max="4365" width="19.7109375" style="80" customWidth="1"/>
    <col min="4366" max="4366" width="24" style="80" customWidth="1"/>
    <col min="4367" max="4367" width="20.28515625" style="80" customWidth="1"/>
    <col min="4368" max="4614" width="11.42578125" style="80"/>
    <col min="4615" max="4615" width="30.5703125" style="80" customWidth="1"/>
    <col min="4616" max="4617" width="13.42578125" style="80" customWidth="1"/>
    <col min="4618" max="4618" width="9.5703125" style="80" customWidth="1"/>
    <col min="4619" max="4620" width="11.42578125" style="80"/>
    <col min="4621" max="4621" width="19.7109375" style="80" customWidth="1"/>
    <col min="4622" max="4622" width="24" style="80" customWidth="1"/>
    <col min="4623" max="4623" width="20.28515625" style="80" customWidth="1"/>
    <col min="4624" max="4870" width="11.42578125" style="80"/>
    <col min="4871" max="4871" width="30.5703125" style="80" customWidth="1"/>
    <col min="4872" max="4873" width="13.42578125" style="80" customWidth="1"/>
    <col min="4874" max="4874" width="9.5703125" style="80" customWidth="1"/>
    <col min="4875" max="4876" width="11.42578125" style="80"/>
    <col min="4877" max="4877" width="19.7109375" style="80" customWidth="1"/>
    <col min="4878" max="4878" width="24" style="80" customWidth="1"/>
    <col min="4879" max="4879" width="20.28515625" style="80" customWidth="1"/>
    <col min="4880" max="5126" width="11.42578125" style="80"/>
    <col min="5127" max="5127" width="30.5703125" style="80" customWidth="1"/>
    <col min="5128" max="5129" width="13.42578125" style="80" customWidth="1"/>
    <col min="5130" max="5130" width="9.5703125" style="80" customWidth="1"/>
    <col min="5131" max="5132" width="11.42578125" style="80"/>
    <col min="5133" max="5133" width="19.7109375" style="80" customWidth="1"/>
    <col min="5134" max="5134" width="24" style="80" customWidth="1"/>
    <col min="5135" max="5135" width="20.28515625" style="80" customWidth="1"/>
    <col min="5136" max="5382" width="11.42578125" style="80"/>
    <col min="5383" max="5383" width="30.5703125" style="80" customWidth="1"/>
    <col min="5384" max="5385" width="13.42578125" style="80" customWidth="1"/>
    <col min="5386" max="5386" width="9.5703125" style="80" customWidth="1"/>
    <col min="5387" max="5388" width="11.42578125" style="80"/>
    <col min="5389" max="5389" width="19.7109375" style="80" customWidth="1"/>
    <col min="5390" max="5390" width="24" style="80" customWidth="1"/>
    <col min="5391" max="5391" width="20.28515625" style="80" customWidth="1"/>
    <col min="5392" max="5638" width="11.42578125" style="80"/>
    <col min="5639" max="5639" width="30.5703125" style="80" customWidth="1"/>
    <col min="5640" max="5641" width="13.42578125" style="80" customWidth="1"/>
    <col min="5642" max="5642" width="9.5703125" style="80" customWidth="1"/>
    <col min="5643" max="5644" width="11.42578125" style="80"/>
    <col min="5645" max="5645" width="19.7109375" style="80" customWidth="1"/>
    <col min="5646" max="5646" width="24" style="80" customWidth="1"/>
    <col min="5647" max="5647" width="20.28515625" style="80" customWidth="1"/>
    <col min="5648" max="5894" width="11.42578125" style="80"/>
    <col min="5895" max="5895" width="30.5703125" style="80" customWidth="1"/>
    <col min="5896" max="5897" width="13.42578125" style="80" customWidth="1"/>
    <col min="5898" max="5898" width="9.5703125" style="80" customWidth="1"/>
    <col min="5899" max="5900" width="11.42578125" style="80"/>
    <col min="5901" max="5901" width="19.7109375" style="80" customWidth="1"/>
    <col min="5902" max="5902" width="24" style="80" customWidth="1"/>
    <col min="5903" max="5903" width="20.28515625" style="80" customWidth="1"/>
    <col min="5904" max="6150" width="11.42578125" style="80"/>
    <col min="6151" max="6151" width="30.5703125" style="80" customWidth="1"/>
    <col min="6152" max="6153" width="13.42578125" style="80" customWidth="1"/>
    <col min="6154" max="6154" width="9.5703125" style="80" customWidth="1"/>
    <col min="6155" max="6156" width="11.42578125" style="80"/>
    <col min="6157" max="6157" width="19.7109375" style="80" customWidth="1"/>
    <col min="6158" max="6158" width="24" style="80" customWidth="1"/>
    <col min="6159" max="6159" width="20.28515625" style="80" customWidth="1"/>
    <col min="6160" max="6406" width="11.42578125" style="80"/>
    <col min="6407" max="6407" width="30.5703125" style="80" customWidth="1"/>
    <col min="6408" max="6409" width="13.42578125" style="80" customWidth="1"/>
    <col min="6410" max="6410" width="9.5703125" style="80" customWidth="1"/>
    <col min="6411" max="6412" width="11.42578125" style="80"/>
    <col min="6413" max="6413" width="19.7109375" style="80" customWidth="1"/>
    <col min="6414" max="6414" width="24" style="80" customWidth="1"/>
    <col min="6415" max="6415" width="20.28515625" style="80" customWidth="1"/>
    <col min="6416" max="6662" width="11.42578125" style="80"/>
    <col min="6663" max="6663" width="30.5703125" style="80" customWidth="1"/>
    <col min="6664" max="6665" width="13.42578125" style="80" customWidth="1"/>
    <col min="6666" max="6666" width="9.5703125" style="80" customWidth="1"/>
    <col min="6667" max="6668" width="11.42578125" style="80"/>
    <col min="6669" max="6669" width="19.7109375" style="80" customWidth="1"/>
    <col min="6670" max="6670" width="24" style="80" customWidth="1"/>
    <col min="6671" max="6671" width="20.28515625" style="80" customWidth="1"/>
    <col min="6672" max="6918" width="11.42578125" style="80"/>
    <col min="6919" max="6919" width="30.5703125" style="80" customWidth="1"/>
    <col min="6920" max="6921" width="13.42578125" style="80" customWidth="1"/>
    <col min="6922" max="6922" width="9.5703125" style="80" customWidth="1"/>
    <col min="6923" max="6924" width="11.42578125" style="80"/>
    <col min="6925" max="6925" width="19.7109375" style="80" customWidth="1"/>
    <col min="6926" max="6926" width="24" style="80" customWidth="1"/>
    <col min="6927" max="6927" width="20.28515625" style="80" customWidth="1"/>
    <col min="6928" max="7174" width="11.42578125" style="80"/>
    <col min="7175" max="7175" width="30.5703125" style="80" customWidth="1"/>
    <col min="7176" max="7177" width="13.42578125" style="80" customWidth="1"/>
    <col min="7178" max="7178" width="9.5703125" style="80" customWidth="1"/>
    <col min="7179" max="7180" width="11.42578125" style="80"/>
    <col min="7181" max="7181" width="19.7109375" style="80" customWidth="1"/>
    <col min="7182" max="7182" width="24" style="80" customWidth="1"/>
    <col min="7183" max="7183" width="20.28515625" style="80" customWidth="1"/>
    <col min="7184" max="7430" width="11.42578125" style="80"/>
    <col min="7431" max="7431" width="30.5703125" style="80" customWidth="1"/>
    <col min="7432" max="7433" width="13.42578125" style="80" customWidth="1"/>
    <col min="7434" max="7434" width="9.5703125" style="80" customWidth="1"/>
    <col min="7435" max="7436" width="11.42578125" style="80"/>
    <col min="7437" max="7437" width="19.7109375" style="80" customWidth="1"/>
    <col min="7438" max="7438" width="24" style="80" customWidth="1"/>
    <col min="7439" max="7439" width="20.28515625" style="80" customWidth="1"/>
    <col min="7440" max="7686" width="11.42578125" style="80"/>
    <col min="7687" max="7687" width="30.5703125" style="80" customWidth="1"/>
    <col min="7688" max="7689" width="13.42578125" style="80" customWidth="1"/>
    <col min="7690" max="7690" width="9.5703125" style="80" customWidth="1"/>
    <col min="7691" max="7692" width="11.42578125" style="80"/>
    <col min="7693" max="7693" width="19.7109375" style="80" customWidth="1"/>
    <col min="7694" max="7694" width="24" style="80" customWidth="1"/>
    <col min="7695" max="7695" width="20.28515625" style="80" customWidth="1"/>
    <col min="7696" max="7942" width="11.42578125" style="80"/>
    <col min="7943" max="7943" width="30.5703125" style="80" customWidth="1"/>
    <col min="7944" max="7945" width="13.42578125" style="80" customWidth="1"/>
    <col min="7946" max="7946" width="9.5703125" style="80" customWidth="1"/>
    <col min="7947" max="7948" width="11.42578125" style="80"/>
    <col min="7949" max="7949" width="19.7109375" style="80" customWidth="1"/>
    <col min="7950" max="7950" width="24" style="80" customWidth="1"/>
    <col min="7951" max="7951" width="20.28515625" style="80" customWidth="1"/>
    <col min="7952" max="8198" width="11.42578125" style="80"/>
    <col min="8199" max="8199" width="30.5703125" style="80" customWidth="1"/>
    <col min="8200" max="8201" width="13.42578125" style="80" customWidth="1"/>
    <col min="8202" max="8202" width="9.5703125" style="80" customWidth="1"/>
    <col min="8203" max="8204" width="11.42578125" style="80"/>
    <col min="8205" max="8205" width="19.7109375" style="80" customWidth="1"/>
    <col min="8206" max="8206" width="24" style="80" customWidth="1"/>
    <col min="8207" max="8207" width="20.28515625" style="80" customWidth="1"/>
    <col min="8208" max="8454" width="11.42578125" style="80"/>
    <col min="8455" max="8455" width="30.5703125" style="80" customWidth="1"/>
    <col min="8456" max="8457" width="13.42578125" style="80" customWidth="1"/>
    <col min="8458" max="8458" width="9.5703125" style="80" customWidth="1"/>
    <col min="8459" max="8460" width="11.42578125" style="80"/>
    <col min="8461" max="8461" width="19.7109375" style="80" customWidth="1"/>
    <col min="8462" max="8462" width="24" style="80" customWidth="1"/>
    <col min="8463" max="8463" width="20.28515625" style="80" customWidth="1"/>
    <col min="8464" max="8710" width="11.42578125" style="80"/>
    <col min="8711" max="8711" width="30.5703125" style="80" customWidth="1"/>
    <col min="8712" max="8713" width="13.42578125" style="80" customWidth="1"/>
    <col min="8714" max="8714" width="9.5703125" style="80" customWidth="1"/>
    <col min="8715" max="8716" width="11.42578125" style="80"/>
    <col min="8717" max="8717" width="19.7109375" style="80" customWidth="1"/>
    <col min="8718" max="8718" width="24" style="80" customWidth="1"/>
    <col min="8719" max="8719" width="20.28515625" style="80" customWidth="1"/>
    <col min="8720" max="8966" width="11.42578125" style="80"/>
    <col min="8967" max="8967" width="30.5703125" style="80" customWidth="1"/>
    <col min="8968" max="8969" width="13.42578125" style="80" customWidth="1"/>
    <col min="8970" max="8970" width="9.5703125" style="80" customWidth="1"/>
    <col min="8971" max="8972" width="11.42578125" style="80"/>
    <col min="8973" max="8973" width="19.7109375" style="80" customWidth="1"/>
    <col min="8974" max="8974" width="24" style="80" customWidth="1"/>
    <col min="8975" max="8975" width="20.28515625" style="80" customWidth="1"/>
    <col min="8976" max="9222" width="11.42578125" style="80"/>
    <col min="9223" max="9223" width="30.5703125" style="80" customWidth="1"/>
    <col min="9224" max="9225" width="13.42578125" style="80" customWidth="1"/>
    <col min="9226" max="9226" width="9.5703125" style="80" customWidth="1"/>
    <col min="9227" max="9228" width="11.42578125" style="80"/>
    <col min="9229" max="9229" width="19.7109375" style="80" customWidth="1"/>
    <col min="9230" max="9230" width="24" style="80" customWidth="1"/>
    <col min="9231" max="9231" width="20.28515625" style="80" customWidth="1"/>
    <col min="9232" max="9478" width="11.42578125" style="80"/>
    <col min="9479" max="9479" width="30.5703125" style="80" customWidth="1"/>
    <col min="9480" max="9481" width="13.42578125" style="80" customWidth="1"/>
    <col min="9482" max="9482" width="9.5703125" style="80" customWidth="1"/>
    <col min="9483" max="9484" width="11.42578125" style="80"/>
    <col min="9485" max="9485" width="19.7109375" style="80" customWidth="1"/>
    <col min="9486" max="9486" width="24" style="80" customWidth="1"/>
    <col min="9487" max="9487" width="20.28515625" style="80" customWidth="1"/>
    <col min="9488" max="9734" width="11.42578125" style="80"/>
    <col min="9735" max="9735" width="30.5703125" style="80" customWidth="1"/>
    <col min="9736" max="9737" width="13.42578125" style="80" customWidth="1"/>
    <col min="9738" max="9738" width="9.5703125" style="80" customWidth="1"/>
    <col min="9739" max="9740" width="11.42578125" style="80"/>
    <col min="9741" max="9741" width="19.7109375" style="80" customWidth="1"/>
    <col min="9742" max="9742" width="24" style="80" customWidth="1"/>
    <col min="9743" max="9743" width="20.28515625" style="80" customWidth="1"/>
    <col min="9744" max="9990" width="11.42578125" style="80"/>
    <col min="9991" max="9991" width="30.5703125" style="80" customWidth="1"/>
    <col min="9992" max="9993" width="13.42578125" style="80" customWidth="1"/>
    <col min="9994" max="9994" width="9.5703125" style="80" customWidth="1"/>
    <col min="9995" max="9996" width="11.42578125" style="80"/>
    <col min="9997" max="9997" width="19.7109375" style="80" customWidth="1"/>
    <col min="9998" max="9998" width="24" style="80" customWidth="1"/>
    <col min="9999" max="9999" width="20.28515625" style="80" customWidth="1"/>
    <col min="10000" max="10246" width="11.42578125" style="80"/>
    <col min="10247" max="10247" width="30.5703125" style="80" customWidth="1"/>
    <col min="10248" max="10249" width="13.42578125" style="80" customWidth="1"/>
    <col min="10250" max="10250" width="9.5703125" style="80" customWidth="1"/>
    <col min="10251" max="10252" width="11.42578125" style="80"/>
    <col min="10253" max="10253" width="19.7109375" style="80" customWidth="1"/>
    <col min="10254" max="10254" width="24" style="80" customWidth="1"/>
    <col min="10255" max="10255" width="20.28515625" style="80" customWidth="1"/>
    <col min="10256" max="10502" width="11.42578125" style="80"/>
    <col min="10503" max="10503" width="30.5703125" style="80" customWidth="1"/>
    <col min="10504" max="10505" width="13.42578125" style="80" customWidth="1"/>
    <col min="10506" max="10506" width="9.5703125" style="80" customWidth="1"/>
    <col min="10507" max="10508" width="11.42578125" style="80"/>
    <col min="10509" max="10509" width="19.7109375" style="80" customWidth="1"/>
    <col min="10510" max="10510" width="24" style="80" customWidth="1"/>
    <col min="10511" max="10511" width="20.28515625" style="80" customWidth="1"/>
    <col min="10512" max="10758" width="11.42578125" style="80"/>
    <col min="10759" max="10759" width="30.5703125" style="80" customWidth="1"/>
    <col min="10760" max="10761" width="13.42578125" style="80" customWidth="1"/>
    <col min="10762" max="10762" width="9.5703125" style="80" customWidth="1"/>
    <col min="10763" max="10764" width="11.42578125" style="80"/>
    <col min="10765" max="10765" width="19.7109375" style="80" customWidth="1"/>
    <col min="10766" max="10766" width="24" style="80" customWidth="1"/>
    <col min="10767" max="10767" width="20.28515625" style="80" customWidth="1"/>
    <col min="10768" max="11014" width="11.42578125" style="80"/>
    <col min="11015" max="11015" width="30.5703125" style="80" customWidth="1"/>
    <col min="11016" max="11017" width="13.42578125" style="80" customWidth="1"/>
    <col min="11018" max="11018" width="9.5703125" style="80" customWidth="1"/>
    <col min="11019" max="11020" width="11.42578125" style="80"/>
    <col min="11021" max="11021" width="19.7109375" style="80" customWidth="1"/>
    <col min="11022" max="11022" width="24" style="80" customWidth="1"/>
    <col min="11023" max="11023" width="20.28515625" style="80" customWidth="1"/>
    <col min="11024" max="11270" width="11.42578125" style="80"/>
    <col min="11271" max="11271" width="30.5703125" style="80" customWidth="1"/>
    <col min="11272" max="11273" width="13.42578125" style="80" customWidth="1"/>
    <col min="11274" max="11274" width="9.5703125" style="80" customWidth="1"/>
    <col min="11275" max="11276" width="11.42578125" style="80"/>
    <col min="11277" max="11277" width="19.7109375" style="80" customWidth="1"/>
    <col min="11278" max="11278" width="24" style="80" customWidth="1"/>
    <col min="11279" max="11279" width="20.28515625" style="80" customWidth="1"/>
    <col min="11280" max="11526" width="11.42578125" style="80"/>
    <col min="11527" max="11527" width="30.5703125" style="80" customWidth="1"/>
    <col min="11528" max="11529" width="13.42578125" style="80" customWidth="1"/>
    <col min="11530" max="11530" width="9.5703125" style="80" customWidth="1"/>
    <col min="11531" max="11532" width="11.42578125" style="80"/>
    <col min="11533" max="11533" width="19.7109375" style="80" customWidth="1"/>
    <col min="11534" max="11534" width="24" style="80" customWidth="1"/>
    <col min="11535" max="11535" width="20.28515625" style="80" customWidth="1"/>
    <col min="11536" max="11782" width="11.42578125" style="80"/>
    <col min="11783" max="11783" width="30.5703125" style="80" customWidth="1"/>
    <col min="11784" max="11785" width="13.42578125" style="80" customWidth="1"/>
    <col min="11786" max="11786" width="9.5703125" style="80" customWidth="1"/>
    <col min="11787" max="11788" width="11.42578125" style="80"/>
    <col min="11789" max="11789" width="19.7109375" style="80" customWidth="1"/>
    <col min="11790" max="11790" width="24" style="80" customWidth="1"/>
    <col min="11791" max="11791" width="20.28515625" style="80" customWidth="1"/>
    <col min="11792" max="12038" width="11.42578125" style="80"/>
    <col min="12039" max="12039" width="30.5703125" style="80" customWidth="1"/>
    <col min="12040" max="12041" width="13.42578125" style="80" customWidth="1"/>
    <col min="12042" max="12042" width="9.5703125" style="80" customWidth="1"/>
    <col min="12043" max="12044" width="11.42578125" style="80"/>
    <col min="12045" max="12045" width="19.7109375" style="80" customWidth="1"/>
    <col min="12046" max="12046" width="24" style="80" customWidth="1"/>
    <col min="12047" max="12047" width="20.28515625" style="80" customWidth="1"/>
    <col min="12048" max="12294" width="11.42578125" style="80"/>
    <col min="12295" max="12295" width="30.5703125" style="80" customWidth="1"/>
    <col min="12296" max="12297" width="13.42578125" style="80" customWidth="1"/>
    <col min="12298" max="12298" width="9.5703125" style="80" customWidth="1"/>
    <col min="12299" max="12300" width="11.42578125" style="80"/>
    <col min="12301" max="12301" width="19.7109375" style="80" customWidth="1"/>
    <col min="12302" max="12302" width="24" style="80" customWidth="1"/>
    <col min="12303" max="12303" width="20.28515625" style="80" customWidth="1"/>
    <col min="12304" max="12550" width="11.42578125" style="80"/>
    <col min="12551" max="12551" width="30.5703125" style="80" customWidth="1"/>
    <col min="12552" max="12553" width="13.42578125" style="80" customWidth="1"/>
    <col min="12554" max="12554" width="9.5703125" style="80" customWidth="1"/>
    <col min="12555" max="12556" width="11.42578125" style="80"/>
    <col min="12557" max="12557" width="19.7109375" style="80" customWidth="1"/>
    <col min="12558" max="12558" width="24" style="80" customWidth="1"/>
    <col min="12559" max="12559" width="20.28515625" style="80" customWidth="1"/>
    <col min="12560" max="12806" width="11.42578125" style="80"/>
    <col min="12807" max="12807" width="30.5703125" style="80" customWidth="1"/>
    <col min="12808" max="12809" width="13.42578125" style="80" customWidth="1"/>
    <col min="12810" max="12810" width="9.5703125" style="80" customWidth="1"/>
    <col min="12811" max="12812" width="11.42578125" style="80"/>
    <col min="12813" max="12813" width="19.7109375" style="80" customWidth="1"/>
    <col min="12814" max="12814" width="24" style="80" customWidth="1"/>
    <col min="12815" max="12815" width="20.28515625" style="80" customWidth="1"/>
    <col min="12816" max="13062" width="11.42578125" style="80"/>
    <col min="13063" max="13063" width="30.5703125" style="80" customWidth="1"/>
    <col min="13064" max="13065" width="13.42578125" style="80" customWidth="1"/>
    <col min="13066" max="13066" width="9.5703125" style="80" customWidth="1"/>
    <col min="13067" max="13068" width="11.42578125" style="80"/>
    <col min="13069" max="13069" width="19.7109375" style="80" customWidth="1"/>
    <col min="13070" max="13070" width="24" style="80" customWidth="1"/>
    <col min="13071" max="13071" width="20.28515625" style="80" customWidth="1"/>
    <col min="13072" max="13318" width="11.42578125" style="80"/>
    <col min="13319" max="13319" width="30.5703125" style="80" customWidth="1"/>
    <col min="13320" max="13321" width="13.42578125" style="80" customWidth="1"/>
    <col min="13322" max="13322" width="9.5703125" style="80" customWidth="1"/>
    <col min="13323" max="13324" width="11.42578125" style="80"/>
    <col min="13325" max="13325" width="19.7109375" style="80" customWidth="1"/>
    <col min="13326" max="13326" width="24" style="80" customWidth="1"/>
    <col min="13327" max="13327" width="20.28515625" style="80" customWidth="1"/>
    <col min="13328" max="13574" width="11.42578125" style="80"/>
    <col min="13575" max="13575" width="30.5703125" style="80" customWidth="1"/>
    <col min="13576" max="13577" width="13.42578125" style="80" customWidth="1"/>
    <col min="13578" max="13578" width="9.5703125" style="80" customWidth="1"/>
    <col min="13579" max="13580" width="11.42578125" style="80"/>
    <col min="13581" max="13581" width="19.7109375" style="80" customWidth="1"/>
    <col min="13582" max="13582" width="24" style="80" customWidth="1"/>
    <col min="13583" max="13583" width="20.28515625" style="80" customWidth="1"/>
    <col min="13584" max="13830" width="11.42578125" style="80"/>
    <col min="13831" max="13831" width="30.5703125" style="80" customWidth="1"/>
    <col min="13832" max="13833" width="13.42578125" style="80" customWidth="1"/>
    <col min="13834" max="13834" width="9.5703125" style="80" customWidth="1"/>
    <col min="13835" max="13836" width="11.42578125" style="80"/>
    <col min="13837" max="13837" width="19.7109375" style="80" customWidth="1"/>
    <col min="13838" max="13838" width="24" style="80" customWidth="1"/>
    <col min="13839" max="13839" width="20.28515625" style="80" customWidth="1"/>
    <col min="13840" max="14086" width="11.42578125" style="80"/>
    <col min="14087" max="14087" width="30.5703125" style="80" customWidth="1"/>
    <col min="14088" max="14089" width="13.42578125" style="80" customWidth="1"/>
    <col min="14090" max="14090" width="9.5703125" style="80" customWidth="1"/>
    <col min="14091" max="14092" width="11.42578125" style="80"/>
    <col min="14093" max="14093" width="19.7109375" style="80" customWidth="1"/>
    <col min="14094" max="14094" width="24" style="80" customWidth="1"/>
    <col min="14095" max="14095" width="20.28515625" style="80" customWidth="1"/>
    <col min="14096" max="14342" width="11.42578125" style="80"/>
    <col min="14343" max="14343" width="30.5703125" style="80" customWidth="1"/>
    <col min="14344" max="14345" width="13.42578125" style="80" customWidth="1"/>
    <col min="14346" max="14346" width="9.5703125" style="80" customWidth="1"/>
    <col min="14347" max="14348" width="11.42578125" style="80"/>
    <col min="14349" max="14349" width="19.7109375" style="80" customWidth="1"/>
    <col min="14350" max="14350" width="24" style="80" customWidth="1"/>
    <col min="14351" max="14351" width="20.28515625" style="80" customWidth="1"/>
    <col min="14352" max="14598" width="11.42578125" style="80"/>
    <col min="14599" max="14599" width="30.5703125" style="80" customWidth="1"/>
    <col min="14600" max="14601" width="13.42578125" style="80" customWidth="1"/>
    <col min="14602" max="14602" width="9.5703125" style="80" customWidth="1"/>
    <col min="14603" max="14604" width="11.42578125" style="80"/>
    <col min="14605" max="14605" width="19.7109375" style="80" customWidth="1"/>
    <col min="14606" max="14606" width="24" style="80" customWidth="1"/>
    <col min="14607" max="14607" width="20.28515625" style="80" customWidth="1"/>
    <col min="14608" max="14854" width="11.42578125" style="80"/>
    <col min="14855" max="14855" width="30.5703125" style="80" customWidth="1"/>
    <col min="14856" max="14857" width="13.42578125" style="80" customWidth="1"/>
    <col min="14858" max="14858" width="9.5703125" style="80" customWidth="1"/>
    <col min="14859" max="14860" width="11.42578125" style="80"/>
    <col min="14861" max="14861" width="19.7109375" style="80" customWidth="1"/>
    <col min="14862" max="14862" width="24" style="80" customWidth="1"/>
    <col min="14863" max="14863" width="20.28515625" style="80" customWidth="1"/>
    <col min="14864" max="15110" width="11.42578125" style="80"/>
    <col min="15111" max="15111" width="30.5703125" style="80" customWidth="1"/>
    <col min="15112" max="15113" width="13.42578125" style="80" customWidth="1"/>
    <col min="15114" max="15114" width="9.5703125" style="80" customWidth="1"/>
    <col min="15115" max="15116" width="11.42578125" style="80"/>
    <col min="15117" max="15117" width="19.7109375" style="80" customWidth="1"/>
    <col min="15118" max="15118" width="24" style="80" customWidth="1"/>
    <col min="15119" max="15119" width="20.28515625" style="80" customWidth="1"/>
    <col min="15120" max="15366" width="11.42578125" style="80"/>
    <col min="15367" max="15367" width="30.5703125" style="80" customWidth="1"/>
    <col min="15368" max="15369" width="13.42578125" style="80" customWidth="1"/>
    <col min="15370" max="15370" width="9.5703125" style="80" customWidth="1"/>
    <col min="15371" max="15372" width="11.42578125" style="80"/>
    <col min="15373" max="15373" width="19.7109375" style="80" customWidth="1"/>
    <col min="15374" max="15374" width="24" style="80" customWidth="1"/>
    <col min="15375" max="15375" width="20.28515625" style="80" customWidth="1"/>
    <col min="15376" max="15622" width="11.42578125" style="80"/>
    <col min="15623" max="15623" width="30.5703125" style="80" customWidth="1"/>
    <col min="15624" max="15625" width="13.42578125" style="80" customWidth="1"/>
    <col min="15626" max="15626" width="9.5703125" style="80" customWidth="1"/>
    <col min="15627" max="15628" width="11.42578125" style="80"/>
    <col min="15629" max="15629" width="19.7109375" style="80" customWidth="1"/>
    <col min="15630" max="15630" width="24" style="80" customWidth="1"/>
    <col min="15631" max="15631" width="20.28515625" style="80" customWidth="1"/>
    <col min="15632" max="15878" width="11.42578125" style="80"/>
    <col min="15879" max="15879" width="30.5703125" style="80" customWidth="1"/>
    <col min="15880" max="15881" width="13.42578125" style="80" customWidth="1"/>
    <col min="15882" max="15882" width="9.5703125" style="80" customWidth="1"/>
    <col min="15883" max="15884" width="11.42578125" style="80"/>
    <col min="15885" max="15885" width="19.7109375" style="80" customWidth="1"/>
    <col min="15886" max="15886" width="24" style="80" customWidth="1"/>
    <col min="15887" max="15887" width="20.28515625" style="80" customWidth="1"/>
    <col min="15888" max="16134" width="11.42578125" style="80"/>
    <col min="16135" max="16135" width="30.5703125" style="80" customWidth="1"/>
    <col min="16136" max="16137" width="13.42578125" style="80" customWidth="1"/>
    <col min="16138" max="16138" width="9.5703125" style="80" customWidth="1"/>
    <col min="16139" max="16140" width="11.42578125" style="80"/>
    <col min="16141" max="16141" width="19.7109375" style="80" customWidth="1"/>
    <col min="16142" max="16142" width="24" style="80" customWidth="1"/>
    <col min="16143" max="16143" width="20.28515625" style="80" customWidth="1"/>
    <col min="16144" max="16384" width="11.42578125" style="80"/>
  </cols>
  <sheetData>
    <row r="1" spans="1:13" ht="38.25" customHeight="1" x14ac:dyDescent="0.2">
      <c r="A1" s="78" t="s">
        <v>56</v>
      </c>
      <c r="B1" s="92">
        <v>44322</v>
      </c>
      <c r="C1" s="79" t="s">
        <v>444</v>
      </c>
      <c r="D1" s="79" t="s">
        <v>780</v>
      </c>
      <c r="E1" s="434" t="s">
        <v>795</v>
      </c>
      <c r="F1" s="435"/>
      <c r="G1" s="435"/>
      <c r="H1" s="435"/>
      <c r="I1" s="435"/>
      <c r="J1" s="435"/>
      <c r="K1" s="435"/>
      <c r="L1" s="80"/>
      <c r="M1" s="80"/>
    </row>
    <row r="2" spans="1:13" s="113" customFormat="1" ht="37.5" x14ac:dyDescent="0.2">
      <c r="A2" s="81" t="s">
        <v>441</v>
      </c>
      <c r="B2" s="81" t="s">
        <v>419</v>
      </c>
      <c r="C2" s="82" t="s">
        <v>598</v>
      </c>
      <c r="D2" s="82" t="s">
        <v>599</v>
      </c>
      <c r="E2" s="82" t="s">
        <v>55</v>
      </c>
      <c r="F2" s="83" t="s">
        <v>65</v>
      </c>
      <c r="G2" s="81" t="s">
        <v>58</v>
      </c>
      <c r="H2" s="83" t="s">
        <v>752</v>
      </c>
      <c r="I2" s="82" t="s">
        <v>5</v>
      </c>
      <c r="J2" s="82" t="s">
        <v>658</v>
      </c>
      <c r="K2" s="81" t="s">
        <v>260</v>
      </c>
    </row>
    <row r="3" spans="1:13" ht="15.75" hidden="1" x14ac:dyDescent="0.2">
      <c r="A3" s="114" t="s">
        <v>262</v>
      </c>
      <c r="B3" s="211"/>
      <c r="C3" s="212">
        <v>0</v>
      </c>
      <c r="D3" s="212">
        <v>0</v>
      </c>
      <c r="E3" s="213">
        <f>Guantes_e_insumos_generales[[#This Row],[Stock en uso]]+Guantes_e_insumos_generales[[#This Row],[Stock nuevo]]</f>
        <v>0</v>
      </c>
      <c r="F3" s="114" t="s">
        <v>399</v>
      </c>
      <c r="G3" s="89">
        <v>43784</v>
      </c>
      <c r="H3" s="114"/>
      <c r="I3" s="15"/>
      <c r="J3" s="120">
        <v>44013</v>
      </c>
      <c r="K3" s="214" t="str">
        <f>CONCATENATE(Guantes_e_insumos_generales[[#This Row],[Material]]," ",Guantes_e_insumos_generales[[#This Row],[Especificación]])</f>
        <v xml:space="preserve">Alcohol  </v>
      </c>
      <c r="L3" s="80"/>
      <c r="M3" s="80"/>
    </row>
    <row r="4" spans="1:13" ht="15.75" x14ac:dyDescent="0.2">
      <c r="A4" s="219" t="s">
        <v>262</v>
      </c>
      <c r="B4" s="221"/>
      <c r="C4" s="218">
        <v>0</v>
      </c>
      <c r="D4" s="218">
        <v>0</v>
      </c>
      <c r="E4" s="185">
        <f>Guantes_e_insumos_generales[[#This Row],[Stock en uso]]+Guantes_e_insumos_generales[[#This Row],[Stock nuevo]]</f>
        <v>0</v>
      </c>
      <c r="F4" s="219" t="s">
        <v>929</v>
      </c>
      <c r="G4" s="181">
        <v>43997</v>
      </c>
      <c r="H4" s="219">
        <v>6</v>
      </c>
      <c r="I4" s="210"/>
      <c r="J4" s="208"/>
      <c r="K4" s="222" t="str">
        <f>CONCATENATE(Guantes_e_insumos_generales[[#This Row],[Material]]," ",Guantes_e_insumos_generales[[#This Row],[Especificación]])</f>
        <v xml:space="preserve">Alcohol  </v>
      </c>
      <c r="L4" s="80"/>
      <c r="M4" s="80"/>
    </row>
    <row r="5" spans="1:13" ht="15.75" x14ac:dyDescent="0.25">
      <c r="A5" s="282" t="s">
        <v>262</v>
      </c>
      <c r="B5" s="285"/>
      <c r="C5" s="286">
        <v>3</v>
      </c>
      <c r="D5" s="286">
        <v>3</v>
      </c>
      <c r="E5" s="281">
        <f>Guantes_e_insumos_generales[[#This Row],[Stock en uso]]+Guantes_e_insumos_generales[[#This Row],[Stock nuevo]]</f>
        <v>6</v>
      </c>
      <c r="F5" s="282" t="s">
        <v>929</v>
      </c>
      <c r="G5" s="319">
        <v>44179</v>
      </c>
      <c r="H5" s="282">
        <v>12</v>
      </c>
      <c r="I5" s="210"/>
      <c r="J5" s="280"/>
      <c r="K5" s="289" t="str">
        <f>CONCATENATE(Guantes_e_insumos_generales[[#This Row],[Material]]," ",Guantes_e_insumos_generales[[#This Row],[Especificación]])</f>
        <v xml:space="preserve">Alcohol  </v>
      </c>
      <c r="L5" s="80"/>
      <c r="M5" s="80"/>
    </row>
    <row r="6" spans="1:13" ht="15.75" hidden="1" x14ac:dyDescent="0.2">
      <c r="A6" s="114" t="s">
        <v>664</v>
      </c>
      <c r="B6" s="211" t="s">
        <v>661</v>
      </c>
      <c r="C6" s="212">
        <v>0</v>
      </c>
      <c r="D6" s="212"/>
      <c r="E6" s="213">
        <f>Guantes_e_insumos_generales[[#This Row],[Stock en uso]]+Guantes_e_insumos_generales[[#This Row],[Stock nuevo]]</f>
        <v>0</v>
      </c>
      <c r="F6" s="114" t="s">
        <v>65</v>
      </c>
      <c r="G6" s="195"/>
      <c r="H6" s="114"/>
      <c r="I6" s="15"/>
      <c r="J6" s="120">
        <v>44013</v>
      </c>
      <c r="K6" s="214" t="str">
        <f>CONCATENATE(Guantes_e_insumos_generales[[#This Row],[Material]]," ",Guantes_e_insumos_generales[[#This Row],[Especificación]])</f>
        <v>Bidones Residuos Chicos</v>
      </c>
      <c r="L6" s="80"/>
      <c r="M6" s="80"/>
    </row>
    <row r="7" spans="1:13" ht="15.75" x14ac:dyDescent="0.2">
      <c r="A7" s="114" t="s">
        <v>664</v>
      </c>
      <c r="B7" s="215" t="s">
        <v>665</v>
      </c>
      <c r="C7" s="212"/>
      <c r="D7" s="212">
        <v>3</v>
      </c>
      <c r="E7" s="213">
        <f>Guantes_e_insumos_generales[[#This Row],[Stock en uso]]+Guantes_e_insumos_generales[[#This Row],[Stock nuevo]]</f>
        <v>3</v>
      </c>
      <c r="F7" s="114" t="s">
        <v>65</v>
      </c>
      <c r="G7" s="195"/>
      <c r="H7" s="114"/>
      <c r="I7" s="15"/>
      <c r="J7" s="19"/>
      <c r="K7" s="214" t="str">
        <f>CONCATENATE(Guantes_e_insumos_generales[[#This Row],[Material]]," ",Guantes_e_insumos_generales[[#This Row],[Especificación]])</f>
        <v>Bidones Residuos 20 Lt</v>
      </c>
      <c r="L7" s="80"/>
      <c r="M7" s="80"/>
    </row>
    <row r="8" spans="1:13" ht="15.75" hidden="1" x14ac:dyDescent="0.25">
      <c r="A8" s="229" t="s">
        <v>664</v>
      </c>
      <c r="B8" s="230" t="s">
        <v>665</v>
      </c>
      <c r="C8" s="231">
        <v>0</v>
      </c>
      <c r="D8" s="231"/>
      <c r="E8" s="174">
        <f>Guantes_e_insumos_generales[[#This Row],[Stock en uso]]+Guantes_e_insumos_generales[[#This Row],[Stock nuevo]]</f>
        <v>0</v>
      </c>
      <c r="F8" s="114" t="s">
        <v>65</v>
      </c>
      <c r="G8" s="186">
        <v>44047</v>
      </c>
      <c r="H8" s="229">
        <v>10</v>
      </c>
      <c r="I8" s="210" t="s">
        <v>1037</v>
      </c>
      <c r="J8" s="302">
        <v>44154</v>
      </c>
      <c r="K8" s="232" t="str">
        <f>CONCATENATE(Guantes_e_insumos_generales[[#This Row],[Material]]," ",Guantes_e_insumos_generales[[#This Row],[Especificación]])</f>
        <v>Bidones Residuos 20 Lt</v>
      </c>
      <c r="L8" s="80"/>
      <c r="M8" s="80"/>
    </row>
    <row r="9" spans="1:13" ht="15.75" x14ac:dyDescent="0.25">
      <c r="A9" s="229" t="s">
        <v>664</v>
      </c>
      <c r="B9" s="243" t="s">
        <v>661</v>
      </c>
      <c r="C9" s="231"/>
      <c r="D9" s="231">
        <v>0</v>
      </c>
      <c r="E9" s="174">
        <f>Guantes_e_insumos_generales[[#This Row],[Stock en uso]]+Guantes_e_insumos_generales[[#This Row],[Stock nuevo]]</f>
        <v>0</v>
      </c>
      <c r="F9" s="114" t="s">
        <v>65</v>
      </c>
      <c r="G9" s="258">
        <v>44047</v>
      </c>
      <c r="H9" s="229">
        <v>2</v>
      </c>
      <c r="I9" s="184"/>
      <c r="J9" s="208"/>
      <c r="K9" s="244" t="str">
        <f>CONCATENATE(Guantes_e_insumos_generales[[#This Row],[Material]]," ",Guantes_e_insumos_generales[[#This Row],[Especificación]])</f>
        <v>Bidones Residuos Chicos</v>
      </c>
      <c r="L9" s="80"/>
      <c r="M9" s="80"/>
    </row>
    <row r="10" spans="1:13" ht="15.75" x14ac:dyDescent="0.2">
      <c r="A10" s="114" t="s">
        <v>619</v>
      </c>
      <c r="B10" s="211" t="s">
        <v>611</v>
      </c>
      <c r="C10" s="212"/>
      <c r="D10" s="212">
        <v>45</v>
      </c>
      <c r="E10" s="213">
        <f>Guantes_e_insumos_generales[[#This Row],[Stock en uso]]+Guantes_e_insumos_generales[[#This Row],[Stock nuevo]]</f>
        <v>45</v>
      </c>
      <c r="F10" s="114" t="s">
        <v>65</v>
      </c>
      <c r="G10" s="89">
        <v>43650</v>
      </c>
      <c r="H10" s="114"/>
      <c r="I10" s="15"/>
      <c r="J10" s="19"/>
      <c r="K10" s="214" t="str">
        <f>CONCATENATE(Guantes_e_insumos_generales[[#This Row],[Material]]," ",Guantes_e_insumos_generales[[#This Row],[Especificación]])</f>
        <v>Bolsas Amarillas Chicas</v>
      </c>
      <c r="L10" s="80"/>
      <c r="M10" s="80"/>
    </row>
    <row r="11" spans="1:13" ht="15.75" x14ac:dyDescent="0.2">
      <c r="A11" s="114" t="s">
        <v>619</v>
      </c>
      <c r="B11" s="215" t="s">
        <v>612</v>
      </c>
      <c r="C11" s="212"/>
      <c r="D11" s="212">
        <v>44</v>
      </c>
      <c r="E11" s="213">
        <f>Guantes_e_insumos_generales[[#This Row],[Stock en uso]]+Guantes_e_insumos_generales[[#This Row],[Stock nuevo]]</f>
        <v>44</v>
      </c>
      <c r="F11" s="114" t="s">
        <v>65</v>
      </c>
      <c r="G11" s="63"/>
      <c r="H11" s="114"/>
      <c r="I11" s="15"/>
      <c r="J11" s="19"/>
      <c r="K11" s="214" t="str">
        <f>CONCATENATE(Guantes_e_insumos_generales[[#This Row],[Material]]," ",Guantes_e_insumos_generales[[#This Row],[Especificación]])</f>
        <v>Bolsas Amarillas Grandes</v>
      </c>
      <c r="L11" s="80"/>
      <c r="M11" s="80"/>
    </row>
    <row r="12" spans="1:13" ht="15.75" hidden="1" x14ac:dyDescent="0.25">
      <c r="A12" s="114" t="s">
        <v>607</v>
      </c>
      <c r="B12" s="116"/>
      <c r="C12" s="209">
        <v>0</v>
      </c>
      <c r="D12" s="209"/>
      <c r="E12" s="56">
        <f>Guantes_e_insumos_generales[[#This Row],[Stock en uso]]+Guantes_e_insumos_generales[[#This Row],[Stock nuevo]]</f>
        <v>0</v>
      </c>
      <c r="F12" s="96" t="s">
        <v>399</v>
      </c>
      <c r="G12" s="87"/>
      <c r="H12" s="96"/>
      <c r="I12" s="15"/>
      <c r="J12" s="37">
        <v>44013</v>
      </c>
      <c r="K12" s="49" t="str">
        <f>CONCATENATE(Guantes_e_insumos_generales[[#This Row],[Material]]," ",Guantes_e_insumos_generales[[#This Row],[Especificación]])</f>
        <v xml:space="preserve">Detergente No Ionico </v>
      </c>
      <c r="L12" s="80"/>
      <c r="M12" s="80"/>
    </row>
    <row r="13" spans="1:13" ht="15.75" hidden="1" x14ac:dyDescent="0.25">
      <c r="A13" s="114" t="s">
        <v>616</v>
      </c>
      <c r="B13" s="116" t="s">
        <v>615</v>
      </c>
      <c r="C13" s="209">
        <v>0</v>
      </c>
      <c r="D13" s="209"/>
      <c r="E13" s="56">
        <f>Guantes_e_insumos_generales[[#This Row],[Stock en uso]]+Guantes_e_insumos_generales[[#This Row],[Stock nuevo]]</f>
        <v>0</v>
      </c>
      <c r="F13" s="96" t="s">
        <v>65</v>
      </c>
      <c r="G13" s="87"/>
      <c r="H13" s="96"/>
      <c r="I13" s="15"/>
      <c r="J13" s="37">
        <v>44013</v>
      </c>
      <c r="K13" s="49" t="str">
        <f>CONCATENATE(Guantes_e_insumos_generales[[#This Row],[Material]]," ",Guantes_e_insumos_generales[[#This Row],[Especificación]])</f>
        <v>Filtros Osmoion 5 Micrones</v>
      </c>
      <c r="L13" s="80"/>
      <c r="M13" s="80"/>
    </row>
    <row r="14" spans="1:13" ht="15.75" x14ac:dyDescent="0.2">
      <c r="A14" s="114" t="s">
        <v>618</v>
      </c>
      <c r="B14" s="215" t="s">
        <v>617</v>
      </c>
      <c r="C14" s="212"/>
      <c r="D14" s="212">
        <v>1</v>
      </c>
      <c r="E14" s="213">
        <f>Guantes_e_insumos_generales[[#This Row],[Stock en uso]]+Guantes_e_insumos_generales[[#This Row],[Stock nuevo]]</f>
        <v>1</v>
      </c>
      <c r="F14" s="114" t="s">
        <v>65</v>
      </c>
      <c r="G14" s="63"/>
      <c r="H14" s="114"/>
      <c r="I14" s="15"/>
      <c r="J14" s="19"/>
      <c r="K14" s="214" t="str">
        <f>CONCATENATE(Guantes_e_insumos_generales[[#This Row],[Material]]," ",Guantes_e_insumos_generales[[#This Row],[Especificación]])</f>
        <v>Cartucho Osmoion Resina</v>
      </c>
      <c r="L14" s="80"/>
      <c r="M14" s="80"/>
    </row>
    <row r="15" spans="1:13" ht="15.75" x14ac:dyDescent="0.25">
      <c r="A15" s="229" t="s">
        <v>607</v>
      </c>
      <c r="B15" s="243"/>
      <c r="C15" s="231"/>
      <c r="D15" s="231">
        <v>1000</v>
      </c>
      <c r="E15" s="174">
        <f>Guantes_e_insumos_generales[[#This Row],[Stock en uso]]+Guantes_e_insumos_generales[[#This Row],[Stock nuevo]]</f>
        <v>1000</v>
      </c>
      <c r="F15" s="229" t="s">
        <v>149</v>
      </c>
      <c r="G15" s="258">
        <v>44082</v>
      </c>
      <c r="H15" s="229">
        <v>1000</v>
      </c>
      <c r="I15" s="184"/>
      <c r="J15" s="208"/>
      <c r="K15" s="244" t="str">
        <f>CONCATENATE(Guantes_e_insumos_generales[[#This Row],[Material]]," ",Guantes_e_insumos_generales[[#This Row],[Especificación]])</f>
        <v xml:space="preserve">Detergente No Ionico </v>
      </c>
      <c r="L15" s="80"/>
      <c r="M15" s="80"/>
    </row>
    <row r="16" spans="1:13" ht="15.75" x14ac:dyDescent="0.25">
      <c r="A16" s="229" t="s">
        <v>607</v>
      </c>
      <c r="B16" s="243"/>
      <c r="C16" s="231"/>
      <c r="D16" s="231">
        <v>1000</v>
      </c>
      <c r="E16" s="174">
        <f>Guantes_e_insumos_generales[[#This Row],[Stock en uso]]+Guantes_e_insumos_generales[[#This Row],[Stock nuevo]]</f>
        <v>1000</v>
      </c>
      <c r="F16" s="229" t="s">
        <v>149</v>
      </c>
      <c r="G16" s="258">
        <v>44084</v>
      </c>
      <c r="H16" s="229">
        <v>1000</v>
      </c>
      <c r="I16" s="184"/>
      <c r="J16" s="208"/>
      <c r="K16" s="244" t="str">
        <f>CONCATENATE(Guantes_e_insumos_generales[[#This Row],[Material]]," ",Guantes_e_insumos_generales[[#This Row],[Especificación]])</f>
        <v xml:space="preserve">Detergente No Ionico </v>
      </c>
      <c r="L16" s="80"/>
      <c r="M16" s="80"/>
    </row>
    <row r="17" spans="1:13" ht="15.75" x14ac:dyDescent="0.2">
      <c r="A17" s="114" t="s">
        <v>616</v>
      </c>
      <c r="B17" s="215" t="s">
        <v>615</v>
      </c>
      <c r="C17" s="216"/>
      <c r="D17" s="216">
        <v>7</v>
      </c>
      <c r="E17" s="213">
        <f>Guantes_e_insumos_generales[[#This Row],[Stock en uso]]+Guantes_e_insumos_generales[[#This Row],[Stock nuevo]]</f>
        <v>7</v>
      </c>
      <c r="F17" s="138" t="s">
        <v>65</v>
      </c>
      <c r="G17" s="195">
        <v>44013</v>
      </c>
      <c r="H17" s="138">
        <v>10</v>
      </c>
      <c r="I17" s="210"/>
      <c r="J17" s="24"/>
      <c r="K17" s="217" t="str">
        <f>CONCATENATE(Guantes_e_insumos_generales[[#This Row],[Material]]," ",Guantes_e_insumos_generales[[#This Row],[Especificación]])</f>
        <v>Filtros Osmoion 5 Micrones</v>
      </c>
      <c r="L17" s="80"/>
      <c r="M17" s="80"/>
    </row>
    <row r="18" spans="1:13" ht="15.75" x14ac:dyDescent="0.2">
      <c r="A18" s="114" t="s">
        <v>616</v>
      </c>
      <c r="B18" s="215" t="s">
        <v>610</v>
      </c>
      <c r="C18" s="212"/>
      <c r="D18" s="212">
        <v>1</v>
      </c>
      <c r="E18" s="213">
        <f>Guantes_e_insumos_generales[[#This Row],[Stock en uso]]+Guantes_e_insumos_generales[[#This Row],[Stock nuevo]]</f>
        <v>1</v>
      </c>
      <c r="F18" s="114" t="s">
        <v>65</v>
      </c>
      <c r="G18" s="63"/>
      <c r="H18" s="114"/>
      <c r="I18" s="15"/>
      <c r="J18" s="19"/>
      <c r="K18" s="214" t="str">
        <f>CONCATENATE(Guantes_e_insumos_generales[[#This Row],[Material]]," ",Guantes_e_insumos_generales[[#This Row],[Especificación]])</f>
        <v>Filtros Osmoion Carbon</v>
      </c>
      <c r="L18" s="80"/>
      <c r="M18" s="80"/>
    </row>
    <row r="19" spans="1:13" ht="15.75" hidden="1" x14ac:dyDescent="0.2">
      <c r="A19" s="114" t="s">
        <v>636</v>
      </c>
      <c r="B19" s="211" t="s">
        <v>634</v>
      </c>
      <c r="C19" s="212">
        <v>0</v>
      </c>
      <c r="D19" s="212"/>
      <c r="E19" s="213">
        <f>Guantes_e_insumos_generales[[#This Row],[Stock en uso]]+Guantes_e_insumos_generales[[#This Row],[Stock nuevo]]</f>
        <v>0</v>
      </c>
      <c r="F19" s="114" t="s">
        <v>65</v>
      </c>
      <c r="G19" s="89">
        <v>43784</v>
      </c>
      <c r="H19" s="114"/>
      <c r="I19" s="15" t="s">
        <v>771</v>
      </c>
      <c r="J19" s="120">
        <v>44049</v>
      </c>
      <c r="K19" s="214" t="str">
        <f>CONCATENATE(Guantes_e_insumos_generales[[#This Row],[Material]]," ",Guantes_e_insumos_generales[[#This Row],[Especificación]])</f>
        <v>Guantes De Latex Talle S</v>
      </c>
      <c r="L19" s="80"/>
      <c r="M19" s="80"/>
    </row>
    <row r="20" spans="1:13" ht="15.75" hidden="1" x14ac:dyDescent="0.2">
      <c r="A20" s="114" t="s">
        <v>635</v>
      </c>
      <c r="B20" s="211" t="s">
        <v>633</v>
      </c>
      <c r="C20" s="212">
        <v>0</v>
      </c>
      <c r="D20" s="212"/>
      <c r="E20" s="213">
        <f>Guantes_e_insumos_generales[[#This Row],[Stock en uso]]+Guantes_e_insumos_generales[[#This Row],[Stock nuevo]]</f>
        <v>0</v>
      </c>
      <c r="F20" s="114" t="s">
        <v>65</v>
      </c>
      <c r="G20" s="89">
        <v>43902</v>
      </c>
      <c r="H20" s="114"/>
      <c r="I20" s="15"/>
      <c r="J20" s="120">
        <v>44049</v>
      </c>
      <c r="K20" s="214" t="str">
        <f>CONCATENATE(Guantes_e_insumos_generales[[#This Row],[Material]]," ",Guantes_e_insumos_generales[[#This Row],[Especificación]])</f>
        <v>Guantes De Nitrilo Talle L Negro</v>
      </c>
      <c r="L20" s="80"/>
      <c r="M20" s="80"/>
    </row>
    <row r="21" spans="1:13" ht="15.75" hidden="1" x14ac:dyDescent="0.2">
      <c r="A21" s="114" t="s">
        <v>635</v>
      </c>
      <c r="B21" s="211" t="s">
        <v>632</v>
      </c>
      <c r="C21" s="212"/>
      <c r="D21" s="212"/>
      <c r="E21" s="213">
        <f>Guantes_e_insumos_generales[[#This Row],[Stock en uso]]+Guantes_e_insumos_generales[[#This Row],[Stock nuevo]]</f>
        <v>0</v>
      </c>
      <c r="F21" s="114" t="s">
        <v>65</v>
      </c>
      <c r="G21" s="89">
        <v>43902</v>
      </c>
      <c r="H21" s="114"/>
      <c r="I21" s="15"/>
      <c r="J21" s="120">
        <v>44049</v>
      </c>
      <c r="K21" s="214" t="str">
        <f>CONCATENATE(Guantes_e_insumos_generales[[#This Row],[Material]]," ",Guantes_e_insumos_generales[[#This Row],[Especificación]])</f>
        <v>Guantes De Nitrilo Talle L Verde</v>
      </c>
      <c r="L21" s="80"/>
      <c r="M21" s="80"/>
    </row>
    <row r="22" spans="1:13" ht="15.75" x14ac:dyDescent="0.2">
      <c r="A22" s="207" t="s">
        <v>616</v>
      </c>
      <c r="B22" s="221" t="s">
        <v>610</v>
      </c>
      <c r="C22" s="218"/>
      <c r="D22" s="218">
        <v>2</v>
      </c>
      <c r="E22" s="213">
        <f>Guantes_e_insumos_generales[[#This Row],[Stock en uso]]+Guantes_e_insumos_generales[[#This Row],[Stock nuevo]]</f>
        <v>2</v>
      </c>
      <c r="F22" s="138" t="s">
        <v>65</v>
      </c>
      <c r="G22" s="195">
        <v>44013</v>
      </c>
      <c r="H22" s="219">
        <v>2</v>
      </c>
      <c r="I22" s="210"/>
      <c r="J22" s="208"/>
      <c r="K22" s="222" t="str">
        <f>CONCATENATE(Guantes_e_insumos_generales[[#This Row],[Material]]," ",Guantes_e_insumos_generales[[#This Row],[Especificación]])</f>
        <v>Filtros Osmoion Carbon</v>
      </c>
      <c r="L22" s="80"/>
      <c r="M22" s="80"/>
    </row>
    <row r="23" spans="1:13" ht="15.75" hidden="1" x14ac:dyDescent="0.25">
      <c r="A23" s="114" t="s">
        <v>635</v>
      </c>
      <c r="B23" s="115" t="s">
        <v>629</v>
      </c>
      <c r="C23" s="209">
        <v>0</v>
      </c>
      <c r="D23" s="209"/>
      <c r="E23" s="56">
        <f>Guantes_e_insumos_generales[[#This Row],[Stock en uso]]+Guantes_e_insumos_generales[[#This Row],[Stock nuevo]]</f>
        <v>0</v>
      </c>
      <c r="F23" s="96" t="s">
        <v>65</v>
      </c>
      <c r="G23" s="90">
        <v>43784</v>
      </c>
      <c r="H23" s="96"/>
      <c r="I23" s="15"/>
      <c r="J23" s="120">
        <v>43977</v>
      </c>
      <c r="K23" s="49" t="str">
        <f>CONCATENATE(Guantes_e_insumos_generales[[#This Row],[Material]]," ",Guantes_e_insumos_generales[[#This Row],[Especificación]])</f>
        <v>Guantes De Nitrilo Talle M Verde</v>
      </c>
      <c r="L23" s="80"/>
      <c r="M23" s="80"/>
    </row>
    <row r="24" spans="1:13" ht="15.75" hidden="1" x14ac:dyDescent="0.25">
      <c r="A24" s="114" t="s">
        <v>635</v>
      </c>
      <c r="B24" s="115" t="s">
        <v>631</v>
      </c>
      <c r="C24" s="209">
        <v>0</v>
      </c>
      <c r="D24" s="209"/>
      <c r="E24" s="56">
        <f>Guantes_e_insumos_generales[[#This Row],[Stock en uso]]+Guantes_e_insumos_generales[[#This Row],[Stock nuevo]]</f>
        <v>0</v>
      </c>
      <c r="F24" s="96" t="s">
        <v>65</v>
      </c>
      <c r="G24" s="90">
        <v>43902</v>
      </c>
      <c r="H24" s="96"/>
      <c r="I24" s="15"/>
      <c r="J24" s="120">
        <v>43977</v>
      </c>
      <c r="K24" s="49" t="str">
        <f>CONCATENATE(Guantes_e_insumos_generales[[#This Row],[Material]]," ",Guantes_e_insumos_generales[[#This Row],[Especificación]])</f>
        <v>Guantes De Nitrilo Talle L Violeta</v>
      </c>
      <c r="L24" s="80"/>
      <c r="M24" s="80"/>
    </row>
    <row r="25" spans="1:13" ht="15.75" x14ac:dyDescent="0.2">
      <c r="A25" s="117" t="s">
        <v>625</v>
      </c>
      <c r="B25" s="211" t="s">
        <v>659</v>
      </c>
      <c r="C25" s="212"/>
      <c r="D25" s="212">
        <v>48</v>
      </c>
      <c r="E25" s="213">
        <f>Guantes_e_insumos_generales[[#This Row],[Stock en uso]]+Guantes_e_insumos_generales[[#This Row],[Stock nuevo]]</f>
        <v>48</v>
      </c>
      <c r="F25" s="114" t="s">
        <v>65</v>
      </c>
      <c r="G25" s="89">
        <v>43563</v>
      </c>
      <c r="H25" s="114"/>
      <c r="I25" s="15"/>
      <c r="J25" s="19"/>
      <c r="K25" s="214" t="str">
        <f>CONCATENATE(Guantes_e_insumos_generales[[#This Row],[Material]]," ",Guantes_e_insumos_generales[[#This Row],[Especificación]])</f>
        <v>Filtros Para Jeringa 0,45 µm De Nylon</v>
      </c>
      <c r="L25" s="80"/>
      <c r="M25" s="80"/>
    </row>
    <row r="26" spans="1:13" ht="15.75" hidden="1" x14ac:dyDescent="0.2">
      <c r="A26" s="114" t="s">
        <v>635</v>
      </c>
      <c r="B26" s="211" t="s">
        <v>628</v>
      </c>
      <c r="C26" s="212">
        <v>0</v>
      </c>
      <c r="D26" s="212"/>
      <c r="E26" s="213">
        <f>Guantes_e_insumos_generales[[#This Row],[Stock en uso]]+Guantes_e_insumos_generales[[#This Row],[Stock nuevo]]</f>
        <v>0</v>
      </c>
      <c r="F26" s="114" t="s">
        <v>65</v>
      </c>
      <c r="G26" s="89">
        <v>43902</v>
      </c>
      <c r="H26" s="114"/>
      <c r="I26" s="15"/>
      <c r="J26" s="120">
        <v>44049</v>
      </c>
      <c r="K26" s="214" t="str">
        <f>CONCATENATE(Guantes_e_insumos_generales[[#This Row],[Material]]," ",Guantes_e_insumos_generales[[#This Row],[Especificación]])</f>
        <v>Guantes De Nitrilo Talle M Violeta</v>
      </c>
      <c r="L26" s="80"/>
      <c r="M26" s="80"/>
    </row>
    <row r="27" spans="1:13" ht="15.75" hidden="1" x14ac:dyDescent="0.25">
      <c r="A27" s="114" t="s">
        <v>635</v>
      </c>
      <c r="B27" s="115" t="s">
        <v>769</v>
      </c>
      <c r="C27" s="209">
        <v>0</v>
      </c>
      <c r="D27" s="209"/>
      <c r="E27" s="56">
        <f>Guantes_e_insumos_generales[[#This Row],[Stock en uso]]+Guantes_e_insumos_generales[[#This Row],[Stock nuevo]]</f>
        <v>0</v>
      </c>
      <c r="F27" s="96" t="s">
        <v>65</v>
      </c>
      <c r="G27" s="90">
        <v>43902</v>
      </c>
      <c r="H27" s="96"/>
      <c r="I27" s="15"/>
      <c r="J27" s="120">
        <v>43977</v>
      </c>
      <c r="K27" s="49" t="str">
        <f>CONCATENATE(Guantes_e_insumos_generales[[#This Row],[Material]]," ",Guantes_e_insumos_generales[[#This Row],[Especificación]])</f>
        <v>Guantes De Nitrilo Talle XL Violeta</v>
      </c>
      <c r="L27" s="80"/>
      <c r="M27" s="80"/>
    </row>
    <row r="28" spans="1:13" ht="15.75" hidden="1" x14ac:dyDescent="0.2">
      <c r="A28" s="114" t="s">
        <v>635</v>
      </c>
      <c r="B28" s="211" t="s">
        <v>630</v>
      </c>
      <c r="C28" s="212"/>
      <c r="D28" s="212"/>
      <c r="E28" s="213">
        <f>Guantes_e_insumos_generales[[#This Row],[Stock en uso]]+Guantes_e_insumos_generales[[#This Row],[Stock nuevo]]</f>
        <v>0</v>
      </c>
      <c r="F28" s="114" t="s">
        <v>65</v>
      </c>
      <c r="G28" s="89">
        <v>43902</v>
      </c>
      <c r="H28" s="114"/>
      <c r="I28" s="15"/>
      <c r="J28" s="37">
        <v>44154</v>
      </c>
      <c r="K28" s="214" t="str">
        <f>CONCATENATE(Guantes_e_insumos_generales[[#This Row],[Material]]," ",Guantes_e_insumos_generales[[#This Row],[Especificación]])</f>
        <v>Guantes De Nitrilo Talle M Negro</v>
      </c>
      <c r="L28" s="80"/>
      <c r="M28" s="80"/>
    </row>
    <row r="29" spans="1:13" ht="15.75" hidden="1" x14ac:dyDescent="0.2">
      <c r="A29" s="114" t="s">
        <v>635</v>
      </c>
      <c r="B29" s="211" t="s">
        <v>629</v>
      </c>
      <c r="C29" s="212"/>
      <c r="D29" s="212"/>
      <c r="E29" s="213">
        <f>Guantes_e_insumos_generales[[#This Row],[Stock en uso]]+Guantes_e_insumos_generales[[#This Row],[Stock nuevo]]</f>
        <v>0</v>
      </c>
      <c r="F29" s="114" t="s">
        <v>65</v>
      </c>
      <c r="G29" s="89">
        <v>43902</v>
      </c>
      <c r="H29" s="114"/>
      <c r="I29" s="15"/>
      <c r="J29" s="37">
        <v>44154</v>
      </c>
      <c r="K29" s="214" t="str">
        <f>CONCATENATE(Guantes_e_insumos_generales[[#This Row],[Material]]," ",Guantes_e_insumos_generales[[#This Row],[Especificación]])</f>
        <v>Guantes De Nitrilo Talle M Verde</v>
      </c>
      <c r="L29" s="80"/>
      <c r="M29" s="80"/>
    </row>
    <row r="30" spans="1:13" ht="15.75" hidden="1" x14ac:dyDescent="0.2">
      <c r="A30" s="114" t="s">
        <v>635</v>
      </c>
      <c r="B30" s="211" t="s">
        <v>626</v>
      </c>
      <c r="C30" s="212">
        <v>0</v>
      </c>
      <c r="D30" s="212"/>
      <c r="E30" s="213">
        <f>Guantes_e_insumos_generales[[#This Row],[Stock en uso]]+Guantes_e_insumos_generales[[#This Row],[Stock nuevo]]</f>
        <v>0</v>
      </c>
      <c r="F30" s="114" t="s">
        <v>65</v>
      </c>
      <c r="G30" s="89">
        <v>43902</v>
      </c>
      <c r="H30" s="114"/>
      <c r="I30" s="15"/>
      <c r="J30" s="120">
        <v>44049</v>
      </c>
      <c r="K30" s="214" t="str">
        <f>CONCATENATE(Guantes_e_insumos_generales[[#This Row],[Material]]," ",Guantes_e_insumos_generales[[#This Row],[Especificación]])</f>
        <v>Guantes De Nitrilo Talle S Violeta</v>
      </c>
      <c r="L30" s="80"/>
      <c r="M30" s="80"/>
    </row>
    <row r="31" spans="1:13" ht="15.75" x14ac:dyDescent="0.2">
      <c r="A31" s="114" t="s">
        <v>605</v>
      </c>
      <c r="B31" s="215"/>
      <c r="C31" s="212">
        <v>170</v>
      </c>
      <c r="D31" s="212"/>
      <c r="E31" s="213">
        <f>Guantes_e_insumos_generales[[#This Row],[Stock en uso]]+Guantes_e_insumos_generales[[#This Row],[Stock nuevo]]</f>
        <v>170</v>
      </c>
      <c r="F31" s="114" t="s">
        <v>7</v>
      </c>
      <c r="G31" s="63"/>
      <c r="H31" s="114"/>
      <c r="I31" s="15"/>
      <c r="J31" s="19"/>
      <c r="K31" s="214" t="str">
        <f>CONCATENATE(Guantes_e_insumos_generales[[#This Row],[Material]]," ",Guantes_e_insumos_generales[[#This Row],[Especificación]])</f>
        <v xml:space="preserve">Grasa Siliconada </v>
      </c>
      <c r="L31" s="80"/>
      <c r="M31" s="80"/>
    </row>
    <row r="32" spans="1:13" ht="15.75" hidden="1" x14ac:dyDescent="0.2">
      <c r="A32" s="114" t="s">
        <v>635</v>
      </c>
      <c r="B32" s="211" t="s">
        <v>627</v>
      </c>
      <c r="C32" s="212"/>
      <c r="D32" s="212"/>
      <c r="E32" s="213">
        <f>Guantes_e_insumos_generales[[#This Row],[Stock en uso]]+Guantes_e_insumos_generales[[#This Row],[Stock nuevo]]</f>
        <v>0</v>
      </c>
      <c r="F32" s="114" t="s">
        <v>65</v>
      </c>
      <c r="G32" s="89">
        <v>43784</v>
      </c>
      <c r="H32" s="114"/>
      <c r="I32" s="15"/>
      <c r="J32" s="37">
        <v>44154</v>
      </c>
      <c r="K32" s="214" t="str">
        <f>CONCATENATE(Guantes_e_insumos_generales[[#This Row],[Material]]," ",Guantes_e_insumos_generales[[#This Row],[Especificación]])</f>
        <v>Guantes De Nitrilo Talle S Verde</v>
      </c>
      <c r="L32" s="80"/>
      <c r="M32" s="80"/>
    </row>
    <row r="33" spans="1:13" ht="15.75" hidden="1" x14ac:dyDescent="0.25">
      <c r="A33" s="207" t="s">
        <v>635</v>
      </c>
      <c r="B33" s="243" t="s">
        <v>633</v>
      </c>
      <c r="C33" s="231"/>
      <c r="D33" s="231"/>
      <c r="E33" s="174">
        <f>Guantes_e_insumos_generales[[#This Row],[Stock en uso]]+Guantes_e_insumos_generales[[#This Row],[Stock nuevo]]</f>
        <v>0</v>
      </c>
      <c r="F33" s="229" t="s">
        <v>65</v>
      </c>
      <c r="G33" s="186">
        <v>44054</v>
      </c>
      <c r="H33" s="229">
        <v>1</v>
      </c>
      <c r="I33" s="184"/>
      <c r="J33" s="37">
        <v>44154</v>
      </c>
      <c r="K33" s="244" t="str">
        <f>CONCATENATE(Guantes_e_insumos_generales[[#This Row],[Material]]," ",Guantes_e_insumos_generales[[#This Row],[Especificación]])</f>
        <v>Guantes De Nitrilo Talle L Negro</v>
      </c>
      <c r="L33" s="80"/>
      <c r="M33" s="80"/>
    </row>
    <row r="34" spans="1:13" ht="15.75" hidden="1" x14ac:dyDescent="0.25">
      <c r="A34" s="207" t="s">
        <v>635</v>
      </c>
      <c r="B34" s="243" t="s">
        <v>632</v>
      </c>
      <c r="C34" s="231"/>
      <c r="D34" s="231"/>
      <c r="E34" s="174">
        <f>Guantes_e_insumos_generales[[#This Row],[Stock en uso]]+Guantes_e_insumos_generales[[#This Row],[Stock nuevo]]</f>
        <v>0</v>
      </c>
      <c r="F34" s="229" t="s">
        <v>65</v>
      </c>
      <c r="G34" s="186">
        <v>44054</v>
      </c>
      <c r="H34" s="229">
        <v>2</v>
      </c>
      <c r="I34" s="184"/>
      <c r="J34" s="37">
        <v>44154</v>
      </c>
      <c r="K34" s="244" t="str">
        <f>CONCATENATE(Guantes_e_insumos_generales[[#This Row],[Material]]," ",Guantes_e_insumos_generales[[#This Row],[Especificación]])</f>
        <v>Guantes De Nitrilo Talle L Verde</v>
      </c>
      <c r="L34" s="80"/>
      <c r="M34" s="80"/>
    </row>
    <row r="35" spans="1:13" ht="15.75" hidden="1" x14ac:dyDescent="0.25">
      <c r="A35" s="207" t="s">
        <v>635</v>
      </c>
      <c r="B35" s="243" t="s">
        <v>630</v>
      </c>
      <c r="C35" s="231"/>
      <c r="D35" s="231"/>
      <c r="E35" s="174">
        <f>Guantes_e_insumos_generales[[#This Row],[Stock en uso]]+Guantes_e_insumos_generales[[#This Row],[Stock nuevo]]</f>
        <v>0</v>
      </c>
      <c r="F35" s="229" t="s">
        <v>65</v>
      </c>
      <c r="G35" s="186">
        <v>44054</v>
      </c>
      <c r="H35" s="229">
        <v>1</v>
      </c>
      <c r="I35" s="184"/>
      <c r="J35" s="37">
        <v>44154</v>
      </c>
      <c r="K35" s="244" t="str">
        <f>CONCATENATE(Guantes_e_insumos_generales[[#This Row],[Material]]," ",Guantes_e_insumos_generales[[#This Row],[Especificación]])</f>
        <v>Guantes De Nitrilo Talle M Negro</v>
      </c>
      <c r="L35" s="80"/>
      <c r="M35" s="80"/>
    </row>
    <row r="36" spans="1:13" ht="15.75" hidden="1" x14ac:dyDescent="0.25">
      <c r="A36" s="207" t="s">
        <v>635</v>
      </c>
      <c r="B36" s="243" t="s">
        <v>628</v>
      </c>
      <c r="C36" s="231"/>
      <c r="D36" s="231"/>
      <c r="E36" s="174">
        <f>Guantes_e_insumos_generales[[#This Row],[Stock en uso]]+Guantes_e_insumos_generales[[#This Row],[Stock nuevo]]</f>
        <v>0</v>
      </c>
      <c r="F36" s="229" t="s">
        <v>65</v>
      </c>
      <c r="G36" s="253">
        <v>44054</v>
      </c>
      <c r="H36" s="229">
        <v>3</v>
      </c>
      <c r="I36" s="184"/>
      <c r="J36" s="37">
        <v>44154</v>
      </c>
      <c r="K36" s="244" t="str">
        <f>CONCATENATE(Guantes_e_insumos_generales[[#This Row],[Material]]," ",Guantes_e_insumos_generales[[#This Row],[Especificación]])</f>
        <v>Guantes De Nitrilo Talle M Violeta</v>
      </c>
      <c r="L36" s="110"/>
      <c r="M36" s="80"/>
    </row>
    <row r="37" spans="1:13" ht="15.75" hidden="1" x14ac:dyDescent="0.25">
      <c r="A37" s="207" t="s">
        <v>635</v>
      </c>
      <c r="B37" s="243" t="s">
        <v>631</v>
      </c>
      <c r="C37" s="231"/>
      <c r="D37" s="231"/>
      <c r="E37" s="174">
        <f>Guantes_e_insumos_generales[[#This Row],[Stock en uso]]+Guantes_e_insumos_generales[[#This Row],[Stock nuevo]]</f>
        <v>0</v>
      </c>
      <c r="F37" s="229" t="s">
        <v>65</v>
      </c>
      <c r="G37" s="253">
        <v>44054</v>
      </c>
      <c r="H37" s="229">
        <v>3</v>
      </c>
      <c r="I37" s="184"/>
      <c r="J37" s="37">
        <v>44154</v>
      </c>
      <c r="K37" s="244" t="str">
        <f>CONCATENATE(Guantes_e_insumos_generales[[#This Row],[Material]]," ",Guantes_e_insumos_generales[[#This Row],[Especificación]])</f>
        <v>Guantes De Nitrilo Talle L Violeta</v>
      </c>
      <c r="L37" s="110"/>
      <c r="M37" s="80"/>
    </row>
    <row r="38" spans="1:13" ht="15.75" x14ac:dyDescent="0.25">
      <c r="A38" s="284" t="s">
        <v>635</v>
      </c>
      <c r="B38" s="285" t="s">
        <v>633</v>
      </c>
      <c r="C38" s="286">
        <v>0</v>
      </c>
      <c r="D38" s="286"/>
      <c r="E38" s="281">
        <f>Guantes_e_insumos_generales[[#This Row],[Stock en uso]]+Guantes_e_insumos_generales[[#This Row],[Stock nuevo]]</f>
        <v>0</v>
      </c>
      <c r="F38" s="114" t="s">
        <v>65</v>
      </c>
      <c r="G38" s="319">
        <v>44154</v>
      </c>
      <c r="H38" s="282">
        <v>200</v>
      </c>
      <c r="I38" s="288"/>
      <c r="J38" s="280"/>
      <c r="K38" s="289" t="str">
        <f>CONCATENATE(Guantes_e_insumos_generales[[#This Row],[Material]]," ",Guantes_e_insumos_generales[[#This Row],[Especificación]])</f>
        <v>Guantes De Nitrilo Talle L Negro</v>
      </c>
      <c r="L38" s="110"/>
      <c r="M38" s="80"/>
    </row>
    <row r="39" spans="1:13" ht="15.75" x14ac:dyDescent="0.25">
      <c r="A39" s="284" t="s">
        <v>635</v>
      </c>
      <c r="B39" s="285" t="s">
        <v>632</v>
      </c>
      <c r="C39" s="286">
        <v>50</v>
      </c>
      <c r="D39" s="286">
        <v>300</v>
      </c>
      <c r="E39" s="281">
        <f>Guantes_e_insumos_generales[[#This Row],[Stock en uso]]+Guantes_e_insumos_generales[[#This Row],[Stock nuevo]]</f>
        <v>350</v>
      </c>
      <c r="F39" s="114" t="s">
        <v>65</v>
      </c>
      <c r="G39" s="287">
        <v>44276</v>
      </c>
      <c r="H39" s="100">
        <v>500</v>
      </c>
      <c r="I39" s="210"/>
      <c r="J39" s="280"/>
      <c r="K39" s="289" t="str">
        <f>CONCATENATE(Guantes_e_insumos_generales[[#This Row],[Material]]," ",Guantes_e_insumos_generales[[#This Row],[Especificación]])</f>
        <v>Guantes De Nitrilo Talle L Verde</v>
      </c>
      <c r="L39" s="110"/>
      <c r="M39" s="80"/>
    </row>
    <row r="40" spans="1:13" ht="47.25" hidden="1" x14ac:dyDescent="0.25">
      <c r="A40" s="284" t="s">
        <v>635</v>
      </c>
      <c r="B40" s="285" t="s">
        <v>630</v>
      </c>
      <c r="C40" s="286">
        <v>0</v>
      </c>
      <c r="D40" s="286">
        <v>0</v>
      </c>
      <c r="E40" s="281">
        <f>Guantes_e_insumos_generales[[#This Row],[Stock en uso]]+Guantes_e_insumos_generales[[#This Row],[Stock nuevo]]</f>
        <v>0</v>
      </c>
      <c r="F40" s="114" t="s">
        <v>65</v>
      </c>
      <c r="G40" s="319">
        <v>44154</v>
      </c>
      <c r="H40" s="282">
        <v>200</v>
      </c>
      <c r="I40" s="288" t="s">
        <v>1048</v>
      </c>
      <c r="J40" s="371">
        <v>44276</v>
      </c>
      <c r="K40" s="289" t="str">
        <f>CONCATENATE(Guantes_e_insumos_generales[[#This Row],[Material]]," ",Guantes_e_insumos_generales[[#This Row],[Especificación]])</f>
        <v>Guantes De Nitrilo Talle M Negro</v>
      </c>
      <c r="L40" s="110"/>
      <c r="M40" s="80"/>
    </row>
    <row r="41" spans="1:13" ht="15.75" x14ac:dyDescent="0.25">
      <c r="A41" s="284" t="s">
        <v>635</v>
      </c>
      <c r="B41" s="274" t="s">
        <v>629</v>
      </c>
      <c r="C41" s="286">
        <v>10</v>
      </c>
      <c r="D41" s="286">
        <v>700</v>
      </c>
      <c r="E41" s="281">
        <f>Guantes_e_insumos_generales[[#This Row],[Stock en uso]]+Guantes_e_insumos_generales[[#This Row],[Stock nuevo]]</f>
        <v>710</v>
      </c>
      <c r="F41" s="114" t="s">
        <v>65</v>
      </c>
      <c r="G41" s="287">
        <v>44276</v>
      </c>
      <c r="H41" s="100">
        <v>800</v>
      </c>
      <c r="I41" s="210"/>
      <c r="J41" s="280"/>
      <c r="K41" s="289" t="str">
        <f>CONCATENATE(Guantes_e_insumos_generales[[#This Row],[Material]]," ",Guantes_e_insumos_generales[[#This Row],[Especificación]])</f>
        <v>Guantes De Nitrilo Talle M Verde</v>
      </c>
      <c r="L41" s="110"/>
      <c r="M41" s="80"/>
    </row>
    <row r="42" spans="1:13" ht="15.75" x14ac:dyDescent="0.25">
      <c r="A42" s="284" t="s">
        <v>635</v>
      </c>
      <c r="B42" s="285" t="s">
        <v>1046</v>
      </c>
      <c r="C42" s="286">
        <v>0</v>
      </c>
      <c r="D42" s="286">
        <v>0</v>
      </c>
      <c r="E42" s="281">
        <f>Guantes_e_insumos_generales[[#This Row],[Stock en uso]]+Guantes_e_insumos_generales[[#This Row],[Stock nuevo]]</f>
        <v>0</v>
      </c>
      <c r="F42" s="114" t="s">
        <v>65</v>
      </c>
      <c r="G42" s="287">
        <v>44154</v>
      </c>
      <c r="H42" s="282">
        <v>500</v>
      </c>
      <c r="I42" s="210"/>
      <c r="J42" s="280"/>
      <c r="K42" s="289" t="str">
        <f>CONCATENATE(Guantes_e_insumos_generales[[#This Row],[Material]]," ",Guantes_e_insumos_generales[[#This Row],[Especificación]])</f>
        <v>Guantes De Nitrilo Talle M violeta</v>
      </c>
      <c r="L42" s="110"/>
      <c r="M42" s="80"/>
    </row>
    <row r="43" spans="1:13" ht="15.75" hidden="1" x14ac:dyDescent="0.25">
      <c r="A43" s="284" t="s">
        <v>635</v>
      </c>
      <c r="B43" s="285" t="s">
        <v>632</v>
      </c>
      <c r="C43" s="286">
        <v>0</v>
      </c>
      <c r="D43" s="286">
        <v>0</v>
      </c>
      <c r="E43" s="281">
        <f>Guantes_e_insumos_generales[[#This Row],[Stock en uso]]+Guantes_e_insumos_generales[[#This Row],[Stock nuevo]]</f>
        <v>0</v>
      </c>
      <c r="F43" s="114" t="s">
        <v>65</v>
      </c>
      <c r="G43" s="287">
        <v>44154</v>
      </c>
      <c r="H43" s="100">
        <v>500</v>
      </c>
      <c r="I43" s="210" t="s">
        <v>1062</v>
      </c>
      <c r="J43" s="371">
        <v>44276</v>
      </c>
      <c r="K43" s="289" t="str">
        <f>CONCATENATE(Guantes_e_insumos_generales[[#This Row],[Material]]," ",Guantes_e_insumos_generales[[#This Row],[Especificación]])</f>
        <v>Guantes De Nitrilo Talle L Verde</v>
      </c>
      <c r="L43" s="110"/>
      <c r="M43" s="80"/>
    </row>
    <row r="44" spans="1:13" ht="15.75" hidden="1" x14ac:dyDescent="0.25">
      <c r="A44" s="114" t="s">
        <v>635</v>
      </c>
      <c r="B44" s="211" t="s">
        <v>627</v>
      </c>
      <c r="C44" s="212">
        <v>0</v>
      </c>
      <c r="D44" s="212">
        <v>0</v>
      </c>
      <c r="E44" s="213">
        <f>Guantes_e_insumos_generales[[#This Row],[Stock en uso]]+Guantes_e_insumos_generales[[#This Row],[Stock nuevo]]</f>
        <v>0</v>
      </c>
      <c r="F44" s="114" t="s">
        <v>65</v>
      </c>
      <c r="G44" s="89">
        <v>43902</v>
      </c>
      <c r="H44" s="114"/>
      <c r="I44" s="15"/>
      <c r="J44" s="37">
        <v>44276</v>
      </c>
      <c r="K44" s="214" t="str">
        <f>CONCATENATE(Guantes_e_insumos_generales[[#This Row],[Material]]," ",Guantes_e_insumos_generales[[#This Row],[Especificación]])</f>
        <v>Guantes De Nitrilo Talle S Verde</v>
      </c>
      <c r="L44" s="110"/>
      <c r="M44" s="80"/>
    </row>
    <row r="45" spans="1:13" ht="15.75" x14ac:dyDescent="0.25">
      <c r="A45" s="284" t="s">
        <v>635</v>
      </c>
      <c r="B45" s="285" t="s">
        <v>1044</v>
      </c>
      <c r="C45" s="286">
        <v>0</v>
      </c>
      <c r="D45" s="286">
        <v>100</v>
      </c>
      <c r="E45" s="281">
        <f>Guantes_e_insumos_generales[[#This Row],[Stock en uso]]+Guantes_e_insumos_generales[[#This Row],[Stock nuevo]]</f>
        <v>100</v>
      </c>
      <c r="F45" s="114" t="s">
        <v>65</v>
      </c>
      <c r="G45" s="287">
        <v>44154</v>
      </c>
      <c r="H45" s="282">
        <v>100</v>
      </c>
      <c r="I45" s="288"/>
      <c r="J45" s="280"/>
      <c r="K45" s="289" t="str">
        <f>CONCATENATE(Guantes_e_insumos_generales[[#This Row],[Material]]," ",Guantes_e_insumos_generales[[#This Row],[Especificación]])</f>
        <v>Guantes De Nitrilo Talle S Negro</v>
      </c>
      <c r="L45" s="110"/>
      <c r="M45" s="80"/>
    </row>
    <row r="46" spans="1:13" ht="15.75" x14ac:dyDescent="0.25">
      <c r="A46" s="284" t="s">
        <v>635</v>
      </c>
      <c r="B46" s="285" t="s">
        <v>1045</v>
      </c>
      <c r="C46" s="286">
        <v>0</v>
      </c>
      <c r="D46" s="286">
        <v>300</v>
      </c>
      <c r="E46" s="281">
        <f>Guantes_e_insumos_generales[[#This Row],[Stock en uso]]+Guantes_e_insumos_generales[[#This Row],[Stock nuevo]]</f>
        <v>300</v>
      </c>
      <c r="F46" s="114" t="s">
        <v>65</v>
      </c>
      <c r="G46" s="319">
        <v>44154</v>
      </c>
      <c r="H46" s="100">
        <v>500</v>
      </c>
      <c r="I46" s="288"/>
      <c r="J46" s="280"/>
      <c r="K46" s="289" t="str">
        <f>CONCATENATE(Guantes_e_insumos_generales[[#This Row],[Material]]," ",Guantes_e_insumos_generales[[#This Row],[Especificación]])</f>
        <v>Guantes De Nitrilo Talle S verde</v>
      </c>
      <c r="L46" s="110"/>
      <c r="M46" s="80"/>
    </row>
    <row r="47" spans="1:13" ht="15.75" x14ac:dyDescent="0.25">
      <c r="A47" s="284" t="s">
        <v>635</v>
      </c>
      <c r="B47" s="285" t="s">
        <v>1045</v>
      </c>
      <c r="C47" s="286">
        <v>50</v>
      </c>
      <c r="D47" s="286">
        <v>400</v>
      </c>
      <c r="E47" s="281">
        <f>Guantes_e_insumos_generales[[#This Row],[Stock en uso]]+Guantes_e_insumos_generales[[#This Row],[Stock nuevo]]</f>
        <v>450</v>
      </c>
      <c r="F47" s="114" t="s">
        <v>65</v>
      </c>
      <c r="G47" s="287">
        <v>44276</v>
      </c>
      <c r="H47" s="100">
        <v>500</v>
      </c>
      <c r="I47" s="288"/>
      <c r="J47" s="280"/>
      <c r="K47" s="289" t="str">
        <f>CONCATENATE(Guantes_e_insumos_generales[[#This Row],[Material]]," ",Guantes_e_insumos_generales[[#This Row],[Especificación]])</f>
        <v>Guantes De Nitrilo Talle S verde</v>
      </c>
      <c r="L47" s="110"/>
      <c r="M47" s="80"/>
    </row>
    <row r="48" spans="1:13" ht="15.75" x14ac:dyDescent="0.25">
      <c r="A48" s="114" t="s">
        <v>620</v>
      </c>
      <c r="B48" s="211" t="s">
        <v>613</v>
      </c>
      <c r="C48" s="212"/>
      <c r="D48" s="212">
        <v>70</v>
      </c>
      <c r="E48" s="213">
        <f>Guantes_e_insumos_generales[[#This Row],[Stock en uso]]+Guantes_e_insumos_generales[[#This Row],[Stock nuevo]]</f>
        <v>70</v>
      </c>
      <c r="F48" s="114" t="s">
        <v>65</v>
      </c>
      <c r="G48" s="89">
        <v>43613</v>
      </c>
      <c r="H48" s="114"/>
      <c r="I48" s="15"/>
      <c r="J48" s="19"/>
      <c r="K48" s="214" t="str">
        <f>CONCATENATE(Guantes_e_insumos_generales[[#This Row],[Material]]," ",Guantes_e_insumos_generales[[#This Row],[Especificación]])</f>
        <v>Paños Absorbedores Grises</v>
      </c>
      <c r="L48" s="110"/>
      <c r="M48" s="80"/>
    </row>
    <row r="49" spans="1:13" ht="15.75" x14ac:dyDescent="0.25">
      <c r="A49" s="114" t="s">
        <v>620</v>
      </c>
      <c r="B49" s="211" t="s">
        <v>614</v>
      </c>
      <c r="C49" s="212"/>
      <c r="D49" s="212">
        <v>24</v>
      </c>
      <c r="E49" s="213">
        <f>Guantes_e_insumos_generales[[#This Row],[Stock en uso]]+Guantes_e_insumos_generales[[#This Row],[Stock nuevo]]</f>
        <v>24</v>
      </c>
      <c r="F49" s="114" t="s">
        <v>65</v>
      </c>
      <c r="G49" s="89">
        <v>43613</v>
      </c>
      <c r="H49" s="114"/>
      <c r="I49" s="15"/>
      <c r="J49" s="19"/>
      <c r="K49" s="214" t="str">
        <f>CONCATENATE(Guantes_e_insumos_generales[[#This Row],[Material]]," ",Guantes_e_insumos_generales[[#This Row],[Especificación]])</f>
        <v>Paños Absorbedores Rosados</v>
      </c>
      <c r="L49" s="110"/>
      <c r="M49" s="80"/>
    </row>
    <row r="50" spans="1:13" ht="15.75" x14ac:dyDescent="0.25">
      <c r="A50" s="114" t="s">
        <v>609</v>
      </c>
      <c r="B50" s="211"/>
      <c r="C50" s="212">
        <v>0.3</v>
      </c>
      <c r="D50" s="212"/>
      <c r="E50" s="213">
        <f>Guantes_e_insumos_generales[[#This Row],[Stock en uso]]+Guantes_e_insumos_generales[[#This Row],[Stock nuevo]]</f>
        <v>0.3</v>
      </c>
      <c r="F50" s="114" t="s">
        <v>65</v>
      </c>
      <c r="G50" s="89">
        <v>43635</v>
      </c>
      <c r="H50" s="114"/>
      <c r="I50" s="15"/>
      <c r="J50" s="19"/>
      <c r="K50" s="214" t="str">
        <f>CONCATENATE(Guantes_e_insumos_generales[[#This Row],[Material]]," ",Guantes_e_insumos_generales[[#This Row],[Especificación]])</f>
        <v xml:space="preserve">Papel Aluminio </v>
      </c>
      <c r="L50" s="110"/>
      <c r="M50" s="80"/>
    </row>
    <row r="51" spans="1:13" ht="15.75" x14ac:dyDescent="0.25">
      <c r="A51" s="114" t="s">
        <v>609</v>
      </c>
      <c r="B51" s="285"/>
      <c r="C51" s="286">
        <v>1</v>
      </c>
      <c r="D51" s="286"/>
      <c r="E51" s="213">
        <f>Guantes_e_insumos_generales[[#This Row],[Stock en uso]]+Guantes_e_insumos_generales[[#This Row],[Stock nuevo]]</f>
        <v>1</v>
      </c>
      <c r="F51" s="114" t="s">
        <v>65</v>
      </c>
      <c r="G51" s="89">
        <v>44169</v>
      </c>
      <c r="H51" s="114"/>
      <c r="I51" s="15"/>
      <c r="J51" s="19"/>
      <c r="K51" s="214" t="str">
        <f>CONCATENATE(Guantes_e_insumos_generales[[#This Row],[Material]]," ",Guantes_e_insumos_generales[[#This Row],[Especificación]])</f>
        <v xml:space="preserve">Papel Aluminio </v>
      </c>
      <c r="L51" s="110"/>
      <c r="M51" s="80"/>
    </row>
    <row r="52" spans="1:13" ht="15.75" x14ac:dyDescent="0.25">
      <c r="A52" s="114" t="s">
        <v>608</v>
      </c>
      <c r="B52" s="215"/>
      <c r="C52" s="212">
        <v>0.75</v>
      </c>
      <c r="D52" s="212"/>
      <c r="E52" s="213">
        <f>Guantes_e_insumos_generales[[#This Row],[Stock en uso]]+Guantes_e_insumos_generales[[#This Row],[Stock nuevo]]</f>
        <v>0.75</v>
      </c>
      <c r="F52" s="114" t="s">
        <v>65</v>
      </c>
      <c r="G52" s="63"/>
      <c r="H52" s="114"/>
      <c r="I52" s="15"/>
      <c r="J52" s="19"/>
      <c r="K52" s="214" t="str">
        <f>CONCATENATE(Guantes_e_insumos_generales[[#This Row],[Material]]," ",Guantes_e_insumos_generales[[#This Row],[Especificación]])</f>
        <v xml:space="preserve">Papel Film </v>
      </c>
      <c r="L52" s="110"/>
      <c r="M52" s="80"/>
    </row>
    <row r="53" spans="1:13" ht="15.75" hidden="1" x14ac:dyDescent="0.25">
      <c r="A53" s="114" t="s">
        <v>623</v>
      </c>
      <c r="B53" s="211" t="s">
        <v>621</v>
      </c>
      <c r="C53" s="212">
        <v>0</v>
      </c>
      <c r="D53" s="212"/>
      <c r="E53" s="213">
        <f>Guantes_e_insumos_generales[[#This Row],[Stock en uso]]+Guantes_e_insumos_generales[[#This Row],[Stock nuevo]]</f>
        <v>0</v>
      </c>
      <c r="F53" s="114" t="s">
        <v>65</v>
      </c>
      <c r="G53" s="89">
        <v>43621</v>
      </c>
      <c r="H53" s="114"/>
      <c r="I53" s="15"/>
      <c r="J53" s="37">
        <v>44158</v>
      </c>
      <c r="K53" s="214" t="str">
        <f>CONCATENATE(Guantes_e_insumos_generales[[#This Row],[Material]]," ",Guantes_e_insumos_generales[[#This Row],[Especificación]])</f>
        <v>Papel Filtro Banda azul D=11cm</v>
      </c>
      <c r="L53" s="110"/>
      <c r="M53" s="80"/>
    </row>
    <row r="54" spans="1:13" ht="15.75" x14ac:dyDescent="0.25">
      <c r="A54" s="100" t="s">
        <v>1038</v>
      </c>
      <c r="B54" s="274" t="s">
        <v>621</v>
      </c>
      <c r="C54" s="275">
        <v>90</v>
      </c>
      <c r="D54" s="275">
        <v>500</v>
      </c>
      <c r="E54" s="57">
        <f>Guantes_e_insumos_generales[[#This Row],[Stock en uso]]+Guantes_e_insumos_generales[[#This Row],[Stock nuevo]]</f>
        <v>590</v>
      </c>
      <c r="F54" s="114" t="s">
        <v>65</v>
      </c>
      <c r="G54" s="276">
        <v>44132</v>
      </c>
      <c r="H54" s="100">
        <v>500</v>
      </c>
      <c r="I54" s="210"/>
      <c r="J54" s="24"/>
      <c r="K54" s="277" t="str">
        <f>CONCATENATE(Guantes_e_insumos_generales[[#This Row],[Material]]," ",Guantes_e_insumos_generales[[#This Row],[Especificación]])</f>
        <v>Papel filtro Banda azul D=11cm</v>
      </c>
      <c r="L54" s="110"/>
      <c r="M54" s="80"/>
    </row>
    <row r="55" spans="1:13" ht="15.75" x14ac:dyDescent="0.25">
      <c r="A55" s="114" t="s">
        <v>623</v>
      </c>
      <c r="B55" s="211" t="s">
        <v>622</v>
      </c>
      <c r="C55" s="212">
        <v>80</v>
      </c>
      <c r="D55" s="212">
        <v>100</v>
      </c>
      <c r="E55" s="213">
        <f>Guantes_e_insumos_generales[[#This Row],[Stock en uso]]+Guantes_e_insumos_generales[[#This Row],[Stock nuevo]]</f>
        <v>180</v>
      </c>
      <c r="F55" s="114" t="s">
        <v>65</v>
      </c>
      <c r="G55" s="89">
        <v>43621</v>
      </c>
      <c r="H55" s="114"/>
      <c r="I55" s="220"/>
      <c r="J55" s="19"/>
      <c r="K55" s="214" t="str">
        <f>CONCATENATE(Guantes_e_insumos_generales[[#This Row],[Material]]," ",Guantes_e_insumos_generales[[#This Row],[Especificación]])</f>
        <v>Papel Filtro Banda negra D=11cm</v>
      </c>
      <c r="L55" s="110"/>
      <c r="M55" s="80"/>
    </row>
    <row r="56" spans="1:13" ht="15.75" x14ac:dyDescent="0.25">
      <c r="A56" s="100" t="s">
        <v>1038</v>
      </c>
      <c r="B56" s="274" t="s">
        <v>622</v>
      </c>
      <c r="C56" s="275">
        <v>20</v>
      </c>
      <c r="D56" s="275">
        <v>100</v>
      </c>
      <c r="E56" s="57">
        <f>Guantes_e_insumos_generales[[#This Row],[Stock en uso]]+Guantes_e_insumos_generales[[#This Row],[Stock nuevo]]</f>
        <v>120</v>
      </c>
      <c r="F56" s="114" t="s">
        <v>65</v>
      </c>
      <c r="G56" s="276">
        <v>44132</v>
      </c>
      <c r="H56" s="100">
        <v>1000</v>
      </c>
      <c r="I56" s="210"/>
      <c r="J56" s="24"/>
      <c r="K56" s="277" t="str">
        <f>CONCATENATE(Guantes_e_insumos_generales[[#This Row],[Material]]," ",Guantes_e_insumos_generales[[#This Row],[Especificación]])</f>
        <v>Papel filtro Banda negra D=11cm</v>
      </c>
      <c r="L56" s="110"/>
      <c r="M56" s="80"/>
    </row>
    <row r="57" spans="1:13" ht="15.75" x14ac:dyDescent="0.25">
      <c r="A57" s="114" t="s">
        <v>604</v>
      </c>
      <c r="B57" s="215"/>
      <c r="C57" s="212">
        <v>80</v>
      </c>
      <c r="D57" s="212">
        <v>200</v>
      </c>
      <c r="E57" s="213">
        <f>Guantes_e_insumos_generales[[#This Row],[Stock en uso]]+Guantes_e_insumos_generales[[#This Row],[Stock nuevo]]</f>
        <v>280</v>
      </c>
      <c r="F57" s="114" t="s">
        <v>65</v>
      </c>
      <c r="G57" s="89">
        <v>43837</v>
      </c>
      <c r="H57" s="114"/>
      <c r="I57" s="15"/>
      <c r="J57" s="19"/>
      <c r="K57" s="214" t="str">
        <f>CONCATENATE(Guantes_e_insumos_generales[[#This Row],[Material]]," ",Guantes_e_insumos_generales[[#This Row],[Especificación]])</f>
        <v xml:space="preserve">Papel Ph </v>
      </c>
      <c r="L57" s="110"/>
      <c r="M57" s="80"/>
    </row>
    <row r="58" spans="1:13" ht="15.75" x14ac:dyDescent="0.25">
      <c r="A58" s="114" t="s">
        <v>624</v>
      </c>
      <c r="B58" s="211" t="s">
        <v>275</v>
      </c>
      <c r="C58" s="212">
        <v>4</v>
      </c>
      <c r="D58" s="212">
        <v>1</v>
      </c>
      <c r="E58" s="213">
        <f>Guantes_e_insumos_generales[[#This Row],[Stock en uso]]+Guantes_e_insumos_generales[[#This Row],[Stock nuevo]]</f>
        <v>5</v>
      </c>
      <c r="F58" s="114" t="s">
        <v>65</v>
      </c>
      <c r="G58" s="89">
        <v>43563</v>
      </c>
      <c r="H58" s="114"/>
      <c r="I58" s="15"/>
      <c r="J58" s="19"/>
      <c r="K58" s="214" t="str">
        <f>CONCATENATE(Guantes_e_insumos_generales[[#This Row],[Material]]," ",Guantes_e_insumos_generales[[#This Row],[Especificación]])</f>
        <v>Pisetas 500ml</v>
      </c>
      <c r="L58" s="110"/>
      <c r="M58" s="80"/>
    </row>
  </sheetData>
  <sheetProtection sheet="1" formatColumns="0" formatRows="0" sort="0" autoFilter="0"/>
  <mergeCells count="1">
    <mergeCell ref="E1:K1"/>
  </mergeCells>
  <phoneticPr fontId="2" type="noConversion"/>
  <hyperlinks>
    <hyperlink ref="C1" location="'Estado general'!A7" display="General" xr:uid="{00000000-0004-0000-0800-000000000000}"/>
    <hyperlink ref="D1" location="'Insumos a comprar'!A1" display="A comprar" xr:uid="{00000000-0004-0000-0800-000001000000}"/>
  </hyperlink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xr:uid="{00000000-0002-0000-0800-000000000000}">
          <x14:formula1>
            <xm:f>Datos!$I$2:$I$130</xm:f>
          </x14:formula1>
          <xm:sqref>K3:K58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pageSetUpPr autoPageBreaks="0"/>
  </sheetPr>
  <dimension ref="A1:G46"/>
  <sheetViews>
    <sheetView showGridLines="0" topLeftCell="A28" workbookViewId="0">
      <selection activeCell="E24" sqref="E24"/>
    </sheetView>
  </sheetViews>
  <sheetFormatPr defaultColWidth="11.42578125" defaultRowHeight="12.75" x14ac:dyDescent="0.2"/>
  <cols>
    <col min="1" max="1" width="28.7109375" style="80" bestFit="1" customWidth="1"/>
    <col min="2" max="2" width="16.5703125" style="80" bestFit="1" customWidth="1"/>
    <col min="3" max="3" width="12.28515625" style="80" bestFit="1" customWidth="1"/>
    <col min="4" max="5" width="29.42578125" style="80" bestFit="1" customWidth="1"/>
    <col min="6" max="6" width="25" style="80" customWidth="1"/>
    <col min="7" max="7" width="23.28515625" style="80" bestFit="1" customWidth="1"/>
    <col min="8" max="16384" width="11.42578125" style="80"/>
  </cols>
  <sheetData>
    <row r="1" spans="1:7" ht="21.75" customHeight="1" x14ac:dyDescent="0.2">
      <c r="A1" s="78" t="s">
        <v>593</v>
      </c>
      <c r="B1" s="172">
        <f>MAX(Lamparas_AA[Fecha actualización])</f>
        <v>44376</v>
      </c>
      <c r="C1" s="79" t="s">
        <v>444</v>
      </c>
      <c r="D1" s="79" t="s">
        <v>780</v>
      </c>
      <c r="E1" s="434" t="s">
        <v>800</v>
      </c>
      <c r="F1" s="435"/>
      <c r="G1" s="435"/>
    </row>
    <row r="2" spans="1:7" ht="25.5" customHeight="1" x14ac:dyDescent="0.2">
      <c r="A2" s="82" t="s">
        <v>260</v>
      </c>
      <c r="B2" s="82" t="s">
        <v>100</v>
      </c>
      <c r="C2" s="82" t="s">
        <v>55</v>
      </c>
      <c r="D2" s="82" t="s">
        <v>595</v>
      </c>
      <c r="E2" s="82" t="s">
        <v>1076</v>
      </c>
      <c r="F2" s="82" t="s">
        <v>591</v>
      </c>
      <c r="G2" s="82" t="s">
        <v>5</v>
      </c>
    </row>
    <row r="3" spans="1:7" ht="15.75" x14ac:dyDescent="0.25">
      <c r="A3" s="107" t="s">
        <v>99</v>
      </c>
      <c r="B3" s="87" t="s">
        <v>66</v>
      </c>
      <c r="C3" s="51">
        <v>1</v>
      </c>
      <c r="D3" s="33" t="s">
        <v>70</v>
      </c>
      <c r="E3" s="33"/>
      <c r="F3" s="36">
        <v>43841</v>
      </c>
      <c r="G3" s="122"/>
    </row>
    <row r="4" spans="1:7" ht="15.75" x14ac:dyDescent="0.25">
      <c r="A4" s="107" t="s">
        <v>98</v>
      </c>
      <c r="B4" s="87" t="s">
        <v>66</v>
      </c>
      <c r="C4" s="51">
        <v>1</v>
      </c>
      <c r="D4" s="34" t="s">
        <v>70</v>
      </c>
      <c r="E4" s="34"/>
      <c r="F4" s="36">
        <v>43841</v>
      </c>
      <c r="G4" s="122"/>
    </row>
    <row r="5" spans="1:7" ht="15.75" x14ac:dyDescent="0.25">
      <c r="A5" s="107" t="s">
        <v>97</v>
      </c>
      <c r="B5" s="87" t="s">
        <v>95</v>
      </c>
      <c r="C5" s="51">
        <v>1</v>
      </c>
      <c r="D5" s="34" t="s">
        <v>70</v>
      </c>
      <c r="E5" s="34"/>
      <c r="F5" s="36">
        <v>43841</v>
      </c>
      <c r="G5" s="122"/>
    </row>
    <row r="6" spans="1:7" ht="15.75" x14ac:dyDescent="0.25">
      <c r="A6" s="88" t="s">
        <v>96</v>
      </c>
      <c r="B6" s="87" t="s">
        <v>66</v>
      </c>
      <c r="C6" s="51">
        <v>1</v>
      </c>
      <c r="D6" s="35" t="s">
        <v>70</v>
      </c>
      <c r="E6" s="35"/>
      <c r="F6" s="36">
        <v>43841</v>
      </c>
      <c r="G6" s="122"/>
    </row>
    <row r="7" spans="1:7" ht="15.75" x14ac:dyDescent="0.25">
      <c r="A7" s="88" t="s">
        <v>96</v>
      </c>
      <c r="B7" s="87" t="s">
        <v>95</v>
      </c>
      <c r="C7" s="51">
        <v>1</v>
      </c>
      <c r="D7" s="34" t="s">
        <v>70</v>
      </c>
      <c r="E7" s="34"/>
      <c r="F7" s="36">
        <v>43841</v>
      </c>
      <c r="G7" s="122"/>
    </row>
    <row r="8" spans="1:7" ht="15.75" x14ac:dyDescent="0.25">
      <c r="A8" s="107" t="s">
        <v>94</v>
      </c>
      <c r="B8" s="87" t="s">
        <v>66</v>
      </c>
      <c r="C8" s="51">
        <v>1</v>
      </c>
      <c r="D8" s="34" t="s">
        <v>70</v>
      </c>
      <c r="E8" s="34"/>
      <c r="F8" s="36">
        <v>43841</v>
      </c>
      <c r="G8" s="122"/>
    </row>
    <row r="9" spans="1:7" ht="15.75" x14ac:dyDescent="0.25">
      <c r="A9" s="88" t="s">
        <v>93</v>
      </c>
      <c r="B9" s="87" t="s">
        <v>66</v>
      </c>
      <c r="C9" s="51">
        <v>1</v>
      </c>
      <c r="D9" s="34" t="s">
        <v>86</v>
      </c>
      <c r="E9" s="34"/>
      <c r="F9" s="36">
        <v>43841</v>
      </c>
      <c r="G9" s="122"/>
    </row>
    <row r="10" spans="1:7" ht="15.75" x14ac:dyDescent="0.25">
      <c r="A10" s="88" t="s">
        <v>92</v>
      </c>
      <c r="B10" s="87" t="s">
        <v>81</v>
      </c>
      <c r="C10" s="51">
        <v>1</v>
      </c>
      <c r="D10" s="34" t="s">
        <v>70</v>
      </c>
      <c r="E10" s="34"/>
      <c r="F10" s="36">
        <v>43841</v>
      </c>
      <c r="G10" s="122"/>
    </row>
    <row r="11" spans="1:7" ht="15.75" x14ac:dyDescent="0.25">
      <c r="A11" s="88" t="s">
        <v>92</v>
      </c>
      <c r="B11" s="87" t="s">
        <v>80</v>
      </c>
      <c r="C11" s="51">
        <v>1</v>
      </c>
      <c r="D11" s="34" t="s">
        <v>70</v>
      </c>
      <c r="E11" s="34"/>
      <c r="F11" s="36">
        <v>43841</v>
      </c>
      <c r="G11" s="122"/>
    </row>
    <row r="12" spans="1:7" ht="15.75" x14ac:dyDescent="0.25">
      <c r="A12" s="88" t="s">
        <v>91</v>
      </c>
      <c r="B12" s="87" t="s">
        <v>81</v>
      </c>
      <c r="C12" s="51">
        <v>1</v>
      </c>
      <c r="D12" s="34" t="s">
        <v>70</v>
      </c>
      <c r="E12" s="34"/>
      <c r="F12" s="36">
        <v>43841</v>
      </c>
      <c r="G12" s="122"/>
    </row>
    <row r="13" spans="1:7" ht="15.75" x14ac:dyDescent="0.25">
      <c r="A13" s="88" t="s">
        <v>91</v>
      </c>
      <c r="B13" s="87" t="s">
        <v>80</v>
      </c>
      <c r="C13" s="51">
        <v>1</v>
      </c>
      <c r="D13" s="34" t="s">
        <v>70</v>
      </c>
      <c r="E13" s="34"/>
      <c r="F13" s="36">
        <v>43841</v>
      </c>
      <c r="G13" s="122"/>
    </row>
    <row r="14" spans="1:7" ht="15.75" x14ac:dyDescent="0.25">
      <c r="A14" s="88" t="s">
        <v>91</v>
      </c>
      <c r="B14" s="87" t="s">
        <v>66</v>
      </c>
      <c r="C14" s="51">
        <v>1</v>
      </c>
      <c r="D14" s="34" t="s">
        <v>68</v>
      </c>
      <c r="E14" s="34"/>
      <c r="F14" s="36">
        <v>43841</v>
      </c>
      <c r="G14" s="122"/>
    </row>
    <row r="15" spans="1:7" ht="15.75" x14ac:dyDescent="0.25">
      <c r="A15" s="88" t="s">
        <v>90</v>
      </c>
      <c r="B15" s="87" t="s">
        <v>81</v>
      </c>
      <c r="C15" s="51">
        <v>0.3</v>
      </c>
      <c r="D15" s="34" t="s">
        <v>75</v>
      </c>
      <c r="E15" s="34"/>
      <c r="F15" s="36">
        <v>43841</v>
      </c>
      <c r="G15" s="122"/>
    </row>
    <row r="16" spans="1:7" ht="15.75" x14ac:dyDescent="0.25">
      <c r="A16" s="88" t="s">
        <v>90</v>
      </c>
      <c r="B16" s="87" t="s">
        <v>80</v>
      </c>
      <c r="C16" s="51">
        <v>0.3</v>
      </c>
      <c r="D16" s="34" t="s">
        <v>75</v>
      </c>
      <c r="E16" s="34"/>
      <c r="F16" s="36">
        <v>43841</v>
      </c>
      <c r="G16" s="122"/>
    </row>
    <row r="17" spans="1:7" ht="15.75" x14ac:dyDescent="0.25">
      <c r="A17" s="88" t="s">
        <v>90</v>
      </c>
      <c r="B17" s="87" t="s">
        <v>66</v>
      </c>
      <c r="C17" s="51">
        <v>0.3</v>
      </c>
      <c r="D17" s="34" t="s">
        <v>75</v>
      </c>
      <c r="E17" s="34"/>
      <c r="F17" s="36">
        <v>43841</v>
      </c>
      <c r="G17" s="122"/>
    </row>
    <row r="18" spans="1:7" ht="15.75" x14ac:dyDescent="0.25">
      <c r="A18" s="412" t="s">
        <v>90</v>
      </c>
      <c r="B18" s="392" t="s">
        <v>1074</v>
      </c>
      <c r="C18" s="413">
        <v>1</v>
      </c>
      <c r="D18" s="414" t="s">
        <v>1075</v>
      </c>
      <c r="E18" s="414"/>
      <c r="F18" s="415">
        <v>44376</v>
      </c>
      <c r="G18" s="395"/>
    </row>
    <row r="19" spans="1:7" ht="15.75" x14ac:dyDescent="0.25">
      <c r="A19" s="88" t="s">
        <v>67</v>
      </c>
      <c r="B19" s="63" t="s">
        <v>66</v>
      </c>
      <c r="C19" s="51">
        <v>2</v>
      </c>
      <c r="D19" s="20" t="s">
        <v>799</v>
      </c>
      <c r="E19" s="20"/>
      <c r="F19" s="36">
        <v>43841</v>
      </c>
      <c r="G19" s="122"/>
    </row>
    <row r="20" spans="1:7" ht="15.75" x14ac:dyDescent="0.25">
      <c r="A20" s="107" t="s">
        <v>89</v>
      </c>
      <c r="B20" s="87" t="s">
        <v>66</v>
      </c>
      <c r="C20" s="51">
        <v>1</v>
      </c>
      <c r="D20" s="34" t="s">
        <v>70</v>
      </c>
      <c r="E20" s="34"/>
      <c r="F20" s="36">
        <v>43841</v>
      </c>
      <c r="G20" s="122"/>
    </row>
    <row r="21" spans="1:7" ht="15.75" x14ac:dyDescent="0.25">
      <c r="A21" s="412" t="s">
        <v>1077</v>
      </c>
      <c r="B21" s="392" t="s">
        <v>1074</v>
      </c>
      <c r="C21" s="413">
        <v>1</v>
      </c>
      <c r="D21" s="414" t="s">
        <v>1075</v>
      </c>
      <c r="E21" s="414"/>
      <c r="F21" s="415">
        <v>44376</v>
      </c>
      <c r="G21" s="395"/>
    </row>
    <row r="22" spans="1:7" ht="15.75" x14ac:dyDescent="0.25">
      <c r="A22" s="88" t="s">
        <v>88</v>
      </c>
      <c r="B22" s="87" t="s">
        <v>81</v>
      </c>
      <c r="C22" s="51">
        <v>0.3</v>
      </c>
      <c r="D22" s="34" t="s">
        <v>75</v>
      </c>
      <c r="E22" s="34"/>
      <c r="F22" s="36">
        <v>43841</v>
      </c>
      <c r="G22" s="122"/>
    </row>
    <row r="23" spans="1:7" ht="15.75" x14ac:dyDescent="0.25">
      <c r="A23" s="88" t="s">
        <v>88</v>
      </c>
      <c r="B23" s="87" t="s">
        <v>80</v>
      </c>
      <c r="C23" s="51">
        <v>0.3</v>
      </c>
      <c r="D23" s="34" t="s">
        <v>75</v>
      </c>
      <c r="E23" s="34"/>
      <c r="F23" s="36">
        <v>43841</v>
      </c>
      <c r="G23" s="122"/>
    </row>
    <row r="24" spans="1:7" ht="15.75" x14ac:dyDescent="0.25">
      <c r="A24" s="412" t="s">
        <v>88</v>
      </c>
      <c r="B24" s="392" t="s">
        <v>1074</v>
      </c>
      <c r="C24" s="413">
        <v>1</v>
      </c>
      <c r="D24" s="414" t="s">
        <v>1075</v>
      </c>
      <c r="E24" s="414"/>
      <c r="F24" s="415">
        <v>44376</v>
      </c>
      <c r="G24" s="395"/>
    </row>
    <row r="25" spans="1:7" ht="15.75" x14ac:dyDescent="0.25">
      <c r="A25" s="108" t="s">
        <v>1040</v>
      </c>
      <c r="B25" s="57"/>
      <c r="C25" s="51">
        <v>1</v>
      </c>
      <c r="D25" s="42" t="s">
        <v>1041</v>
      </c>
      <c r="E25" s="42"/>
      <c r="F25" s="38">
        <v>44105</v>
      </c>
      <c r="G25" s="122"/>
    </row>
    <row r="26" spans="1:7" ht="15.75" x14ac:dyDescent="0.25">
      <c r="A26" s="107" t="s">
        <v>87</v>
      </c>
      <c r="B26" s="87" t="s">
        <v>66</v>
      </c>
      <c r="C26" s="51">
        <v>1</v>
      </c>
      <c r="D26" s="34" t="s">
        <v>86</v>
      </c>
      <c r="E26" s="34"/>
      <c r="F26" s="36">
        <v>43841</v>
      </c>
      <c r="G26" s="122"/>
    </row>
    <row r="27" spans="1:7" ht="15.75" x14ac:dyDescent="0.25">
      <c r="A27" s="88" t="s">
        <v>85</v>
      </c>
      <c r="B27" s="87" t="s">
        <v>81</v>
      </c>
      <c r="C27" s="51">
        <v>1</v>
      </c>
      <c r="D27" s="34" t="s">
        <v>70</v>
      </c>
      <c r="E27" s="34"/>
      <c r="F27" s="36">
        <v>43841</v>
      </c>
      <c r="G27" s="122"/>
    </row>
    <row r="28" spans="1:7" ht="15.75" x14ac:dyDescent="0.25">
      <c r="A28" s="88" t="s">
        <v>85</v>
      </c>
      <c r="B28" s="87" t="s">
        <v>80</v>
      </c>
      <c r="C28" s="51">
        <v>1</v>
      </c>
      <c r="D28" s="34" t="s">
        <v>70</v>
      </c>
      <c r="E28" s="34"/>
      <c r="F28" s="36">
        <v>43841</v>
      </c>
      <c r="G28" s="122"/>
    </row>
    <row r="29" spans="1:7" ht="15.75" x14ac:dyDescent="0.25">
      <c r="A29" s="107" t="s">
        <v>84</v>
      </c>
      <c r="B29" s="87" t="s">
        <v>66</v>
      </c>
      <c r="C29" s="51">
        <v>1</v>
      </c>
      <c r="D29" s="34" t="s">
        <v>70</v>
      </c>
      <c r="E29" s="34"/>
      <c r="F29" s="36">
        <v>43841</v>
      </c>
      <c r="G29" s="122"/>
    </row>
    <row r="30" spans="1:7" ht="15.75" x14ac:dyDescent="0.25">
      <c r="A30" s="107" t="s">
        <v>83</v>
      </c>
      <c r="B30" s="87" t="s">
        <v>1059</v>
      </c>
      <c r="C30" s="51">
        <v>1</v>
      </c>
      <c r="D30" s="34" t="s">
        <v>70</v>
      </c>
      <c r="E30" s="34"/>
      <c r="F30" s="36">
        <v>44253</v>
      </c>
      <c r="G30" s="122"/>
    </row>
    <row r="31" spans="1:7" ht="15.75" x14ac:dyDescent="0.25">
      <c r="A31" s="88" t="s">
        <v>82</v>
      </c>
      <c r="B31" s="87" t="s">
        <v>81</v>
      </c>
      <c r="C31" s="51">
        <v>1</v>
      </c>
      <c r="D31" s="34" t="s">
        <v>70</v>
      </c>
      <c r="E31" s="34"/>
      <c r="F31" s="36">
        <v>43841</v>
      </c>
      <c r="G31" s="122"/>
    </row>
    <row r="32" spans="1:7" ht="15.75" x14ac:dyDescent="0.25">
      <c r="A32" s="88" t="s">
        <v>82</v>
      </c>
      <c r="B32" s="87" t="s">
        <v>80</v>
      </c>
      <c r="C32" s="51">
        <v>1</v>
      </c>
      <c r="D32" s="34" t="s">
        <v>70</v>
      </c>
      <c r="E32" s="34"/>
      <c r="F32" s="36">
        <v>43841</v>
      </c>
      <c r="G32" s="122"/>
    </row>
    <row r="33" spans="1:7" ht="15.75" x14ac:dyDescent="0.25">
      <c r="A33" s="107" t="s">
        <v>79</v>
      </c>
      <c r="B33" s="87" t="s">
        <v>66</v>
      </c>
      <c r="C33" s="51">
        <v>1</v>
      </c>
      <c r="D33" s="34" t="s">
        <v>70</v>
      </c>
      <c r="E33" s="34"/>
      <c r="F33" s="36">
        <v>43841</v>
      </c>
      <c r="G33" s="122"/>
    </row>
    <row r="34" spans="1:7" ht="15.75" x14ac:dyDescent="0.25">
      <c r="A34" s="88" t="s">
        <v>78</v>
      </c>
      <c r="B34" s="87" t="s">
        <v>66</v>
      </c>
      <c r="C34" s="51">
        <v>0.1</v>
      </c>
      <c r="D34" s="34" t="s">
        <v>77</v>
      </c>
      <c r="E34" s="34"/>
      <c r="F34" s="36">
        <v>43841</v>
      </c>
      <c r="G34" s="122"/>
    </row>
    <row r="35" spans="1:7" ht="15.75" x14ac:dyDescent="0.25">
      <c r="A35" s="88" t="s">
        <v>78</v>
      </c>
      <c r="B35" s="87" t="s">
        <v>76</v>
      </c>
      <c r="C35" s="51">
        <v>0.5</v>
      </c>
      <c r="D35" s="34" t="s">
        <v>75</v>
      </c>
      <c r="E35" s="34"/>
      <c r="F35" s="36">
        <v>43841</v>
      </c>
      <c r="G35" s="122"/>
    </row>
    <row r="36" spans="1:7" ht="15.75" x14ac:dyDescent="0.25">
      <c r="A36" s="412" t="s">
        <v>78</v>
      </c>
      <c r="B36" s="392" t="s">
        <v>1074</v>
      </c>
      <c r="C36" s="413">
        <v>1</v>
      </c>
      <c r="D36" s="414" t="s">
        <v>1075</v>
      </c>
      <c r="E36" s="414"/>
      <c r="F36" s="415">
        <v>44376</v>
      </c>
      <c r="G36" s="395"/>
    </row>
    <row r="37" spans="1:7" ht="15.75" x14ac:dyDescent="0.25">
      <c r="A37" s="88" t="s">
        <v>74</v>
      </c>
      <c r="B37" s="87" t="s">
        <v>66</v>
      </c>
      <c r="C37" s="51">
        <v>1</v>
      </c>
      <c r="D37" s="35" t="s">
        <v>70</v>
      </c>
      <c r="E37" s="35"/>
      <c r="F37" s="36">
        <v>43841</v>
      </c>
      <c r="G37" s="122"/>
    </row>
    <row r="38" spans="1:7" ht="15.75" x14ac:dyDescent="0.25">
      <c r="A38" s="88" t="s">
        <v>74</v>
      </c>
      <c r="B38" s="87" t="s">
        <v>66</v>
      </c>
      <c r="C38" s="51">
        <v>1</v>
      </c>
      <c r="D38" s="35" t="s">
        <v>70</v>
      </c>
      <c r="E38" s="35"/>
      <c r="F38" s="36">
        <v>43841</v>
      </c>
      <c r="G38" s="122"/>
    </row>
    <row r="39" spans="1:7" ht="15.75" x14ac:dyDescent="0.25">
      <c r="A39" s="107" t="s">
        <v>73</v>
      </c>
      <c r="B39" s="87" t="s">
        <v>66</v>
      </c>
      <c r="C39" s="51">
        <v>1</v>
      </c>
      <c r="D39" s="34" t="s">
        <v>70</v>
      </c>
      <c r="E39" s="34"/>
      <c r="F39" s="36">
        <v>43841</v>
      </c>
      <c r="G39" s="122"/>
    </row>
    <row r="40" spans="1:7" ht="15.75" x14ac:dyDescent="0.25">
      <c r="A40" s="412" t="s">
        <v>73</v>
      </c>
      <c r="B40" s="392" t="s">
        <v>1074</v>
      </c>
      <c r="C40" s="413">
        <v>1</v>
      </c>
      <c r="D40" s="414" t="s">
        <v>1075</v>
      </c>
      <c r="E40" s="414"/>
      <c r="F40" s="415">
        <v>44376</v>
      </c>
      <c r="G40" s="395"/>
    </row>
    <row r="41" spans="1:7" ht="15.75" x14ac:dyDescent="0.25">
      <c r="A41" s="107" t="s">
        <v>72</v>
      </c>
      <c r="B41" s="87" t="s">
        <v>66</v>
      </c>
      <c r="C41" s="51">
        <v>1</v>
      </c>
      <c r="D41" s="34" t="s">
        <v>70</v>
      </c>
      <c r="E41" s="34"/>
      <c r="F41" s="36">
        <v>43841</v>
      </c>
      <c r="G41" s="122"/>
    </row>
    <row r="42" spans="1:7" ht="15.75" x14ac:dyDescent="0.25">
      <c r="A42" s="88" t="s">
        <v>71</v>
      </c>
      <c r="B42" s="87" t="s">
        <v>66</v>
      </c>
      <c r="C42" s="51">
        <v>1</v>
      </c>
      <c r="D42" s="35" t="s">
        <v>70</v>
      </c>
      <c r="E42" s="35"/>
      <c r="F42" s="36">
        <v>43841</v>
      </c>
      <c r="G42" s="122"/>
    </row>
    <row r="43" spans="1:7" ht="15.75" x14ac:dyDescent="0.25">
      <c r="A43" s="88" t="s">
        <v>71</v>
      </c>
      <c r="B43" s="87" t="s">
        <v>66</v>
      </c>
      <c r="C43" s="51">
        <v>1</v>
      </c>
      <c r="D43" s="35" t="s">
        <v>70</v>
      </c>
      <c r="E43" s="35"/>
      <c r="F43" s="36">
        <v>43841</v>
      </c>
      <c r="G43" s="122"/>
    </row>
    <row r="44" spans="1:7" ht="15.75" x14ac:dyDescent="0.25">
      <c r="A44" s="107" t="s">
        <v>699</v>
      </c>
      <c r="B44" s="87"/>
      <c r="C44" s="51">
        <v>1</v>
      </c>
      <c r="D44" s="34"/>
      <c r="E44" s="34"/>
      <c r="F44" s="36">
        <v>43841</v>
      </c>
      <c r="G44" s="122"/>
    </row>
    <row r="45" spans="1:7" ht="15.75" x14ac:dyDescent="0.25">
      <c r="A45" s="107" t="s">
        <v>700</v>
      </c>
      <c r="B45" s="87" t="s">
        <v>66</v>
      </c>
      <c r="C45" s="51">
        <v>1</v>
      </c>
      <c r="D45" s="34" t="s">
        <v>70</v>
      </c>
      <c r="E45" s="34"/>
      <c r="F45" s="36">
        <v>43841</v>
      </c>
      <c r="G45" s="122"/>
    </row>
    <row r="46" spans="1:7" ht="15.75" x14ac:dyDescent="0.25">
      <c r="A46" s="107" t="s">
        <v>69</v>
      </c>
      <c r="B46" s="87" t="s">
        <v>66</v>
      </c>
      <c r="C46" s="51">
        <v>1</v>
      </c>
      <c r="D46" s="34" t="s">
        <v>68</v>
      </c>
      <c r="E46" s="34"/>
      <c r="F46" s="36">
        <v>43841</v>
      </c>
      <c r="G46" s="122"/>
    </row>
  </sheetData>
  <sheetProtection sheet="1" objects="1" scenarios="1" formatColumns="0" formatRows="0" sort="0" autoFilter="0"/>
  <mergeCells count="1">
    <mergeCell ref="E1:G1"/>
  </mergeCells>
  <hyperlinks>
    <hyperlink ref="C1" location="'Estado general'!A8" display="General" xr:uid="{00000000-0004-0000-0900-000000000000}"/>
    <hyperlink ref="D1" location="'Insumos a comprar'!A1" display="A comprar" xr:uid="{00000000-0004-0000-0900-000001000000}"/>
  </hyperlinks>
  <pageMargins left="0.75" right="0.75" top="1" bottom="1" header="0" footer="0"/>
  <pageSetup paperSize="9" orientation="landscape" horizontalDpi="0" verticalDpi="0" r:id="rId1"/>
  <headerFooter alignWithMargins="0"/>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igual que en &quot;insumos a comprar&quot;" xr:uid="{00000000-0002-0000-0900-000000000000}">
          <x14:formula1>
            <xm:f>Datos!$K$2:$K$130</xm:f>
          </x14:formula1>
          <xm:sqref>A3:A46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FF00"/>
  </sheetPr>
  <dimension ref="A1:K118"/>
  <sheetViews>
    <sheetView showGridLines="0" zoomScaleNormal="100" workbookViewId="0">
      <selection activeCell="C28" sqref="C28"/>
    </sheetView>
  </sheetViews>
  <sheetFormatPr defaultColWidth="9.140625" defaultRowHeight="15" x14ac:dyDescent="0.25"/>
  <cols>
    <col min="1" max="1" width="28.7109375" style="80" bestFit="1" customWidth="1"/>
    <col min="2" max="2" width="23.140625" style="80" bestFit="1" customWidth="1"/>
    <col min="3" max="3" width="15.5703125" style="80" bestFit="1" customWidth="1"/>
    <col min="4" max="4" width="20.85546875" style="119" bestFit="1" customWidth="1"/>
    <col min="5" max="5" width="20.85546875" style="80" bestFit="1" customWidth="1"/>
    <col min="6" max="6" width="20.28515625" style="80" bestFit="1" customWidth="1"/>
    <col min="7" max="7" width="29.42578125" style="119" bestFit="1" customWidth="1"/>
    <col min="8" max="8" width="31.140625" style="80" customWidth="1"/>
    <col min="9" max="9" width="39.85546875" style="80" hidden="1" customWidth="1"/>
    <col min="10" max="10" width="44.7109375" style="80" customWidth="1"/>
    <col min="11" max="11" width="9.140625" style="119"/>
    <col min="12" max="12" width="29.42578125" style="110" bestFit="1" customWidth="1"/>
    <col min="13" max="13" width="57.140625" style="110" bestFit="1" customWidth="1"/>
    <col min="14" max="16384" width="9.140625" style="110"/>
  </cols>
  <sheetData>
    <row r="1" spans="1:11" ht="21.75" thickBot="1" x14ac:dyDescent="0.3">
      <c r="A1" s="78" t="s">
        <v>593</v>
      </c>
      <c r="B1" s="172">
        <f>MAX(Material_de_vidrio[Fecha actualización])</f>
        <v>44369</v>
      </c>
      <c r="C1" s="79" t="s">
        <v>444</v>
      </c>
      <c r="D1" s="79" t="s">
        <v>780</v>
      </c>
      <c r="E1" s="428" t="s">
        <v>801</v>
      </c>
      <c r="F1" s="429"/>
      <c r="G1" s="429"/>
      <c r="H1" s="429"/>
      <c r="I1" s="430"/>
      <c r="J1" s="110"/>
      <c r="K1" s="110"/>
    </row>
    <row r="2" spans="1:11" ht="18.75" x14ac:dyDescent="0.25">
      <c r="A2" s="103" t="s">
        <v>441</v>
      </c>
      <c r="B2" s="103" t="s">
        <v>419</v>
      </c>
      <c r="C2" s="103" t="s">
        <v>471</v>
      </c>
      <c r="D2" s="103" t="s">
        <v>598</v>
      </c>
      <c r="E2" s="103" t="s">
        <v>599</v>
      </c>
      <c r="F2" s="103" t="s">
        <v>55</v>
      </c>
      <c r="G2" s="103" t="s">
        <v>591</v>
      </c>
      <c r="H2" s="103" t="s">
        <v>5</v>
      </c>
      <c r="I2" s="103" t="s">
        <v>260</v>
      </c>
      <c r="J2" s="110"/>
      <c r="K2" s="110"/>
    </row>
    <row r="3" spans="1:11" ht="15.75" x14ac:dyDescent="0.25">
      <c r="A3" s="124" t="s">
        <v>263</v>
      </c>
      <c r="B3" s="124"/>
      <c r="C3" s="125"/>
      <c r="D3" s="31"/>
      <c r="E3" s="31">
        <v>3</v>
      </c>
      <c r="F3" s="41">
        <f>Material_de_vidrio[[#This Row],[Stock en uso]]+Material_de_vidrio[[#This Row],[Stock nuevo]]</f>
        <v>3</v>
      </c>
      <c r="G3" s="372">
        <v>43978</v>
      </c>
      <c r="H3" s="19"/>
      <c r="I3" s="126" t="str">
        <f>CONCATENATE(Material_de_vidrio[[#This Row],[Material]]," ",Material_de_vidrio[[#This Row],[Especificación]]," ",Material_de_vidrio[[#This Row],[Tamaño]])</f>
        <v xml:space="preserve">Agarraderas de metal  </v>
      </c>
      <c r="J3" s="110"/>
      <c r="K3" s="110"/>
    </row>
    <row r="4" spans="1:11" ht="15.75" x14ac:dyDescent="0.25">
      <c r="A4" s="124" t="s">
        <v>442</v>
      </c>
      <c r="B4" s="124"/>
      <c r="C4" s="125" t="s">
        <v>264</v>
      </c>
      <c r="D4" s="31"/>
      <c r="E4" s="31">
        <v>2</v>
      </c>
      <c r="F4" s="41">
        <f>Material_de_vidrio[[#This Row],[Stock en uso]]+Material_de_vidrio[[#This Row],[Stock nuevo]]</f>
        <v>2</v>
      </c>
      <c r="G4" s="372">
        <v>43978</v>
      </c>
      <c r="H4" s="19"/>
      <c r="I4" s="126" t="str">
        <f>CONCATENATE(Material_de_vidrio[[#This Row],[Material]]," ",Material_de_vidrio[[#This Row],[Especificación]]," ",Material_de_vidrio[[#This Row],[Tamaño]])</f>
        <v>Ampollas extracción  2000 ml</v>
      </c>
      <c r="J4" s="110"/>
      <c r="K4" s="110"/>
    </row>
    <row r="5" spans="1:11" ht="15.75" x14ac:dyDescent="0.25">
      <c r="A5" s="124" t="s">
        <v>442</v>
      </c>
      <c r="B5" s="124"/>
      <c r="C5" s="125" t="s">
        <v>265</v>
      </c>
      <c r="D5" s="31"/>
      <c r="E5" s="31">
        <v>1</v>
      </c>
      <c r="F5" s="41">
        <f>Material_de_vidrio[[#This Row],[Stock en uso]]+Material_de_vidrio[[#This Row],[Stock nuevo]]</f>
        <v>1</v>
      </c>
      <c r="G5" s="372">
        <v>43978</v>
      </c>
      <c r="H5" s="19"/>
      <c r="I5" s="126" t="str">
        <f>CONCATENATE(Material_de_vidrio[[#This Row],[Material]]," ",Material_de_vidrio[[#This Row],[Especificación]]," ",Material_de_vidrio[[#This Row],[Tamaño]])</f>
        <v>Ampollas extracción  1000 ml</v>
      </c>
      <c r="J5" s="110"/>
      <c r="K5" s="110"/>
    </row>
    <row r="6" spans="1:11" ht="15.75" x14ac:dyDescent="0.25">
      <c r="A6" s="124" t="s">
        <v>442</v>
      </c>
      <c r="B6" s="124"/>
      <c r="C6" s="125" t="s">
        <v>266</v>
      </c>
      <c r="D6" s="31"/>
      <c r="E6" s="31">
        <v>5</v>
      </c>
      <c r="F6" s="41">
        <f>Material_de_vidrio[[#This Row],[Stock en uso]]+Material_de_vidrio[[#This Row],[Stock nuevo]]</f>
        <v>5</v>
      </c>
      <c r="G6" s="372">
        <v>43978</v>
      </c>
      <c r="H6" s="19"/>
      <c r="I6" s="126" t="str">
        <f>CONCATENATE(Material_de_vidrio[[#This Row],[Material]]," ",Material_de_vidrio[[#This Row],[Especificación]]," ",Material_de_vidrio[[#This Row],[Tamaño]])</f>
        <v xml:space="preserve">Ampollas extracción  500 ml </v>
      </c>
      <c r="J6" s="110"/>
      <c r="K6" s="110"/>
    </row>
    <row r="7" spans="1:11" ht="15.75" x14ac:dyDescent="0.25">
      <c r="A7" s="124" t="s">
        <v>442</v>
      </c>
      <c r="B7" s="124"/>
      <c r="C7" s="125" t="s">
        <v>267</v>
      </c>
      <c r="D7" s="31"/>
      <c r="E7" s="31">
        <v>0</v>
      </c>
      <c r="F7" s="41">
        <f>Material_de_vidrio[[#This Row],[Stock en uso]]+Material_de_vidrio[[#This Row],[Stock nuevo]]</f>
        <v>0</v>
      </c>
      <c r="G7" s="372">
        <v>43978</v>
      </c>
      <c r="H7" s="19"/>
      <c r="I7" s="126" t="str">
        <f>CONCATENATE(Material_de_vidrio[[#This Row],[Material]]," ",Material_de_vidrio[[#This Row],[Especificación]]," ",Material_de_vidrio[[#This Row],[Tamaño]])</f>
        <v>Ampollas extracción  250 ml</v>
      </c>
      <c r="J7" s="110"/>
      <c r="K7" s="110"/>
    </row>
    <row r="8" spans="1:11" ht="15.75" x14ac:dyDescent="0.25">
      <c r="A8" s="124" t="s">
        <v>442</v>
      </c>
      <c r="B8" s="124"/>
      <c r="C8" s="125" t="s">
        <v>268</v>
      </c>
      <c r="D8" s="31"/>
      <c r="E8" s="31">
        <v>1</v>
      </c>
      <c r="F8" s="41">
        <f>Material_de_vidrio[[#This Row],[Stock en uso]]+Material_de_vidrio[[#This Row],[Stock nuevo]]</f>
        <v>1</v>
      </c>
      <c r="G8" s="372">
        <v>43978</v>
      </c>
      <c r="H8" s="19"/>
      <c r="I8" s="126" t="str">
        <f>CONCATENATE(Material_de_vidrio[[#This Row],[Material]]," ",Material_de_vidrio[[#This Row],[Especificación]]," ",Material_de_vidrio[[#This Row],[Tamaño]])</f>
        <v>Ampollas extracción  30 ml</v>
      </c>
      <c r="J8" s="110"/>
      <c r="K8" s="110"/>
    </row>
    <row r="9" spans="1:11" ht="15.75" x14ac:dyDescent="0.25">
      <c r="A9" s="124" t="s">
        <v>269</v>
      </c>
      <c r="B9" s="125" t="s">
        <v>261</v>
      </c>
      <c r="C9" s="125"/>
      <c r="D9" s="31"/>
      <c r="E9" s="31">
        <v>20</v>
      </c>
      <c r="F9" s="41">
        <f>Material_de_vidrio[[#This Row],[Stock en uso]]+Material_de_vidrio[[#This Row],[Stock nuevo]]</f>
        <v>20</v>
      </c>
      <c r="G9" s="372">
        <v>43978</v>
      </c>
      <c r="H9" s="19"/>
      <c r="I9" s="126" t="str">
        <f>CONCATENATE(Material_de_vidrio[[#This Row],[Material]]," ",Material_de_vidrio[[#This Row],[Especificación]]," ",Material_de_vidrio[[#This Row],[Tamaño]])</f>
        <v xml:space="preserve">Aros de metal chicos </v>
      </c>
      <c r="J9" s="110"/>
      <c r="K9" s="110"/>
    </row>
    <row r="10" spans="1:11" ht="15.75" x14ac:dyDescent="0.25">
      <c r="A10" s="124" t="s">
        <v>269</v>
      </c>
      <c r="B10" s="125" t="s">
        <v>270</v>
      </c>
      <c r="C10" s="125"/>
      <c r="D10" s="31"/>
      <c r="E10" s="31">
        <v>5</v>
      </c>
      <c r="F10" s="41">
        <f>Material_de_vidrio[[#This Row],[Stock en uso]]+Material_de_vidrio[[#This Row],[Stock nuevo]]</f>
        <v>5</v>
      </c>
      <c r="G10" s="372">
        <v>43978</v>
      </c>
      <c r="H10" s="19"/>
      <c r="I10" s="126" t="str">
        <f>CONCATENATE(Material_de_vidrio[[#This Row],[Material]]," ",Material_de_vidrio[[#This Row],[Especificación]]," ",Material_de_vidrio[[#This Row],[Tamaño]])</f>
        <v xml:space="preserve">Aros de metal grandes  </v>
      </c>
      <c r="J10" s="110"/>
      <c r="K10" s="110"/>
    </row>
    <row r="11" spans="1:11" ht="15.75" x14ac:dyDescent="0.25">
      <c r="A11" s="124" t="s">
        <v>271</v>
      </c>
      <c r="B11" s="124"/>
      <c r="C11" s="125" t="s">
        <v>265</v>
      </c>
      <c r="D11" s="31"/>
      <c r="E11" s="31">
        <v>0</v>
      </c>
      <c r="F11" s="41">
        <f>Material_de_vidrio[[#This Row],[Stock en uso]]+Material_de_vidrio[[#This Row],[Stock nuevo]]</f>
        <v>0</v>
      </c>
      <c r="G11" s="372">
        <v>43978</v>
      </c>
      <c r="H11" s="19"/>
      <c r="I11" s="126" t="str">
        <f>CONCATENATE(Material_de_vidrio[[#This Row],[Material]]," ",Material_de_vidrio[[#This Row],[Especificación]]," ",Material_de_vidrio[[#This Row],[Tamaño]])</f>
        <v>Balones esmerilados  1000 ml</v>
      </c>
      <c r="J11" s="110"/>
      <c r="K11" s="110"/>
    </row>
    <row r="12" spans="1:11" ht="15.75" x14ac:dyDescent="0.25">
      <c r="A12" s="124" t="s">
        <v>271</v>
      </c>
      <c r="B12" s="124"/>
      <c r="C12" s="125" t="s">
        <v>266</v>
      </c>
      <c r="D12" s="31"/>
      <c r="E12" s="31">
        <v>4</v>
      </c>
      <c r="F12" s="41">
        <f>Material_de_vidrio[[#This Row],[Stock en uso]]+Material_de_vidrio[[#This Row],[Stock nuevo]]</f>
        <v>4</v>
      </c>
      <c r="G12" s="372">
        <v>43978</v>
      </c>
      <c r="H12" s="19"/>
      <c r="I12" s="126" t="str">
        <f>CONCATENATE(Material_de_vidrio[[#This Row],[Material]]," ",Material_de_vidrio[[#This Row],[Especificación]]," ",Material_de_vidrio[[#This Row],[Tamaño]])</f>
        <v xml:space="preserve">Balones esmerilados  500 ml </v>
      </c>
      <c r="J12" s="110"/>
      <c r="K12" s="110"/>
    </row>
    <row r="13" spans="1:11" ht="15.75" x14ac:dyDescent="0.25">
      <c r="A13" s="124" t="s">
        <v>271</v>
      </c>
      <c r="B13" s="124"/>
      <c r="C13" s="125" t="s">
        <v>267</v>
      </c>
      <c r="D13" s="31"/>
      <c r="E13" s="31">
        <v>0</v>
      </c>
      <c r="F13" s="41">
        <f>Material_de_vidrio[[#This Row],[Stock en uso]]+Material_de_vidrio[[#This Row],[Stock nuevo]]</f>
        <v>0</v>
      </c>
      <c r="G13" s="372">
        <v>43978</v>
      </c>
      <c r="H13" s="19"/>
      <c r="I13" s="126" t="str">
        <f>CONCATENATE(Material_de_vidrio[[#This Row],[Material]]," ",Material_de_vidrio[[#This Row],[Especificación]]," ",Material_de_vidrio[[#This Row],[Tamaño]])</f>
        <v>Balones esmerilados  250 ml</v>
      </c>
      <c r="J13" s="110"/>
      <c r="K13" s="110"/>
    </row>
    <row r="14" spans="1:11" ht="15.75" x14ac:dyDescent="0.25">
      <c r="A14" s="124" t="s">
        <v>271</v>
      </c>
      <c r="B14" s="124"/>
      <c r="C14" s="125" t="s">
        <v>272</v>
      </c>
      <c r="D14" s="31"/>
      <c r="E14" s="31">
        <v>3</v>
      </c>
      <c r="F14" s="41">
        <f>Material_de_vidrio[[#This Row],[Stock en uso]]+Material_de_vidrio[[#This Row],[Stock nuevo]]</f>
        <v>3</v>
      </c>
      <c r="G14" s="372">
        <v>43978</v>
      </c>
      <c r="H14" s="19"/>
      <c r="I14" s="126" t="str">
        <f>CONCATENATE(Material_de_vidrio[[#This Row],[Material]]," ",Material_de_vidrio[[#This Row],[Especificación]]," ",Material_de_vidrio[[#This Row],[Tamaño]])</f>
        <v>Balones esmerilados  125 ml</v>
      </c>
      <c r="J14" s="110"/>
      <c r="K14" s="110"/>
    </row>
    <row r="15" spans="1:11" ht="15.75" x14ac:dyDescent="0.25">
      <c r="A15" s="124" t="s">
        <v>271</v>
      </c>
      <c r="B15" s="124"/>
      <c r="C15" s="125" t="s">
        <v>285</v>
      </c>
      <c r="D15" s="31"/>
      <c r="E15" s="31">
        <v>8</v>
      </c>
      <c r="F15" s="41">
        <f>Material_de_vidrio[[#This Row],[Stock en uso]]+Material_de_vidrio[[#This Row],[Stock nuevo]]</f>
        <v>8</v>
      </c>
      <c r="G15" s="372">
        <v>43978</v>
      </c>
      <c r="H15" s="19"/>
      <c r="I15" s="126" t="str">
        <f>CONCATENATE(Material_de_vidrio[[#This Row],[Material]]," ",Material_de_vidrio[[#This Row],[Especificación]]," ",Material_de_vidrio[[#This Row],[Tamaño]])</f>
        <v>Balones esmerilados  100 ml</v>
      </c>
      <c r="J15" s="110"/>
      <c r="K15" s="110"/>
    </row>
    <row r="16" spans="1:11" ht="15.75" x14ac:dyDescent="0.25">
      <c r="A16" s="124" t="s">
        <v>274</v>
      </c>
      <c r="B16" s="124"/>
      <c r="C16" s="125" t="s">
        <v>275</v>
      </c>
      <c r="D16" s="31"/>
      <c r="E16" s="31">
        <v>18</v>
      </c>
      <c r="F16" s="41">
        <f>Material_de_vidrio[[#This Row],[Stock en uso]]+Material_de_vidrio[[#This Row],[Stock nuevo]]</f>
        <v>18</v>
      </c>
      <c r="G16" s="372">
        <v>43978</v>
      </c>
      <c r="H16" s="19"/>
      <c r="I16" s="126" t="str">
        <f>CONCATENATE(Material_de_vidrio[[#This Row],[Material]]," ",Material_de_vidrio[[#This Row],[Especificación]]," ",Material_de_vidrio[[#This Row],[Tamaño]])</f>
        <v>Botellas DBO  500ml</v>
      </c>
      <c r="J16" s="110"/>
      <c r="K16" s="110"/>
    </row>
    <row r="17" spans="1:11" ht="15.75" x14ac:dyDescent="0.25">
      <c r="A17" s="124" t="s">
        <v>276</v>
      </c>
      <c r="B17" s="124"/>
      <c r="C17" s="125" t="s">
        <v>277</v>
      </c>
      <c r="D17" s="31"/>
      <c r="E17" s="31">
        <v>1</v>
      </c>
      <c r="F17" s="41">
        <f>Material_de_vidrio[[#This Row],[Stock en uso]]+Material_de_vidrio[[#This Row],[Stock nuevo]]</f>
        <v>1</v>
      </c>
      <c r="G17" s="372">
        <v>43978</v>
      </c>
      <c r="H17" s="19"/>
      <c r="I17" s="126" t="str">
        <f>CONCATENATE(Material_de_vidrio[[#This Row],[Material]]," ",Material_de_vidrio[[#This Row],[Especificación]]," ",Material_de_vidrio[[#This Row],[Tamaño]])</f>
        <v>Buretas  25 ml</v>
      </c>
      <c r="J17" s="110"/>
      <c r="K17" s="110"/>
    </row>
    <row r="18" spans="1:11" ht="15.75" x14ac:dyDescent="0.25">
      <c r="A18" s="124" t="s">
        <v>276</v>
      </c>
      <c r="B18" s="124"/>
      <c r="C18" s="125" t="s">
        <v>278</v>
      </c>
      <c r="D18" s="31"/>
      <c r="E18" s="31">
        <v>1</v>
      </c>
      <c r="F18" s="41">
        <f>Material_de_vidrio[[#This Row],[Stock en uso]]+Material_de_vidrio[[#This Row],[Stock nuevo]]</f>
        <v>1</v>
      </c>
      <c r="G18" s="372">
        <v>43978</v>
      </c>
      <c r="H18" s="19"/>
      <c r="I18" s="126" t="str">
        <f>CONCATENATE(Material_de_vidrio[[#This Row],[Material]]," ",Material_de_vidrio[[#This Row],[Especificación]]," ",Material_de_vidrio[[#This Row],[Tamaño]])</f>
        <v>Buretas  10 ml</v>
      </c>
      <c r="J18" s="110"/>
      <c r="K18" s="110"/>
    </row>
    <row r="19" spans="1:11" ht="15.75" x14ac:dyDescent="0.25">
      <c r="A19" s="124" t="s">
        <v>276</v>
      </c>
      <c r="B19" s="127"/>
      <c r="C19" s="125" t="s">
        <v>273</v>
      </c>
      <c r="D19" s="58"/>
      <c r="E19" s="58">
        <v>1</v>
      </c>
      <c r="F19" s="41">
        <f>Material_de_vidrio[[#This Row],[Stock en uso]]+Material_de_vidrio[[#This Row],[Stock nuevo]]</f>
        <v>1</v>
      </c>
      <c r="G19" s="372">
        <v>43978</v>
      </c>
      <c r="H19" s="58"/>
      <c r="I19" s="59" t="str">
        <f>CONCATENATE(Material_de_vidrio[[#This Row],[Material]]," ",Material_de_vidrio[[#This Row],[Especificación]]," ",Material_de_vidrio[[#This Row],[Tamaño]])</f>
        <v>Buretas  50 ml</v>
      </c>
      <c r="J19" s="110"/>
      <c r="K19" s="110"/>
    </row>
    <row r="20" spans="1:11" ht="15.75" x14ac:dyDescent="0.25">
      <c r="A20" s="124" t="s">
        <v>279</v>
      </c>
      <c r="B20" s="125" t="s">
        <v>270</v>
      </c>
      <c r="C20" s="125"/>
      <c r="D20" s="31"/>
      <c r="E20" s="31">
        <v>11</v>
      </c>
      <c r="F20" s="41">
        <f>Material_de_vidrio[[#This Row],[Stock en uso]]+Material_de_vidrio[[#This Row],[Stock nuevo]]</f>
        <v>11</v>
      </c>
      <c r="G20" s="372">
        <v>43978</v>
      </c>
      <c r="H20" s="19"/>
      <c r="I20" s="126" t="str">
        <f>CONCATENATE(Material_de_vidrio[[#This Row],[Material]]," ",Material_de_vidrio[[#This Row],[Especificación]]," ",Material_de_vidrio[[#This Row],[Tamaño]])</f>
        <v xml:space="preserve">Buzos grandes  </v>
      </c>
      <c r="J20" s="110"/>
      <c r="K20" s="110"/>
    </row>
    <row r="21" spans="1:11" ht="15.75" x14ac:dyDescent="0.25">
      <c r="A21" s="124" t="s">
        <v>279</v>
      </c>
      <c r="B21" s="125" t="s">
        <v>280</v>
      </c>
      <c r="C21" s="125"/>
      <c r="D21" s="31"/>
      <c r="E21" s="31">
        <v>12</v>
      </c>
      <c r="F21" s="41">
        <f>Material_de_vidrio[[#This Row],[Stock en uso]]+Material_de_vidrio[[#This Row],[Stock nuevo]]</f>
        <v>12</v>
      </c>
      <c r="G21" s="372">
        <v>44179</v>
      </c>
      <c r="H21" s="19"/>
      <c r="I21" s="126" t="str">
        <f>CONCATENATE(Material_de_vidrio[[#This Row],[Material]]," ",Material_de_vidrio[[#This Row],[Especificación]]," ",Material_de_vidrio[[#This Row],[Tamaño]])</f>
        <v xml:space="preserve">Buzos medianos </v>
      </c>
      <c r="J21" s="110"/>
      <c r="K21" s="110"/>
    </row>
    <row r="22" spans="1:11" ht="15.75" x14ac:dyDescent="0.25">
      <c r="A22" s="124" t="s">
        <v>279</v>
      </c>
      <c r="B22" s="125" t="s">
        <v>261</v>
      </c>
      <c r="C22" s="125"/>
      <c r="D22" s="31"/>
      <c r="E22" s="31">
        <v>12</v>
      </c>
      <c r="F22" s="41">
        <f>Material_de_vidrio[[#This Row],[Stock en uso]]+Material_de_vidrio[[#This Row],[Stock nuevo]]</f>
        <v>12</v>
      </c>
      <c r="G22" s="372">
        <v>44179</v>
      </c>
      <c r="H22" s="19"/>
      <c r="I22" s="126" t="str">
        <f>CONCATENATE(Material_de_vidrio[[#This Row],[Material]]," ",Material_de_vidrio[[#This Row],[Especificación]]," ",Material_de_vidrio[[#This Row],[Tamaño]])</f>
        <v xml:space="preserve">Buzos chicos </v>
      </c>
      <c r="J22" s="110"/>
      <c r="K22" s="110"/>
    </row>
    <row r="23" spans="1:11" ht="15.75" x14ac:dyDescent="0.25">
      <c r="A23" s="124" t="s">
        <v>281</v>
      </c>
      <c r="B23" s="125" t="s">
        <v>282</v>
      </c>
      <c r="C23" s="125"/>
      <c r="D23" s="31"/>
      <c r="E23" s="31">
        <v>10</v>
      </c>
      <c r="F23" s="41">
        <f>Material_de_vidrio[[#This Row],[Stock en uso]]+Material_de_vidrio[[#This Row],[Stock nuevo]]</f>
        <v>10</v>
      </c>
      <c r="G23" s="372">
        <v>43978</v>
      </c>
      <c r="H23" s="19"/>
      <c r="I23" s="126" t="str">
        <f>CONCATENATE(Material_de_vidrio[[#This Row],[Material]]," ",Material_de_vidrio[[#This Row],[Especificación]]," ",Material_de_vidrio[[#This Row],[Tamaño]])</f>
        <v xml:space="preserve">Crisoles altos </v>
      </c>
      <c r="J23" s="110"/>
      <c r="K23" s="110"/>
    </row>
    <row r="24" spans="1:11" ht="15.75" x14ac:dyDescent="0.25">
      <c r="A24" s="124" t="s">
        <v>281</v>
      </c>
      <c r="B24" s="125" t="s">
        <v>283</v>
      </c>
      <c r="C24" s="125"/>
      <c r="D24" s="31"/>
      <c r="E24" s="31">
        <v>3</v>
      </c>
      <c r="F24" s="41">
        <f>Material_de_vidrio[[#This Row],[Stock en uso]]+Material_de_vidrio[[#This Row],[Stock nuevo]]</f>
        <v>3</v>
      </c>
      <c r="G24" s="372">
        <v>43978</v>
      </c>
      <c r="H24" s="19"/>
      <c r="I24" s="126" t="str">
        <f>CONCATENATE(Material_de_vidrio[[#This Row],[Material]]," ",Material_de_vidrio[[#This Row],[Especificación]]," ",Material_de_vidrio[[#This Row],[Tamaño]])</f>
        <v xml:space="preserve">Crisoles anchos </v>
      </c>
      <c r="J24" s="110"/>
      <c r="K24" s="110"/>
    </row>
    <row r="25" spans="1:11" ht="15.75" x14ac:dyDescent="0.25">
      <c r="A25" s="124" t="s">
        <v>284</v>
      </c>
      <c r="B25" s="124"/>
      <c r="C25" s="125" t="s">
        <v>267</v>
      </c>
      <c r="D25" s="31"/>
      <c r="E25" s="31">
        <v>13</v>
      </c>
      <c r="F25" s="41">
        <f>Material_de_vidrio[[#This Row],[Stock en uso]]+Material_de_vidrio[[#This Row],[Stock nuevo]]</f>
        <v>13</v>
      </c>
      <c r="G25" s="372">
        <v>43978</v>
      </c>
      <c r="H25" s="19"/>
      <c r="I25" s="126" t="str">
        <f>CONCATENATE(Material_de_vidrio[[#This Row],[Material]]," ",Material_de_vidrio[[#This Row],[Especificación]]," ",Material_de_vidrio[[#This Row],[Tamaño]])</f>
        <v>Cristalizadores  250 ml</v>
      </c>
      <c r="J25" s="110"/>
      <c r="K25" s="110"/>
    </row>
    <row r="26" spans="1:11" ht="15.75" x14ac:dyDescent="0.25">
      <c r="A26" s="124" t="s">
        <v>284</v>
      </c>
      <c r="B26" s="124"/>
      <c r="C26" s="125" t="s">
        <v>285</v>
      </c>
      <c r="D26" s="31"/>
      <c r="E26" s="31">
        <v>6</v>
      </c>
      <c r="F26" s="41">
        <f>Material_de_vidrio[[#This Row],[Stock en uso]]+Material_de_vidrio[[#This Row],[Stock nuevo]]</f>
        <v>6</v>
      </c>
      <c r="G26" s="372">
        <v>44326</v>
      </c>
      <c r="H26" s="19"/>
      <c r="I26" s="126" t="str">
        <f>CONCATENATE(Material_de_vidrio[[#This Row],[Material]]," ",Material_de_vidrio[[#This Row],[Especificación]]," ",Material_de_vidrio[[#This Row],[Tamaño]])</f>
        <v>Cristalizadores  100 ml</v>
      </c>
      <c r="J26" s="110"/>
      <c r="K26" s="110"/>
    </row>
    <row r="27" spans="1:11" ht="15.75" x14ac:dyDescent="0.25">
      <c r="A27" s="124" t="s">
        <v>466</v>
      </c>
      <c r="B27" s="124" t="s">
        <v>292</v>
      </c>
      <c r="C27" s="125" t="s">
        <v>278</v>
      </c>
      <c r="D27" s="31"/>
      <c r="E27" s="31">
        <v>5</v>
      </c>
      <c r="F27" s="41">
        <f>Material_de_vidrio[[#This Row],[Stock en uso]]+Material_de_vidrio[[#This Row],[Stock nuevo]]</f>
        <v>5</v>
      </c>
      <c r="G27" s="372">
        <v>43978</v>
      </c>
      <c r="H27" s="19"/>
      <c r="I27" s="126" t="str">
        <f>CONCATENATE(Material_de_vidrio[[#This Row],[Material]]," ",Material_de_vidrio[[#This Row],[Especificación]]," ",Material_de_vidrio[[#This Row],[Tamaño]])</f>
        <v>Cubetas Vidrio 10 ml</v>
      </c>
      <c r="J27" s="110"/>
      <c r="K27" s="110"/>
    </row>
    <row r="28" spans="1:11" ht="15.75" x14ac:dyDescent="0.25">
      <c r="A28" s="124" t="s">
        <v>466</v>
      </c>
      <c r="B28" s="124" t="s">
        <v>292</v>
      </c>
      <c r="C28" s="125" t="s">
        <v>277</v>
      </c>
      <c r="D28" s="31"/>
      <c r="E28" s="31">
        <v>4</v>
      </c>
      <c r="F28" s="41">
        <f>Material_de_vidrio[[#This Row],[Stock en uso]]+Material_de_vidrio[[#This Row],[Stock nuevo]]</f>
        <v>4</v>
      </c>
      <c r="G28" s="372">
        <v>43978</v>
      </c>
      <c r="H28" s="19"/>
      <c r="I28" s="126" t="str">
        <f>CONCATENATE(Material_de_vidrio[[#This Row],[Material]]," ",Material_de_vidrio[[#This Row],[Especificación]]," ",Material_de_vidrio[[#This Row],[Tamaño]])</f>
        <v>Cubetas Vidrio 25 ml</v>
      </c>
      <c r="J28" s="110"/>
      <c r="K28" s="110"/>
    </row>
    <row r="29" spans="1:11" ht="15.75" x14ac:dyDescent="0.25">
      <c r="A29" s="124" t="s">
        <v>466</v>
      </c>
      <c r="B29" s="124" t="s">
        <v>292</v>
      </c>
      <c r="C29" s="125" t="s">
        <v>286</v>
      </c>
      <c r="D29" s="31"/>
      <c r="E29" s="31">
        <v>1</v>
      </c>
      <c r="F29" s="41">
        <f>Material_de_vidrio[[#This Row],[Stock en uso]]+Material_de_vidrio[[#This Row],[Stock nuevo]]</f>
        <v>1</v>
      </c>
      <c r="G29" s="372">
        <v>43978</v>
      </c>
      <c r="H29" s="19"/>
      <c r="I29" s="126" t="str">
        <f>CONCATENATE(Material_de_vidrio[[#This Row],[Material]]," ",Material_de_vidrio[[#This Row],[Especificación]]," ",Material_de_vidrio[[#This Row],[Tamaño]])</f>
        <v>Cubetas Vidrio 5 ml</v>
      </c>
      <c r="J29" s="110"/>
      <c r="K29" s="110"/>
    </row>
    <row r="30" spans="1:11" ht="15.75" x14ac:dyDescent="0.25">
      <c r="A30" s="124" t="s">
        <v>466</v>
      </c>
      <c r="B30" s="124" t="s">
        <v>435</v>
      </c>
      <c r="C30" s="125" t="s">
        <v>286</v>
      </c>
      <c r="D30" s="31"/>
      <c r="E30" s="31">
        <v>2</v>
      </c>
      <c r="F30" s="41">
        <f>Material_de_vidrio[[#This Row],[Stock en uso]]+Material_de_vidrio[[#This Row],[Stock nuevo]]</f>
        <v>2</v>
      </c>
      <c r="G30" s="372">
        <v>43978</v>
      </c>
      <c r="H30" s="19"/>
      <c r="I30" s="126" t="str">
        <f>CONCATENATE(Material_de_vidrio[[#This Row],[Material]]," ",Material_de_vidrio[[#This Row],[Especificación]]," ",Material_de_vidrio[[#This Row],[Tamaño]])</f>
        <v>Cubetas Cuarzo 5 ml</v>
      </c>
      <c r="J30" s="110"/>
      <c r="K30" s="110"/>
    </row>
    <row r="31" spans="1:11" ht="15.75" x14ac:dyDescent="0.25">
      <c r="A31" s="124" t="s">
        <v>466</v>
      </c>
      <c r="B31" s="124" t="s">
        <v>468</v>
      </c>
      <c r="C31" s="125"/>
      <c r="D31" s="31"/>
      <c r="E31" s="31">
        <v>1</v>
      </c>
      <c r="F31" s="41">
        <f>Material_de_vidrio[[#This Row],[Stock en uso]]+Material_de_vidrio[[#This Row],[Stock nuevo]]</f>
        <v>1</v>
      </c>
      <c r="G31" s="372">
        <v>43978</v>
      </c>
      <c r="H31" s="19"/>
      <c r="I31" s="126" t="str">
        <f>CONCATENATE(Material_de_vidrio[[#This Row],[Material]]," ",Material_de_vidrio[[#This Row],[Especificación]]," ",Material_de_vidrio[[#This Row],[Tamaño]])</f>
        <v xml:space="preserve">Cubetas Cuarzo micro </v>
      </c>
      <c r="J31" s="110"/>
      <c r="K31" s="110"/>
    </row>
    <row r="32" spans="1:11" ht="15.75" x14ac:dyDescent="0.25">
      <c r="A32" s="124" t="s">
        <v>287</v>
      </c>
      <c r="B32" s="124" t="s">
        <v>292</v>
      </c>
      <c r="C32" s="125" t="s">
        <v>469</v>
      </c>
      <c r="D32" s="31"/>
      <c r="E32" s="31">
        <v>1</v>
      </c>
      <c r="F32" s="41">
        <f>Material_de_vidrio[[#This Row],[Stock en uso]]+Material_de_vidrio[[#This Row],[Stock nuevo]]</f>
        <v>1</v>
      </c>
      <c r="G32" s="372">
        <v>43978</v>
      </c>
      <c r="H32" s="19"/>
      <c r="I32" s="126" t="str">
        <f>CONCATENATE(Material_de_vidrio[[#This Row],[Material]]," ",Material_de_vidrio[[#This Row],[Especificación]]," ",Material_de_vidrio[[#This Row],[Tamaño]])</f>
        <v>Desecadores Vidrio Grande</v>
      </c>
      <c r="J32" s="110"/>
      <c r="K32" s="110"/>
    </row>
    <row r="33" spans="1:11" ht="15.75" x14ac:dyDescent="0.25">
      <c r="A33" s="124" t="s">
        <v>287</v>
      </c>
      <c r="B33" s="124" t="s">
        <v>427</v>
      </c>
      <c r="C33" s="125" t="s">
        <v>470</v>
      </c>
      <c r="D33" s="31"/>
      <c r="E33" s="31">
        <v>1</v>
      </c>
      <c r="F33" s="41">
        <f>Material_de_vidrio[[#This Row],[Stock en uso]]+Material_de_vidrio[[#This Row],[Stock nuevo]]</f>
        <v>1</v>
      </c>
      <c r="G33" s="372">
        <v>43978</v>
      </c>
      <c r="H33" s="19"/>
      <c r="I33" s="126" t="str">
        <f>CONCATENATE(Material_de_vidrio[[#This Row],[Material]]," ",Material_de_vidrio[[#This Row],[Especificación]]," ",Material_de_vidrio[[#This Row],[Tamaño]])</f>
        <v>Desecadores Plástico Chico</v>
      </c>
      <c r="J33" s="110"/>
      <c r="K33" s="110"/>
    </row>
    <row r="34" spans="1:11" ht="15.75" x14ac:dyDescent="0.25">
      <c r="A34" s="124" t="s">
        <v>290</v>
      </c>
      <c r="B34" s="124" t="s">
        <v>427</v>
      </c>
      <c r="C34" s="125" t="s">
        <v>288</v>
      </c>
      <c r="D34" s="31"/>
      <c r="E34" s="31">
        <v>5</v>
      </c>
      <c r="F34" s="41">
        <f>Material_de_vidrio[[#This Row],[Stock en uso]]+Material_de_vidrio[[#This Row],[Stock nuevo]]</f>
        <v>5</v>
      </c>
      <c r="G34" s="372">
        <v>44133</v>
      </c>
      <c r="H34" s="19"/>
      <c r="I34" s="126" t="str">
        <f>CONCATENATE(Material_de_vidrio[[#This Row],[Material]]," ",Material_de_vidrio[[#This Row],[Especificación]]," ",Material_de_vidrio[[#This Row],[Tamaño]])</f>
        <v>Embudos Plástico grande</v>
      </c>
      <c r="J34" s="110"/>
      <c r="K34" s="110"/>
    </row>
    <row r="35" spans="1:11" ht="15.75" x14ac:dyDescent="0.25">
      <c r="A35" s="124" t="s">
        <v>290</v>
      </c>
      <c r="B35" s="124" t="s">
        <v>427</v>
      </c>
      <c r="C35" s="125" t="s">
        <v>291</v>
      </c>
      <c r="D35" s="31"/>
      <c r="E35" s="31">
        <v>10</v>
      </c>
      <c r="F35" s="41">
        <f>Material_de_vidrio[[#This Row],[Stock en uso]]+Material_de_vidrio[[#This Row],[Stock nuevo]]</f>
        <v>10</v>
      </c>
      <c r="G35" s="372">
        <v>44326</v>
      </c>
      <c r="H35" s="19"/>
      <c r="I35" s="126" t="str">
        <f>CONCATENATE(Material_de_vidrio[[#This Row],[Material]]," ",Material_de_vidrio[[#This Row],[Especificación]]," ",Material_de_vidrio[[#This Row],[Tamaño]])</f>
        <v>Embudos Plástico mediano</v>
      </c>
      <c r="J35" s="110"/>
      <c r="K35" s="110"/>
    </row>
    <row r="36" spans="1:11" ht="15.75" x14ac:dyDescent="0.25">
      <c r="A36" s="124" t="s">
        <v>290</v>
      </c>
      <c r="B36" s="124" t="s">
        <v>427</v>
      </c>
      <c r="C36" s="125" t="s">
        <v>289</v>
      </c>
      <c r="D36" s="31"/>
      <c r="E36" s="31">
        <v>10</v>
      </c>
      <c r="F36" s="41">
        <f>Material_de_vidrio[[#This Row],[Stock en uso]]+Material_de_vidrio[[#This Row],[Stock nuevo]]</f>
        <v>10</v>
      </c>
      <c r="G36" s="372">
        <v>43978</v>
      </c>
      <c r="H36" s="19"/>
      <c r="I36" s="126" t="str">
        <f>CONCATENATE(Material_de_vidrio[[#This Row],[Material]]," ",Material_de_vidrio[[#This Row],[Especificación]]," ",Material_de_vidrio[[#This Row],[Tamaño]])</f>
        <v>Embudos Plástico chico</v>
      </c>
      <c r="J36" s="110"/>
      <c r="K36" s="110"/>
    </row>
    <row r="37" spans="1:11" ht="15.75" x14ac:dyDescent="0.25">
      <c r="A37" s="124" t="s">
        <v>290</v>
      </c>
      <c r="B37" s="124" t="s">
        <v>292</v>
      </c>
      <c r="C37" s="125" t="s">
        <v>288</v>
      </c>
      <c r="D37" s="31"/>
      <c r="E37" s="31">
        <v>15</v>
      </c>
      <c r="F37" s="41">
        <f>Material_de_vidrio[[#This Row],[Stock en uso]]+Material_de_vidrio[[#This Row],[Stock nuevo]]</f>
        <v>15</v>
      </c>
      <c r="G37" s="372">
        <v>44179</v>
      </c>
      <c r="H37" s="19"/>
      <c r="I37" s="126" t="str">
        <f>CONCATENATE(Material_de_vidrio[[#This Row],[Material]]," ",Material_de_vidrio[[#This Row],[Especificación]]," ",Material_de_vidrio[[#This Row],[Tamaño]])</f>
        <v>Embudos Vidrio grande</v>
      </c>
      <c r="J37" s="110"/>
      <c r="K37" s="110"/>
    </row>
    <row r="38" spans="1:11" ht="15.75" x14ac:dyDescent="0.25">
      <c r="A38" s="124" t="s">
        <v>290</v>
      </c>
      <c r="B38" s="124" t="s">
        <v>292</v>
      </c>
      <c r="C38" s="125" t="s">
        <v>291</v>
      </c>
      <c r="D38" s="31"/>
      <c r="E38" s="31">
        <v>6</v>
      </c>
      <c r="F38" s="41">
        <f>Material_de_vidrio[[#This Row],[Stock en uso]]+Material_de_vidrio[[#This Row],[Stock nuevo]]</f>
        <v>6</v>
      </c>
      <c r="G38" s="372">
        <v>43978</v>
      </c>
      <c r="H38" s="19"/>
      <c r="I38" s="126" t="str">
        <f>CONCATENATE(Material_de_vidrio[[#This Row],[Material]]," ",Material_de_vidrio[[#This Row],[Especificación]]," ",Material_de_vidrio[[#This Row],[Tamaño]])</f>
        <v>Embudos Vidrio mediano</v>
      </c>
      <c r="J38" s="110"/>
      <c r="K38" s="110"/>
    </row>
    <row r="39" spans="1:11" ht="15.75" x14ac:dyDescent="0.25">
      <c r="A39" s="124" t="s">
        <v>290</v>
      </c>
      <c r="B39" s="124" t="s">
        <v>292</v>
      </c>
      <c r="C39" s="125" t="s">
        <v>289</v>
      </c>
      <c r="D39" s="31"/>
      <c r="E39" s="31">
        <v>1</v>
      </c>
      <c r="F39" s="41">
        <f>Material_de_vidrio[[#This Row],[Stock en uso]]+Material_de_vidrio[[#This Row],[Stock nuevo]]</f>
        <v>1</v>
      </c>
      <c r="G39" s="372">
        <v>43978</v>
      </c>
      <c r="H39" s="19"/>
      <c r="I39" s="126" t="str">
        <f>CONCATENATE(Material_de_vidrio[[#This Row],[Material]]," ",Material_de_vidrio[[#This Row],[Especificación]]," ",Material_de_vidrio[[#This Row],[Tamaño]])</f>
        <v>Embudos Vidrio chico</v>
      </c>
      <c r="J39" s="110"/>
      <c r="K39" s="110"/>
    </row>
    <row r="40" spans="1:11" ht="15.75" x14ac:dyDescent="0.25">
      <c r="A40" s="124" t="s">
        <v>290</v>
      </c>
      <c r="B40" s="124" t="s">
        <v>293</v>
      </c>
      <c r="C40" s="125" t="s">
        <v>288</v>
      </c>
      <c r="D40" s="31"/>
      <c r="E40" s="31">
        <v>2</v>
      </c>
      <c r="F40" s="41">
        <f>Material_de_vidrio[[#This Row],[Stock en uso]]+Material_de_vidrio[[#This Row],[Stock nuevo]]</f>
        <v>2</v>
      </c>
      <c r="G40" s="372">
        <v>43978</v>
      </c>
      <c r="H40" s="19"/>
      <c r="I40" s="126" t="str">
        <f>CONCATENATE(Material_de_vidrio[[#This Row],[Material]]," ",Material_de_vidrio[[#This Row],[Especificación]]," ",Material_de_vidrio[[#This Row],[Tamaño]])</f>
        <v>Embudos Buchner grande</v>
      </c>
      <c r="J40" s="110"/>
      <c r="K40" s="110"/>
    </row>
    <row r="41" spans="1:11" ht="15.75" x14ac:dyDescent="0.25">
      <c r="A41" s="124" t="s">
        <v>290</v>
      </c>
      <c r="B41" s="124" t="s">
        <v>293</v>
      </c>
      <c r="C41" s="125" t="s">
        <v>289</v>
      </c>
      <c r="D41" s="31"/>
      <c r="E41" s="31">
        <v>1</v>
      </c>
      <c r="F41" s="41">
        <f>Material_de_vidrio[[#This Row],[Stock en uso]]+Material_de_vidrio[[#This Row],[Stock nuevo]]</f>
        <v>1</v>
      </c>
      <c r="G41" s="372">
        <v>44326</v>
      </c>
      <c r="H41" s="19"/>
      <c r="I41" s="126" t="str">
        <f>CONCATENATE(Material_de_vidrio[[#This Row],[Material]]," ",Material_de_vidrio[[#This Row],[Especificación]]," ",Material_de_vidrio[[#This Row],[Tamaño]])</f>
        <v>Embudos Buchner chico</v>
      </c>
      <c r="J41" s="110"/>
      <c r="K41" s="110"/>
    </row>
    <row r="42" spans="1:11" ht="15.75" x14ac:dyDescent="0.25">
      <c r="A42" s="124" t="s">
        <v>310</v>
      </c>
      <c r="B42" s="125" t="s">
        <v>311</v>
      </c>
      <c r="C42" s="125"/>
      <c r="D42" s="31"/>
      <c r="E42" s="31">
        <v>1</v>
      </c>
      <c r="F42" s="41">
        <f>Material_de_vidrio[[#This Row],[Stock en uso]]+Material_de_vidrio[[#This Row],[Stock nuevo]]</f>
        <v>1</v>
      </c>
      <c r="G42" s="372">
        <v>43978</v>
      </c>
      <c r="H42" s="19"/>
      <c r="I42" s="126" t="str">
        <f>CONCATENATE(Material_de_vidrio[[#This Row],[Material]]," ",Material_de_vidrio[[#This Row],[Especificación]]," ",Material_de_vidrio[[#This Row],[Tamaño]])</f>
        <v xml:space="preserve">Equipo SOXHLET parte 1 </v>
      </c>
      <c r="J42" s="110"/>
      <c r="K42" s="110"/>
    </row>
    <row r="43" spans="1:11" ht="15.75" x14ac:dyDescent="0.25">
      <c r="A43" s="124" t="s">
        <v>310</v>
      </c>
      <c r="B43" s="125" t="s">
        <v>312</v>
      </c>
      <c r="C43" s="125"/>
      <c r="D43" s="31"/>
      <c r="E43" s="31">
        <v>1</v>
      </c>
      <c r="F43" s="41">
        <f>Material_de_vidrio[[#This Row],[Stock en uso]]+Material_de_vidrio[[#This Row],[Stock nuevo]]</f>
        <v>1</v>
      </c>
      <c r="G43" s="372">
        <v>43978</v>
      </c>
      <c r="H43" s="19"/>
      <c r="I43" s="126" t="str">
        <f>CONCATENATE(Material_de_vidrio[[#This Row],[Material]]," ",Material_de_vidrio[[#This Row],[Especificación]]," ",Material_de_vidrio[[#This Row],[Tamaño]])</f>
        <v xml:space="preserve">Equipo SOXHLET parte2 </v>
      </c>
      <c r="J43" s="110"/>
      <c r="K43" s="110"/>
    </row>
    <row r="44" spans="1:11" ht="15.75" x14ac:dyDescent="0.25">
      <c r="A44" s="124" t="s">
        <v>310</v>
      </c>
      <c r="B44" s="125" t="s">
        <v>313</v>
      </c>
      <c r="C44" s="125"/>
      <c r="D44" s="31"/>
      <c r="E44" s="31">
        <v>1</v>
      </c>
      <c r="F44" s="41">
        <f>Material_de_vidrio[[#This Row],[Stock en uso]]+Material_de_vidrio[[#This Row],[Stock nuevo]]</f>
        <v>1</v>
      </c>
      <c r="G44" s="372">
        <v>43978</v>
      </c>
      <c r="H44" s="19"/>
      <c r="I44" s="126" t="str">
        <f>CONCATENATE(Material_de_vidrio[[#This Row],[Material]]," ",Material_de_vidrio[[#This Row],[Especificación]]," ",Material_de_vidrio[[#This Row],[Tamaño]])</f>
        <v xml:space="preserve">Equipo SOXHLET balon </v>
      </c>
      <c r="J44" s="110"/>
      <c r="K44" s="110"/>
    </row>
    <row r="45" spans="1:11" ht="15.75" x14ac:dyDescent="0.25">
      <c r="A45" s="124" t="s">
        <v>294</v>
      </c>
      <c r="B45" s="124"/>
      <c r="C45" s="124"/>
      <c r="D45" s="31"/>
      <c r="E45" s="31">
        <v>9</v>
      </c>
      <c r="F45" s="41">
        <f>Material_de_vidrio[[#This Row],[Stock en uso]]+Material_de_vidrio[[#This Row],[Stock nuevo]]</f>
        <v>9</v>
      </c>
      <c r="G45" s="372">
        <v>43978</v>
      </c>
      <c r="H45" s="19"/>
      <c r="I45" s="126" t="str">
        <f>CONCATENATE(Material_de_vidrio[[#This Row],[Material]]," ",Material_de_vidrio[[#This Row],[Especificación]]," ",Material_de_vidrio[[#This Row],[Tamaño]])</f>
        <v xml:space="preserve">Equipos de arsénico  </v>
      </c>
      <c r="J45" s="110"/>
      <c r="K45" s="110"/>
    </row>
    <row r="46" spans="1:11" ht="15.75" x14ac:dyDescent="0.25">
      <c r="A46" s="124" t="s">
        <v>439</v>
      </c>
      <c r="B46" s="124" t="s">
        <v>436</v>
      </c>
      <c r="C46" s="125"/>
      <c r="D46" s="31"/>
      <c r="E46" s="31">
        <v>2</v>
      </c>
      <c r="F46" s="41">
        <f>Material_de_vidrio[[#This Row],[Stock en uso]]+Material_de_vidrio[[#This Row],[Stock nuevo]]</f>
        <v>2</v>
      </c>
      <c r="G46" s="372">
        <v>43978</v>
      </c>
      <c r="H46" s="19"/>
      <c r="I46" s="126" t="str">
        <f>CONCATENATE(Material_de_vidrio[[#This Row],[Material]]," ",Material_de_vidrio[[#This Row],[Especificación]]," ",Material_de_vidrio[[#This Row],[Tamaño]])</f>
        <v xml:space="preserve">Equipos de destilación Cabezal </v>
      </c>
      <c r="J46" s="110"/>
      <c r="K46" s="110"/>
    </row>
    <row r="47" spans="1:11" ht="15.75" x14ac:dyDescent="0.25">
      <c r="A47" s="124" t="s">
        <v>439</v>
      </c>
      <c r="B47" s="124" t="s">
        <v>437</v>
      </c>
      <c r="C47" s="125"/>
      <c r="D47" s="31"/>
      <c r="E47" s="31">
        <v>2</v>
      </c>
      <c r="F47" s="41">
        <f>Material_de_vidrio[[#This Row],[Stock en uso]]+Material_de_vidrio[[#This Row],[Stock nuevo]]</f>
        <v>2</v>
      </c>
      <c r="G47" s="372">
        <v>43978</v>
      </c>
      <c r="H47" s="19"/>
      <c r="I47" s="126" t="str">
        <f>CONCATENATE(Material_de_vidrio[[#This Row],[Material]]," ",Material_de_vidrio[[#This Row],[Especificación]]," ",Material_de_vidrio[[#This Row],[Tamaño]])</f>
        <v xml:space="preserve">Equipos de destilación Alargadera </v>
      </c>
      <c r="J47" s="110"/>
      <c r="K47" s="110"/>
    </row>
    <row r="48" spans="1:11" ht="15.75" x14ac:dyDescent="0.25">
      <c r="A48" s="124" t="s">
        <v>439</v>
      </c>
      <c r="B48" s="124" t="s">
        <v>438</v>
      </c>
      <c r="C48" s="125"/>
      <c r="D48" s="31"/>
      <c r="E48" s="31">
        <v>2</v>
      </c>
      <c r="F48" s="41">
        <f>Material_de_vidrio[[#This Row],[Stock en uso]]+Material_de_vidrio[[#This Row],[Stock nuevo]]</f>
        <v>2</v>
      </c>
      <c r="G48" s="372">
        <v>43978</v>
      </c>
      <c r="H48" s="19"/>
      <c r="I48" s="126" t="str">
        <f>CONCATENATE(Material_de_vidrio[[#This Row],[Material]]," ",Material_de_vidrio[[#This Row],[Especificación]]," ",Material_de_vidrio[[#This Row],[Tamaño]])</f>
        <v xml:space="preserve">Equipos de destilación Refrigerante </v>
      </c>
      <c r="J48" s="110"/>
      <c r="K48" s="110"/>
    </row>
    <row r="49" spans="1:11" ht="15.75" x14ac:dyDescent="0.25">
      <c r="A49" s="124" t="s">
        <v>432</v>
      </c>
      <c r="B49" s="124" t="s">
        <v>295</v>
      </c>
      <c r="C49" s="125" t="s">
        <v>266</v>
      </c>
      <c r="D49" s="31"/>
      <c r="E49" s="31">
        <v>0</v>
      </c>
      <c r="F49" s="41">
        <f>Material_de_vidrio[[#This Row],[Stock en uso]]+Material_de_vidrio[[#This Row],[Stock nuevo]]</f>
        <v>0</v>
      </c>
      <c r="G49" s="372">
        <v>43978</v>
      </c>
      <c r="H49" s="19"/>
      <c r="I49" s="126" t="str">
        <f>CONCATENATE(Material_de_vidrio[[#This Row],[Material]]," ",Material_de_vidrio[[#This Row],[Especificación]]," ",Material_de_vidrio[[#This Row],[Tamaño]])</f>
        <v xml:space="preserve">Erlenmeyer  c/esmeril 500 ml </v>
      </c>
      <c r="J49" s="110"/>
      <c r="K49" s="110"/>
    </row>
    <row r="50" spans="1:11" ht="15.75" x14ac:dyDescent="0.25">
      <c r="A50" s="124" t="s">
        <v>432</v>
      </c>
      <c r="B50" s="124" t="s">
        <v>295</v>
      </c>
      <c r="C50" s="125" t="s">
        <v>267</v>
      </c>
      <c r="D50" s="31"/>
      <c r="E50" s="31">
        <v>5</v>
      </c>
      <c r="F50" s="41">
        <f>Material_de_vidrio[[#This Row],[Stock en uso]]+Material_de_vidrio[[#This Row],[Stock nuevo]]</f>
        <v>5</v>
      </c>
      <c r="G50" s="372">
        <v>43978</v>
      </c>
      <c r="H50" s="19"/>
      <c r="I50" s="126" t="str">
        <f>CONCATENATE(Material_de_vidrio[[#This Row],[Material]]," ",Material_de_vidrio[[#This Row],[Especificación]]," ",Material_de_vidrio[[#This Row],[Tamaño]])</f>
        <v>Erlenmeyer  c/esmeril 250 ml</v>
      </c>
      <c r="J50" s="110"/>
      <c r="K50" s="110"/>
    </row>
    <row r="51" spans="1:11" ht="15.75" x14ac:dyDescent="0.25">
      <c r="A51" s="124" t="s">
        <v>432</v>
      </c>
      <c r="B51" s="124" t="s">
        <v>295</v>
      </c>
      <c r="C51" s="125" t="s">
        <v>272</v>
      </c>
      <c r="D51" s="31"/>
      <c r="E51" s="31">
        <v>11</v>
      </c>
      <c r="F51" s="41">
        <f>Material_de_vidrio[[#This Row],[Stock en uso]]+Material_de_vidrio[[#This Row],[Stock nuevo]]</f>
        <v>11</v>
      </c>
      <c r="G51" s="372">
        <v>43978</v>
      </c>
      <c r="H51" s="19"/>
      <c r="I51" s="126" t="str">
        <f>CONCATENATE(Material_de_vidrio[[#This Row],[Material]]," ",Material_de_vidrio[[#This Row],[Especificación]]," ",Material_de_vidrio[[#This Row],[Tamaño]])</f>
        <v>Erlenmeyer  c/esmeril 125 ml</v>
      </c>
      <c r="J51" s="110"/>
      <c r="K51" s="110"/>
    </row>
    <row r="52" spans="1:11" ht="15.75" x14ac:dyDescent="0.25">
      <c r="A52" s="124" t="s">
        <v>432</v>
      </c>
      <c r="B52" s="124" t="s">
        <v>295</v>
      </c>
      <c r="C52" s="125" t="s">
        <v>285</v>
      </c>
      <c r="D52" s="31"/>
      <c r="E52" s="31">
        <v>6</v>
      </c>
      <c r="F52" s="41">
        <f>Material_de_vidrio[[#This Row],[Stock en uso]]+Material_de_vidrio[[#This Row],[Stock nuevo]]</f>
        <v>6</v>
      </c>
      <c r="G52" s="372">
        <v>43978</v>
      </c>
      <c r="H52" s="19"/>
      <c r="I52" s="126" t="str">
        <f>CONCATENATE(Material_de_vidrio[[#This Row],[Material]]," ",Material_de_vidrio[[#This Row],[Especificación]]," ",Material_de_vidrio[[#This Row],[Tamaño]])</f>
        <v>Erlenmeyer  c/esmeril 100 ml</v>
      </c>
      <c r="J52" s="110"/>
      <c r="K52" s="110"/>
    </row>
    <row r="53" spans="1:11" ht="15.75" x14ac:dyDescent="0.25">
      <c r="A53" s="124" t="s">
        <v>432</v>
      </c>
      <c r="B53" s="124" t="s">
        <v>433</v>
      </c>
      <c r="C53" s="125" t="s">
        <v>266</v>
      </c>
      <c r="D53" s="31"/>
      <c r="E53" s="31">
        <v>5</v>
      </c>
      <c r="F53" s="41">
        <f>Material_de_vidrio[[#This Row],[Stock en uso]]+Material_de_vidrio[[#This Row],[Stock nuevo]]</f>
        <v>5</v>
      </c>
      <c r="G53" s="372">
        <v>43978</v>
      </c>
      <c r="H53" s="19"/>
      <c r="I53" s="126" t="str">
        <f>CONCATENATE(Material_de_vidrio[[#This Row],[Material]]," ",Material_de_vidrio[[#This Row],[Especificación]]," ",Material_de_vidrio[[#This Row],[Tamaño]])</f>
        <v xml:space="preserve">Erlenmeyer  s/esmeril 500 ml </v>
      </c>
      <c r="J53" s="110"/>
      <c r="K53" s="110"/>
    </row>
    <row r="54" spans="1:11" ht="15.75" x14ac:dyDescent="0.25">
      <c r="A54" s="124" t="s">
        <v>432</v>
      </c>
      <c r="B54" s="124" t="s">
        <v>433</v>
      </c>
      <c r="C54" s="125" t="s">
        <v>267</v>
      </c>
      <c r="D54" s="31"/>
      <c r="E54" s="31">
        <v>4</v>
      </c>
      <c r="F54" s="41">
        <f>Material_de_vidrio[[#This Row],[Stock en uso]]+Material_de_vidrio[[#This Row],[Stock nuevo]]</f>
        <v>4</v>
      </c>
      <c r="G54" s="372">
        <v>43978</v>
      </c>
      <c r="H54" s="19"/>
      <c r="I54" s="126" t="str">
        <f>CONCATENATE(Material_de_vidrio[[#This Row],[Material]]," ",Material_de_vidrio[[#This Row],[Especificación]]," ",Material_de_vidrio[[#This Row],[Tamaño]])</f>
        <v>Erlenmeyer  s/esmeril 250 ml</v>
      </c>
      <c r="J54" s="110"/>
      <c r="K54" s="110"/>
    </row>
    <row r="55" spans="1:11" ht="15.75" x14ac:dyDescent="0.25">
      <c r="A55" s="124" t="s">
        <v>432</v>
      </c>
      <c r="B55" s="124" t="s">
        <v>433</v>
      </c>
      <c r="C55" s="125" t="s">
        <v>296</v>
      </c>
      <c r="D55" s="31"/>
      <c r="E55" s="31">
        <v>1</v>
      </c>
      <c r="F55" s="41">
        <f>Material_de_vidrio[[#This Row],[Stock en uso]]+Material_de_vidrio[[#This Row],[Stock nuevo]]</f>
        <v>1</v>
      </c>
      <c r="G55" s="372">
        <v>43978</v>
      </c>
      <c r="H55" s="19"/>
      <c r="I55" s="126" t="str">
        <f>CONCATENATE(Material_de_vidrio[[#This Row],[Material]]," ",Material_de_vidrio[[#This Row],[Especificación]]," ",Material_de_vidrio[[#This Row],[Tamaño]])</f>
        <v>Erlenmeyer  s/esmeril 150 ml</v>
      </c>
      <c r="J55" s="110"/>
      <c r="K55" s="110"/>
    </row>
    <row r="56" spans="1:11" ht="15.75" x14ac:dyDescent="0.25">
      <c r="A56" s="124" t="s">
        <v>432</v>
      </c>
      <c r="B56" s="124" t="s">
        <v>433</v>
      </c>
      <c r="C56" s="125" t="s">
        <v>272</v>
      </c>
      <c r="D56" s="31"/>
      <c r="E56" s="31">
        <v>2</v>
      </c>
      <c r="F56" s="41">
        <f>Material_de_vidrio[[#This Row],[Stock en uso]]+Material_de_vidrio[[#This Row],[Stock nuevo]]</f>
        <v>2</v>
      </c>
      <c r="G56" s="372">
        <v>43978</v>
      </c>
      <c r="H56" s="19"/>
      <c r="I56" s="126" t="str">
        <f>CONCATENATE(Material_de_vidrio[[#This Row],[Material]]," ",Material_de_vidrio[[#This Row],[Especificación]]," ",Material_de_vidrio[[#This Row],[Tamaño]])</f>
        <v>Erlenmeyer  s/esmeril 125 ml</v>
      </c>
      <c r="J56" s="110"/>
      <c r="K56" s="110"/>
    </row>
    <row r="57" spans="1:11" ht="15.75" x14ac:dyDescent="0.25">
      <c r="A57" s="124" t="s">
        <v>297</v>
      </c>
      <c r="B57" s="125" t="s">
        <v>270</v>
      </c>
      <c r="C57" s="125"/>
      <c r="D57" s="31"/>
      <c r="E57" s="31">
        <v>3</v>
      </c>
      <c r="F57" s="41">
        <f>Material_de_vidrio[[#This Row],[Stock en uso]]+Material_de_vidrio[[#This Row],[Stock nuevo]]</f>
        <v>3</v>
      </c>
      <c r="G57" s="372">
        <v>43978</v>
      </c>
      <c r="H57" s="19"/>
      <c r="I57" s="126" t="str">
        <f>CONCATENATE(Material_de_vidrio[[#This Row],[Material]]," ",Material_de_vidrio[[#This Row],[Especificación]]," ",Material_de_vidrio[[#This Row],[Tamaño]])</f>
        <v xml:space="preserve">Espatulas grandes  </v>
      </c>
      <c r="J57" s="110"/>
      <c r="K57" s="110"/>
    </row>
    <row r="58" spans="1:11" ht="15.75" x14ac:dyDescent="0.25">
      <c r="A58" s="124" t="s">
        <v>297</v>
      </c>
      <c r="B58" s="125" t="s">
        <v>298</v>
      </c>
      <c r="C58" s="125"/>
      <c r="D58" s="31"/>
      <c r="E58" s="31">
        <v>2</v>
      </c>
      <c r="F58" s="41">
        <f>Material_de_vidrio[[#This Row],[Stock en uso]]+Material_de_vidrio[[#This Row],[Stock nuevo]]</f>
        <v>2</v>
      </c>
      <c r="G58" s="372">
        <v>43978</v>
      </c>
      <c r="H58" s="19"/>
      <c r="I58" s="126" t="str">
        <f>CONCATENATE(Material_de_vidrio[[#This Row],[Material]]," ",Material_de_vidrio[[#This Row],[Especificación]]," ",Material_de_vidrio[[#This Row],[Tamaño]])</f>
        <v xml:space="preserve">Espatulas chicas </v>
      </c>
      <c r="J58" s="110"/>
      <c r="K58" s="110"/>
    </row>
    <row r="59" spans="1:11" ht="15.75" x14ac:dyDescent="0.25">
      <c r="A59" s="124" t="s">
        <v>420</v>
      </c>
      <c r="B59" s="125" t="s">
        <v>288</v>
      </c>
      <c r="C59" s="125"/>
      <c r="D59" s="31"/>
      <c r="E59" s="31">
        <v>1</v>
      </c>
      <c r="F59" s="41">
        <f>Material_de_vidrio[[#This Row],[Stock en uso]]+Material_de_vidrio[[#This Row],[Stock nuevo]]</f>
        <v>1</v>
      </c>
      <c r="G59" s="372">
        <v>43978</v>
      </c>
      <c r="H59" s="19"/>
      <c r="I59" s="126" t="str">
        <f>CONCATENATE(Material_de_vidrio[[#This Row],[Material]]," ",Material_de_vidrio[[#This Row],[Especificación]]," ",Material_de_vidrio[[#This Row],[Tamaño]])</f>
        <v xml:space="preserve">Kitasatos grande </v>
      </c>
      <c r="J59" s="110"/>
      <c r="K59" s="110"/>
    </row>
    <row r="60" spans="1:11" ht="15.75" x14ac:dyDescent="0.25">
      <c r="A60" s="124" t="s">
        <v>420</v>
      </c>
      <c r="B60" s="125" t="s">
        <v>289</v>
      </c>
      <c r="C60" s="125"/>
      <c r="D60" s="31"/>
      <c r="E60" s="31">
        <v>0</v>
      </c>
      <c r="F60" s="41">
        <f>Material_de_vidrio[[#This Row],[Stock en uso]]+Material_de_vidrio[[#This Row],[Stock nuevo]]</f>
        <v>0</v>
      </c>
      <c r="G60" s="372">
        <v>43978</v>
      </c>
      <c r="H60" s="19"/>
      <c r="I60" s="126" t="str">
        <f>CONCATENATE(Material_de_vidrio[[#This Row],[Material]]," ",Material_de_vidrio[[#This Row],[Especificación]]," ",Material_de_vidrio[[#This Row],[Tamaño]])</f>
        <v xml:space="preserve">Kitasatos chico </v>
      </c>
      <c r="J60" s="110"/>
      <c r="K60" s="110"/>
    </row>
    <row r="61" spans="1:11" ht="15.75" x14ac:dyDescent="0.25">
      <c r="A61" s="124" t="s">
        <v>431</v>
      </c>
      <c r="B61" s="124" t="s">
        <v>428</v>
      </c>
      <c r="C61" s="125" t="s">
        <v>264</v>
      </c>
      <c r="D61" s="31"/>
      <c r="E61" s="31">
        <v>2</v>
      </c>
      <c r="F61" s="41">
        <f>Material_de_vidrio[[#This Row],[Stock en uso]]+Material_de_vidrio[[#This Row],[Stock nuevo]]</f>
        <v>2</v>
      </c>
      <c r="G61" s="372">
        <v>43978</v>
      </c>
      <c r="H61" s="19"/>
      <c r="I61" s="126" t="str">
        <f>CONCATENATE(Material_de_vidrio[[#This Row],[Material]]," ",Material_de_vidrio[[#This Row],[Especificación]]," ",Material_de_vidrio[[#This Row],[Tamaño]])</f>
        <v>Matraces Aforados 2000 ml</v>
      </c>
      <c r="J61" s="110"/>
      <c r="K61" s="110"/>
    </row>
    <row r="62" spans="1:11" ht="15.75" x14ac:dyDescent="0.25">
      <c r="A62" s="124" t="s">
        <v>431</v>
      </c>
      <c r="B62" s="124" t="s">
        <v>428</v>
      </c>
      <c r="C62" s="125" t="s">
        <v>265</v>
      </c>
      <c r="D62" s="31"/>
      <c r="E62" s="31">
        <v>4</v>
      </c>
      <c r="F62" s="41">
        <f>Material_de_vidrio[[#This Row],[Stock en uso]]+Material_de_vidrio[[#This Row],[Stock nuevo]]</f>
        <v>4</v>
      </c>
      <c r="G62" s="372">
        <v>43978</v>
      </c>
      <c r="H62" s="19"/>
      <c r="I62" s="126" t="str">
        <f>CONCATENATE(Material_de_vidrio[[#This Row],[Material]]," ",Material_de_vidrio[[#This Row],[Especificación]]," ",Material_de_vidrio[[#This Row],[Tamaño]])</f>
        <v>Matraces Aforados 1000 ml</v>
      </c>
      <c r="J62" s="110"/>
      <c r="K62" s="110"/>
    </row>
    <row r="63" spans="1:11" ht="15.75" x14ac:dyDescent="0.25">
      <c r="A63" s="124" t="s">
        <v>431</v>
      </c>
      <c r="B63" s="124" t="s">
        <v>428</v>
      </c>
      <c r="C63" s="125" t="s">
        <v>299</v>
      </c>
      <c r="D63" s="31"/>
      <c r="E63" s="31">
        <v>3</v>
      </c>
      <c r="F63" s="41">
        <f>Material_de_vidrio[[#This Row],[Stock en uso]]+Material_de_vidrio[[#This Row],[Stock nuevo]]</f>
        <v>3</v>
      </c>
      <c r="G63" s="372">
        <v>43978</v>
      </c>
      <c r="H63" s="19"/>
      <c r="I63" s="126" t="str">
        <f>CONCATENATE(Material_de_vidrio[[#This Row],[Material]]," ",Material_de_vidrio[[#This Row],[Especificación]]," ",Material_de_vidrio[[#This Row],[Tamaño]])</f>
        <v>Matraces Aforados 500 ml</v>
      </c>
      <c r="J63" s="110"/>
      <c r="K63" s="110"/>
    </row>
    <row r="64" spans="1:11" ht="15.75" x14ac:dyDescent="0.25">
      <c r="A64" s="124" t="s">
        <v>431</v>
      </c>
      <c r="B64" s="124" t="s">
        <v>428</v>
      </c>
      <c r="C64" s="125" t="s">
        <v>267</v>
      </c>
      <c r="D64" s="31"/>
      <c r="E64" s="31">
        <v>2</v>
      </c>
      <c r="F64" s="41">
        <f>Material_de_vidrio[[#This Row],[Stock en uso]]+Material_de_vidrio[[#This Row],[Stock nuevo]]</f>
        <v>2</v>
      </c>
      <c r="G64" s="372">
        <v>43978</v>
      </c>
      <c r="H64" s="19"/>
      <c r="I64" s="126" t="str">
        <f>CONCATENATE(Material_de_vidrio[[#This Row],[Material]]," ",Material_de_vidrio[[#This Row],[Especificación]]," ",Material_de_vidrio[[#This Row],[Tamaño]])</f>
        <v>Matraces Aforados 250 ml</v>
      </c>
      <c r="J64" s="110"/>
      <c r="K64" s="110"/>
    </row>
    <row r="65" spans="1:11" ht="15.75" x14ac:dyDescent="0.25">
      <c r="A65" s="124" t="s">
        <v>431</v>
      </c>
      <c r="B65" s="124" t="s">
        <v>428</v>
      </c>
      <c r="C65" s="125" t="s">
        <v>300</v>
      </c>
      <c r="D65" s="31"/>
      <c r="E65" s="31">
        <v>1</v>
      </c>
      <c r="F65" s="41">
        <f>Material_de_vidrio[[#This Row],[Stock en uso]]+Material_de_vidrio[[#This Row],[Stock nuevo]]</f>
        <v>1</v>
      </c>
      <c r="G65" s="372">
        <v>43978</v>
      </c>
      <c r="H65" s="19"/>
      <c r="I65" s="126" t="str">
        <f>CONCATENATE(Material_de_vidrio[[#This Row],[Material]]," ",Material_de_vidrio[[#This Row],[Especificación]]," ",Material_de_vidrio[[#This Row],[Tamaño]])</f>
        <v>Matraces Aforados 200 ml</v>
      </c>
      <c r="J65" s="110"/>
      <c r="K65" s="110"/>
    </row>
    <row r="66" spans="1:11" ht="15.75" x14ac:dyDescent="0.25">
      <c r="A66" s="124" t="s">
        <v>431</v>
      </c>
      <c r="B66" s="124" t="s">
        <v>428</v>
      </c>
      <c r="C66" s="125" t="s">
        <v>285</v>
      </c>
      <c r="D66" s="31"/>
      <c r="E66" s="31">
        <v>82</v>
      </c>
      <c r="F66" s="41">
        <f>Material_de_vidrio[[#This Row],[Stock en uso]]+Material_de_vidrio[[#This Row],[Stock nuevo]]</f>
        <v>82</v>
      </c>
      <c r="G66" s="372">
        <v>43978</v>
      </c>
      <c r="H66" s="19"/>
      <c r="I66" s="126" t="str">
        <f>CONCATENATE(Material_de_vidrio[[#This Row],[Material]]," ",Material_de_vidrio[[#This Row],[Especificación]]," ",Material_de_vidrio[[#This Row],[Tamaño]])</f>
        <v>Matraces Aforados 100 ml</v>
      </c>
      <c r="J66" s="110"/>
      <c r="K66" s="110"/>
    </row>
    <row r="67" spans="1:11" ht="15.75" x14ac:dyDescent="0.25">
      <c r="A67" s="124" t="s">
        <v>431</v>
      </c>
      <c r="B67" s="124" t="s">
        <v>428</v>
      </c>
      <c r="C67" s="125" t="s">
        <v>273</v>
      </c>
      <c r="D67" s="31"/>
      <c r="E67" s="31">
        <v>32</v>
      </c>
      <c r="F67" s="41">
        <f>Material_de_vidrio[[#This Row],[Stock en uso]]+Material_de_vidrio[[#This Row],[Stock nuevo]]</f>
        <v>32</v>
      </c>
      <c r="G67" s="372">
        <v>43978</v>
      </c>
      <c r="H67" s="19"/>
      <c r="I67" s="126" t="str">
        <f>CONCATENATE(Material_de_vidrio[[#This Row],[Material]]," ",Material_de_vidrio[[#This Row],[Especificación]]," ",Material_de_vidrio[[#This Row],[Tamaño]])</f>
        <v>Matraces Aforados 50 ml</v>
      </c>
      <c r="J67" s="110"/>
      <c r="K67" s="110"/>
    </row>
    <row r="68" spans="1:11" ht="15.75" x14ac:dyDescent="0.25">
      <c r="A68" s="124" t="s">
        <v>431</v>
      </c>
      <c r="B68" s="124" t="s">
        <v>428</v>
      </c>
      <c r="C68" s="125" t="s">
        <v>277</v>
      </c>
      <c r="D68" s="31"/>
      <c r="E68" s="31">
        <v>20</v>
      </c>
      <c r="F68" s="41">
        <f>Material_de_vidrio[[#This Row],[Stock en uso]]+Material_de_vidrio[[#This Row],[Stock nuevo]]</f>
        <v>20</v>
      </c>
      <c r="G68" s="372">
        <v>44182</v>
      </c>
      <c r="H68" s="19"/>
      <c r="I68" s="126" t="str">
        <f>CONCATENATE(Material_de_vidrio[[#This Row],[Material]]," ",Material_de_vidrio[[#This Row],[Especificación]]," ",Material_de_vidrio[[#This Row],[Tamaño]])</f>
        <v>Matraces Aforados 25 ml</v>
      </c>
      <c r="J68" s="110"/>
      <c r="K68" s="110"/>
    </row>
    <row r="69" spans="1:11" ht="15.75" x14ac:dyDescent="0.25">
      <c r="A69" s="124" t="s">
        <v>431</v>
      </c>
      <c r="B69" s="124" t="s">
        <v>428</v>
      </c>
      <c r="C69" s="125" t="s">
        <v>278</v>
      </c>
      <c r="D69" s="31"/>
      <c r="E69" s="31">
        <v>24</v>
      </c>
      <c r="F69" s="41">
        <f>Material_de_vidrio[[#This Row],[Stock en uso]]+Material_de_vidrio[[#This Row],[Stock nuevo]]</f>
        <v>24</v>
      </c>
      <c r="G69" s="372">
        <v>44182</v>
      </c>
      <c r="H69" s="19"/>
      <c r="I69" s="126" t="str">
        <f>CONCATENATE(Material_de_vidrio[[#This Row],[Material]]," ",Material_de_vidrio[[#This Row],[Especificación]]," ",Material_de_vidrio[[#This Row],[Tamaño]])</f>
        <v>Matraces Aforados 10 ml</v>
      </c>
      <c r="J69" s="110"/>
      <c r="K69" s="110"/>
    </row>
    <row r="70" spans="1:11" ht="15.75" x14ac:dyDescent="0.25">
      <c r="A70" s="124" t="s">
        <v>301</v>
      </c>
      <c r="B70" s="125" t="s">
        <v>270</v>
      </c>
      <c r="C70" s="125"/>
      <c r="D70" s="31"/>
      <c r="E70" s="31">
        <v>5</v>
      </c>
      <c r="F70" s="41">
        <f>Material_de_vidrio[[#This Row],[Stock en uso]]+Material_de_vidrio[[#This Row],[Stock nuevo]]</f>
        <v>5</v>
      </c>
      <c r="G70" s="372">
        <v>44369</v>
      </c>
      <c r="H70" s="19"/>
      <c r="I70" s="126" t="str">
        <f>CONCATENATE(Material_de_vidrio[[#This Row],[Material]]," ",Material_de_vidrio[[#This Row],[Especificación]]," ",Material_de_vidrio[[#This Row],[Tamaño]])</f>
        <v xml:space="preserve">Peritas grandes  </v>
      </c>
      <c r="J70" s="110"/>
      <c r="K70" s="110"/>
    </row>
    <row r="71" spans="1:11" ht="15.75" x14ac:dyDescent="0.25">
      <c r="A71" s="124" t="s">
        <v>301</v>
      </c>
      <c r="B71" s="125" t="s">
        <v>298</v>
      </c>
      <c r="C71" s="125"/>
      <c r="D71" s="31"/>
      <c r="E71" s="31">
        <v>5</v>
      </c>
      <c r="F71" s="41">
        <f>Material_de_vidrio[[#This Row],[Stock en uso]]+Material_de_vidrio[[#This Row],[Stock nuevo]]</f>
        <v>5</v>
      </c>
      <c r="G71" s="372">
        <v>44369</v>
      </c>
      <c r="H71" s="19"/>
      <c r="I71" s="126" t="str">
        <f>CONCATENATE(Material_de_vidrio[[#This Row],[Material]]," ",Material_de_vidrio[[#This Row],[Especificación]]," ",Material_de_vidrio[[#This Row],[Tamaño]])</f>
        <v xml:space="preserve">Peritas chicas </v>
      </c>
      <c r="J71" s="110"/>
      <c r="K71" s="110"/>
    </row>
    <row r="72" spans="1:11" ht="15.75" x14ac:dyDescent="0.25">
      <c r="A72" s="124" t="s">
        <v>302</v>
      </c>
      <c r="B72" s="124"/>
      <c r="C72" s="125"/>
      <c r="D72" s="31"/>
      <c r="E72" s="31">
        <v>3</v>
      </c>
      <c r="F72" s="41">
        <f>Material_de_vidrio[[#This Row],[Stock en uso]]+Material_de_vidrio[[#This Row],[Stock nuevo]]</f>
        <v>3</v>
      </c>
      <c r="G72" s="372">
        <v>43978</v>
      </c>
      <c r="H72" s="19"/>
      <c r="I72" s="126" t="str">
        <f>CONCATENATE(Material_de_vidrio[[#This Row],[Material]]," ",Material_de_vidrio[[#This Row],[Especificación]]," ",Material_de_vidrio[[#This Row],[Tamaño]])</f>
        <v xml:space="preserve">Pinzas  </v>
      </c>
      <c r="J72" s="110"/>
      <c r="K72" s="110"/>
    </row>
    <row r="73" spans="1:11" ht="15.75" x14ac:dyDescent="0.25">
      <c r="A73" s="124" t="s">
        <v>430</v>
      </c>
      <c r="B73" s="124" t="s">
        <v>429</v>
      </c>
      <c r="C73" s="125">
        <v>50</v>
      </c>
      <c r="D73" s="31"/>
      <c r="E73" s="31">
        <v>0</v>
      </c>
      <c r="F73" s="41">
        <f>Material_de_vidrio[[#This Row],[Stock en uso]]+Material_de_vidrio[[#This Row],[Stock nuevo]]</f>
        <v>0</v>
      </c>
      <c r="G73" s="372">
        <v>43978</v>
      </c>
      <c r="H73" s="19"/>
      <c r="I73" s="126" t="str">
        <f>CONCATENATE(Material_de_vidrio[[#This Row],[Material]]," ",Material_de_vidrio[[#This Row],[Especificación]]," ",Material_de_vidrio[[#This Row],[Tamaño]])</f>
        <v>Pipetas Graduados 50</v>
      </c>
      <c r="J73" s="110"/>
      <c r="K73" s="110"/>
    </row>
    <row r="74" spans="1:11" ht="15.75" x14ac:dyDescent="0.25">
      <c r="A74" s="124" t="s">
        <v>430</v>
      </c>
      <c r="B74" s="124" t="s">
        <v>429</v>
      </c>
      <c r="C74" s="125">
        <v>25</v>
      </c>
      <c r="D74" s="31"/>
      <c r="E74" s="31">
        <v>3</v>
      </c>
      <c r="F74" s="41">
        <f>Material_de_vidrio[[#This Row],[Stock en uso]]+Material_de_vidrio[[#This Row],[Stock nuevo]]</f>
        <v>3</v>
      </c>
      <c r="G74" s="372">
        <v>44326</v>
      </c>
      <c r="H74" s="19"/>
      <c r="I74" s="126" t="str">
        <f>CONCATENATE(Material_de_vidrio[[#This Row],[Material]]," ",Material_de_vidrio[[#This Row],[Especificación]]," ",Material_de_vidrio[[#This Row],[Tamaño]])</f>
        <v>Pipetas Graduados 25</v>
      </c>
      <c r="J74" s="110"/>
      <c r="K74" s="110"/>
    </row>
    <row r="75" spans="1:11" ht="15.75" x14ac:dyDescent="0.25">
      <c r="A75" s="124" t="s">
        <v>430</v>
      </c>
      <c r="B75" s="124" t="s">
        <v>429</v>
      </c>
      <c r="C75" s="125">
        <v>10</v>
      </c>
      <c r="D75" s="31"/>
      <c r="E75" s="31">
        <v>21</v>
      </c>
      <c r="F75" s="41">
        <f>Material_de_vidrio[[#This Row],[Stock en uso]]+Material_de_vidrio[[#This Row],[Stock nuevo]]</f>
        <v>21</v>
      </c>
      <c r="G75" s="372">
        <v>43978</v>
      </c>
      <c r="H75" s="19"/>
      <c r="I75" s="126" t="str">
        <f>CONCATENATE(Material_de_vidrio[[#This Row],[Material]]," ",Material_de_vidrio[[#This Row],[Especificación]]," ",Material_de_vidrio[[#This Row],[Tamaño]])</f>
        <v>Pipetas Graduados 10</v>
      </c>
      <c r="J75" s="110"/>
      <c r="K75" s="110"/>
    </row>
    <row r="76" spans="1:11" ht="15.75" x14ac:dyDescent="0.25">
      <c r="A76" s="124" t="s">
        <v>430</v>
      </c>
      <c r="B76" s="124" t="s">
        <v>429</v>
      </c>
      <c r="C76" s="125">
        <v>5</v>
      </c>
      <c r="D76" s="31"/>
      <c r="E76" s="31">
        <v>14</v>
      </c>
      <c r="F76" s="41">
        <f>Material_de_vidrio[[#This Row],[Stock en uso]]+Material_de_vidrio[[#This Row],[Stock nuevo]]</f>
        <v>14</v>
      </c>
      <c r="G76" s="372">
        <v>43978</v>
      </c>
      <c r="H76" s="19"/>
      <c r="I76" s="126" t="str">
        <f>CONCATENATE(Material_de_vidrio[[#This Row],[Material]]," ",Material_de_vidrio[[#This Row],[Especificación]]," ",Material_de_vidrio[[#This Row],[Tamaño]])</f>
        <v>Pipetas Graduados 5</v>
      </c>
      <c r="J76" s="110"/>
      <c r="K76" s="110"/>
    </row>
    <row r="77" spans="1:11" ht="15.75" x14ac:dyDescent="0.25">
      <c r="A77" s="124" t="s">
        <v>430</v>
      </c>
      <c r="B77" s="124" t="s">
        <v>429</v>
      </c>
      <c r="C77" s="125">
        <v>2</v>
      </c>
      <c r="D77" s="31"/>
      <c r="E77" s="31">
        <v>11</v>
      </c>
      <c r="F77" s="41">
        <f>Material_de_vidrio[[#This Row],[Stock en uso]]+Material_de_vidrio[[#This Row],[Stock nuevo]]</f>
        <v>11</v>
      </c>
      <c r="G77" s="372">
        <v>43978</v>
      </c>
      <c r="H77" s="19"/>
      <c r="I77" s="126" t="str">
        <f>CONCATENATE(Material_de_vidrio[[#This Row],[Material]]," ",Material_de_vidrio[[#This Row],[Especificación]]," ",Material_de_vidrio[[#This Row],[Tamaño]])</f>
        <v>Pipetas Graduados 2</v>
      </c>
      <c r="J77" s="110"/>
      <c r="K77" s="110"/>
    </row>
    <row r="78" spans="1:11" ht="15.75" x14ac:dyDescent="0.25">
      <c r="A78" s="124" t="s">
        <v>430</v>
      </c>
      <c r="B78" s="124" t="s">
        <v>429</v>
      </c>
      <c r="C78" s="125">
        <v>1</v>
      </c>
      <c r="D78" s="31"/>
      <c r="E78" s="31">
        <v>12</v>
      </c>
      <c r="F78" s="41">
        <f>Material_de_vidrio[[#This Row],[Stock en uso]]+Material_de_vidrio[[#This Row],[Stock nuevo]]</f>
        <v>12</v>
      </c>
      <c r="G78" s="372">
        <v>44299</v>
      </c>
      <c r="H78" s="19"/>
      <c r="I78" s="126" t="str">
        <f>CONCATENATE(Material_de_vidrio[[#This Row],[Material]]," ",Material_de_vidrio[[#This Row],[Especificación]]," ",Material_de_vidrio[[#This Row],[Tamaño]])</f>
        <v>Pipetas Graduados 1</v>
      </c>
      <c r="J78" s="110"/>
      <c r="K78" s="110"/>
    </row>
    <row r="79" spans="1:11" ht="15.75" x14ac:dyDescent="0.25">
      <c r="A79" s="124" t="s">
        <v>430</v>
      </c>
      <c r="B79" s="124" t="s">
        <v>429</v>
      </c>
      <c r="C79" s="125">
        <v>0.5</v>
      </c>
      <c r="D79" s="31"/>
      <c r="E79" s="31">
        <v>1</v>
      </c>
      <c r="F79" s="41">
        <f>Material_de_vidrio[[#This Row],[Stock en uso]]+Material_de_vidrio[[#This Row],[Stock nuevo]]</f>
        <v>1</v>
      </c>
      <c r="G79" s="372">
        <v>44299</v>
      </c>
      <c r="H79" s="19"/>
      <c r="I79" s="126" t="str">
        <f>CONCATENATE(Material_de_vidrio[[#This Row],[Material]]," ",Material_de_vidrio[[#This Row],[Especificación]]," ",Material_de_vidrio[[#This Row],[Tamaño]])</f>
        <v>Pipetas Graduados 0,5</v>
      </c>
      <c r="J79" s="110"/>
      <c r="K79" s="110"/>
    </row>
    <row r="80" spans="1:11" ht="15.75" x14ac:dyDescent="0.25">
      <c r="A80" s="124" t="s">
        <v>430</v>
      </c>
      <c r="B80" s="124" t="s">
        <v>429</v>
      </c>
      <c r="C80" s="125">
        <v>0.2</v>
      </c>
      <c r="D80" s="31"/>
      <c r="E80" s="31">
        <v>3</v>
      </c>
      <c r="F80" s="41">
        <f>Material_de_vidrio[[#This Row],[Stock en uso]]+Material_de_vidrio[[#This Row],[Stock nuevo]]</f>
        <v>3</v>
      </c>
      <c r="G80" s="372">
        <v>43978</v>
      </c>
      <c r="H80" s="19"/>
      <c r="I80" s="126" t="str">
        <f>CONCATENATE(Material_de_vidrio[[#This Row],[Material]]," ",Material_de_vidrio[[#This Row],[Especificación]]," ",Material_de_vidrio[[#This Row],[Tamaño]])</f>
        <v>Pipetas Graduados 0,2</v>
      </c>
      <c r="J80" s="110"/>
      <c r="K80" s="110"/>
    </row>
    <row r="81" spans="1:11" ht="15.75" x14ac:dyDescent="0.25">
      <c r="A81" s="124" t="s">
        <v>430</v>
      </c>
      <c r="B81" s="124" t="s">
        <v>429</v>
      </c>
      <c r="C81" s="125">
        <v>0.1</v>
      </c>
      <c r="D81" s="31"/>
      <c r="E81" s="31">
        <v>1</v>
      </c>
      <c r="F81" s="41">
        <f>Material_de_vidrio[[#This Row],[Stock en uso]]+Material_de_vidrio[[#This Row],[Stock nuevo]]</f>
        <v>1</v>
      </c>
      <c r="G81" s="372">
        <v>43978</v>
      </c>
      <c r="H81" s="19"/>
      <c r="I81" s="126" t="str">
        <f>CONCATENATE(Material_de_vidrio[[#This Row],[Material]]," ",Material_de_vidrio[[#This Row],[Especificación]]," ",Material_de_vidrio[[#This Row],[Tamaño]])</f>
        <v>Pipetas Graduados 0,1</v>
      </c>
      <c r="J81" s="110"/>
      <c r="K81" s="110"/>
    </row>
    <row r="82" spans="1:11" ht="15.75" x14ac:dyDescent="0.25">
      <c r="A82" s="124" t="s">
        <v>430</v>
      </c>
      <c r="B82" s="124" t="s">
        <v>428</v>
      </c>
      <c r="C82" s="125">
        <v>50</v>
      </c>
      <c r="D82" s="31"/>
      <c r="E82" s="31">
        <v>3</v>
      </c>
      <c r="F82" s="41">
        <f>Material_de_vidrio[[#This Row],[Stock en uso]]+Material_de_vidrio[[#This Row],[Stock nuevo]]</f>
        <v>3</v>
      </c>
      <c r="G82" s="372">
        <v>43978</v>
      </c>
      <c r="H82" s="19"/>
      <c r="I82" s="126" t="str">
        <f>CONCATENATE(Material_de_vidrio[[#This Row],[Material]]," ",Material_de_vidrio[[#This Row],[Especificación]]," ",Material_de_vidrio[[#This Row],[Tamaño]])</f>
        <v>Pipetas Aforados 50</v>
      </c>
      <c r="J82" s="110"/>
      <c r="K82" s="110"/>
    </row>
    <row r="83" spans="1:11" ht="15.75" x14ac:dyDescent="0.25">
      <c r="A83" s="124" t="s">
        <v>430</v>
      </c>
      <c r="B83" s="124" t="s">
        <v>428</v>
      </c>
      <c r="C83" s="125">
        <v>25</v>
      </c>
      <c r="D83" s="31"/>
      <c r="E83" s="31">
        <v>1</v>
      </c>
      <c r="F83" s="41">
        <f>Material_de_vidrio[[#This Row],[Stock en uso]]+Material_de_vidrio[[#This Row],[Stock nuevo]]</f>
        <v>1</v>
      </c>
      <c r="G83" s="372">
        <v>43978</v>
      </c>
      <c r="H83" s="19"/>
      <c r="I83" s="126" t="str">
        <f>CONCATENATE(Material_de_vidrio[[#This Row],[Material]]," ",Material_de_vidrio[[#This Row],[Especificación]]," ",Material_de_vidrio[[#This Row],[Tamaño]])</f>
        <v>Pipetas Aforados 25</v>
      </c>
      <c r="J83" s="110"/>
      <c r="K83" s="110"/>
    </row>
    <row r="84" spans="1:11" ht="15.75" x14ac:dyDescent="0.25">
      <c r="A84" s="124" t="s">
        <v>430</v>
      </c>
      <c r="B84" s="124" t="s">
        <v>428</v>
      </c>
      <c r="C84" s="125">
        <v>10</v>
      </c>
      <c r="D84" s="31"/>
      <c r="E84" s="31">
        <v>8</v>
      </c>
      <c r="F84" s="41">
        <f>Material_de_vidrio[[#This Row],[Stock en uso]]+Material_de_vidrio[[#This Row],[Stock nuevo]]</f>
        <v>8</v>
      </c>
      <c r="G84" s="372">
        <v>43978</v>
      </c>
      <c r="H84" s="19"/>
      <c r="I84" s="126" t="str">
        <f>CONCATENATE(Material_de_vidrio[[#This Row],[Material]]," ",Material_de_vidrio[[#This Row],[Especificación]]," ",Material_de_vidrio[[#This Row],[Tamaño]])</f>
        <v>Pipetas Aforados 10</v>
      </c>
      <c r="J84" s="110"/>
      <c r="K84" s="110"/>
    </row>
    <row r="85" spans="1:11" ht="15.75" x14ac:dyDescent="0.25">
      <c r="A85" s="124" t="s">
        <v>430</v>
      </c>
      <c r="B85" s="124" t="s">
        <v>428</v>
      </c>
      <c r="C85" s="125">
        <v>5</v>
      </c>
      <c r="D85" s="31"/>
      <c r="E85" s="31">
        <v>6</v>
      </c>
      <c r="F85" s="41">
        <f>Material_de_vidrio[[#This Row],[Stock en uso]]+Material_de_vidrio[[#This Row],[Stock nuevo]]</f>
        <v>6</v>
      </c>
      <c r="G85" s="372">
        <v>43978</v>
      </c>
      <c r="H85" s="19"/>
      <c r="I85" s="126" t="str">
        <f>CONCATENATE(Material_de_vidrio[[#This Row],[Material]]," ",Material_de_vidrio[[#This Row],[Especificación]]," ",Material_de_vidrio[[#This Row],[Tamaño]])</f>
        <v>Pipetas Aforados 5</v>
      </c>
      <c r="J85" s="110"/>
      <c r="K85" s="110"/>
    </row>
    <row r="86" spans="1:11" ht="15.75" x14ac:dyDescent="0.25">
      <c r="A86" s="124" t="s">
        <v>430</v>
      </c>
      <c r="B86" s="124" t="s">
        <v>428</v>
      </c>
      <c r="C86" s="125">
        <v>4</v>
      </c>
      <c r="D86" s="31"/>
      <c r="E86" s="31">
        <v>3</v>
      </c>
      <c r="F86" s="41">
        <f>Material_de_vidrio[[#This Row],[Stock en uso]]+Material_de_vidrio[[#This Row],[Stock nuevo]]</f>
        <v>3</v>
      </c>
      <c r="G86" s="372">
        <v>43978</v>
      </c>
      <c r="H86" s="19"/>
      <c r="I86" s="126" t="str">
        <f>CONCATENATE(Material_de_vidrio[[#This Row],[Material]]," ",Material_de_vidrio[[#This Row],[Especificación]]," ",Material_de_vidrio[[#This Row],[Tamaño]])</f>
        <v>Pipetas Aforados 4</v>
      </c>
      <c r="J86" s="110"/>
      <c r="K86" s="110"/>
    </row>
    <row r="87" spans="1:11" ht="15.75" x14ac:dyDescent="0.25">
      <c r="A87" s="124" t="s">
        <v>430</v>
      </c>
      <c r="B87" s="124" t="s">
        <v>428</v>
      </c>
      <c r="C87" s="125">
        <v>2</v>
      </c>
      <c r="D87" s="31"/>
      <c r="E87" s="31">
        <v>11</v>
      </c>
      <c r="F87" s="41">
        <f>Material_de_vidrio[[#This Row],[Stock en uso]]+Material_de_vidrio[[#This Row],[Stock nuevo]]</f>
        <v>11</v>
      </c>
      <c r="G87" s="372">
        <v>43978</v>
      </c>
      <c r="H87" s="19"/>
      <c r="I87" s="126" t="str">
        <f>CONCATENATE(Material_de_vidrio[[#This Row],[Material]]," ",Material_de_vidrio[[#This Row],[Especificación]]," ",Material_de_vidrio[[#This Row],[Tamaño]])</f>
        <v>Pipetas Aforados 2</v>
      </c>
      <c r="J87" s="110"/>
      <c r="K87" s="110"/>
    </row>
    <row r="88" spans="1:11" ht="15.75" x14ac:dyDescent="0.25">
      <c r="A88" s="124" t="s">
        <v>430</v>
      </c>
      <c r="B88" s="124" t="s">
        <v>428</v>
      </c>
      <c r="C88" s="125">
        <v>1</v>
      </c>
      <c r="D88" s="31"/>
      <c r="E88" s="31">
        <v>9</v>
      </c>
      <c r="F88" s="41">
        <f>Material_de_vidrio[[#This Row],[Stock en uso]]+Material_de_vidrio[[#This Row],[Stock nuevo]]</f>
        <v>9</v>
      </c>
      <c r="G88" s="372">
        <v>43978</v>
      </c>
      <c r="H88" s="19"/>
      <c r="I88" s="126" t="str">
        <f>CONCATENATE(Material_de_vidrio[[#This Row],[Material]]," ",Material_de_vidrio[[#This Row],[Especificación]]," ",Material_de_vidrio[[#This Row],[Tamaño]])</f>
        <v>Pipetas Aforados 1</v>
      </c>
      <c r="J88" s="110"/>
      <c r="K88" s="110"/>
    </row>
    <row r="89" spans="1:11" ht="15.75" x14ac:dyDescent="0.25">
      <c r="A89" s="124" t="s">
        <v>303</v>
      </c>
      <c r="B89" s="124" t="s">
        <v>292</v>
      </c>
      <c r="C89" s="125"/>
      <c r="D89" s="31"/>
      <c r="E89" s="31">
        <v>100</v>
      </c>
      <c r="F89" s="41">
        <f>Material_de_vidrio[[#This Row],[Stock en uso]]+Material_de_vidrio[[#This Row],[Stock nuevo]]</f>
        <v>100</v>
      </c>
      <c r="G89" s="372">
        <v>43978</v>
      </c>
      <c r="H89" s="19"/>
      <c r="I89" s="126" t="str">
        <f>CONCATENATE(Material_de_vidrio[[#This Row],[Material]]," ",Material_de_vidrio[[#This Row],[Especificación]]," ",Material_de_vidrio[[#This Row],[Tamaño]])</f>
        <v xml:space="preserve">Pipetas Pasteur Vidrio </v>
      </c>
      <c r="J89" s="110"/>
      <c r="K89" s="110"/>
    </row>
    <row r="90" spans="1:11" ht="15.75" x14ac:dyDescent="0.25">
      <c r="A90" s="124" t="s">
        <v>303</v>
      </c>
      <c r="B90" s="124" t="s">
        <v>427</v>
      </c>
      <c r="C90" s="125"/>
      <c r="D90" s="31"/>
      <c r="E90" s="31">
        <v>250</v>
      </c>
      <c r="F90" s="41">
        <f>Material_de_vidrio[[#This Row],[Stock en uso]]+Material_de_vidrio[[#This Row],[Stock nuevo]]</f>
        <v>250</v>
      </c>
      <c r="G90" s="372">
        <v>43978</v>
      </c>
      <c r="H90" s="19"/>
      <c r="I90" s="126" t="str">
        <f>CONCATENATE(Material_de_vidrio[[#This Row],[Material]]," ",Material_de_vidrio[[#This Row],[Especificación]]," ",Material_de_vidrio[[#This Row],[Tamaño]])</f>
        <v xml:space="preserve">Pipetas Pasteur Plástico </v>
      </c>
      <c r="J90" s="110"/>
      <c r="K90" s="110"/>
    </row>
    <row r="91" spans="1:11" ht="15.75" x14ac:dyDescent="0.25">
      <c r="A91" s="124" t="s">
        <v>304</v>
      </c>
      <c r="B91" s="124" t="s">
        <v>292</v>
      </c>
      <c r="C91" s="125" t="s">
        <v>265</v>
      </c>
      <c r="D91" s="31"/>
      <c r="E91" s="31">
        <v>2</v>
      </c>
      <c r="F91" s="41">
        <f>Material_de_vidrio[[#This Row],[Stock en uso]]+Material_de_vidrio[[#This Row],[Stock nuevo]]</f>
        <v>2</v>
      </c>
      <c r="G91" s="372">
        <v>43978</v>
      </c>
      <c r="H91" s="19"/>
      <c r="I91" s="126" t="str">
        <f>CONCATENATE(Material_de_vidrio[[#This Row],[Material]]," ",Material_de_vidrio[[#This Row],[Especificación]]," ",Material_de_vidrio[[#This Row],[Tamaño]])</f>
        <v>Probetas Vidrio 1000 ml</v>
      </c>
      <c r="J91" s="110"/>
      <c r="K91" s="110"/>
    </row>
    <row r="92" spans="1:11" ht="15.75" x14ac:dyDescent="0.25">
      <c r="A92" s="124" t="s">
        <v>304</v>
      </c>
      <c r="B92" s="124" t="s">
        <v>292</v>
      </c>
      <c r="C92" s="125" t="s">
        <v>266</v>
      </c>
      <c r="D92" s="31"/>
      <c r="E92" s="31">
        <v>2</v>
      </c>
      <c r="F92" s="41">
        <f>Material_de_vidrio[[#This Row],[Stock en uso]]+Material_de_vidrio[[#This Row],[Stock nuevo]]</f>
        <v>2</v>
      </c>
      <c r="G92" s="372">
        <v>43978</v>
      </c>
      <c r="H92" s="19"/>
      <c r="I92" s="126" t="str">
        <f>CONCATENATE(Material_de_vidrio[[#This Row],[Material]]," ",Material_de_vidrio[[#This Row],[Especificación]]," ",Material_de_vidrio[[#This Row],[Tamaño]])</f>
        <v xml:space="preserve">Probetas Vidrio 500 ml </v>
      </c>
      <c r="J92" s="110"/>
      <c r="K92" s="110"/>
    </row>
    <row r="93" spans="1:11" ht="15.75" x14ac:dyDescent="0.25">
      <c r="A93" s="124" t="s">
        <v>304</v>
      </c>
      <c r="B93" s="124" t="s">
        <v>292</v>
      </c>
      <c r="C93" s="125" t="s">
        <v>267</v>
      </c>
      <c r="D93" s="31"/>
      <c r="E93" s="31">
        <v>4</v>
      </c>
      <c r="F93" s="41">
        <f>Material_de_vidrio[[#This Row],[Stock en uso]]+Material_de_vidrio[[#This Row],[Stock nuevo]]</f>
        <v>4</v>
      </c>
      <c r="G93" s="372">
        <v>43978</v>
      </c>
      <c r="H93" s="19"/>
      <c r="I93" s="126" t="str">
        <f>CONCATENATE(Material_de_vidrio[[#This Row],[Material]]," ",Material_de_vidrio[[#This Row],[Especificación]]," ",Material_de_vidrio[[#This Row],[Tamaño]])</f>
        <v>Probetas Vidrio 250 ml</v>
      </c>
      <c r="J93" s="110"/>
      <c r="K93" s="110"/>
    </row>
    <row r="94" spans="1:11" ht="15.75" x14ac:dyDescent="0.25">
      <c r="A94" s="124" t="s">
        <v>304</v>
      </c>
      <c r="B94" s="124" t="s">
        <v>292</v>
      </c>
      <c r="C94" s="125" t="s">
        <v>285</v>
      </c>
      <c r="D94" s="31"/>
      <c r="E94" s="31">
        <v>13</v>
      </c>
      <c r="F94" s="41">
        <f>Material_de_vidrio[[#This Row],[Stock en uso]]+Material_de_vidrio[[#This Row],[Stock nuevo]]</f>
        <v>13</v>
      </c>
      <c r="G94" s="372">
        <v>43978</v>
      </c>
      <c r="H94" s="19"/>
      <c r="I94" s="126" t="str">
        <f>CONCATENATE(Material_de_vidrio[[#This Row],[Material]]," ",Material_de_vidrio[[#This Row],[Especificación]]," ",Material_de_vidrio[[#This Row],[Tamaño]])</f>
        <v>Probetas Vidrio 100 ml</v>
      </c>
      <c r="J94" s="110"/>
      <c r="K94" s="110"/>
    </row>
    <row r="95" spans="1:11" ht="15.75" x14ac:dyDescent="0.25">
      <c r="A95" s="124" t="s">
        <v>304</v>
      </c>
      <c r="B95" s="124" t="s">
        <v>292</v>
      </c>
      <c r="C95" s="125" t="s">
        <v>273</v>
      </c>
      <c r="D95" s="31"/>
      <c r="E95" s="31">
        <v>5</v>
      </c>
      <c r="F95" s="41">
        <f>Material_de_vidrio[[#This Row],[Stock en uso]]+Material_de_vidrio[[#This Row],[Stock nuevo]]</f>
        <v>5</v>
      </c>
      <c r="G95" s="372">
        <v>43978</v>
      </c>
      <c r="H95" s="19"/>
      <c r="I95" s="126" t="str">
        <f>CONCATENATE(Material_de_vidrio[[#This Row],[Material]]," ",Material_de_vidrio[[#This Row],[Especificación]]," ",Material_de_vidrio[[#This Row],[Tamaño]])</f>
        <v>Probetas Vidrio 50 ml</v>
      </c>
      <c r="J95" s="110"/>
      <c r="K95" s="110"/>
    </row>
    <row r="96" spans="1:11" ht="15.75" x14ac:dyDescent="0.25">
      <c r="A96" s="124" t="s">
        <v>304</v>
      </c>
      <c r="B96" s="124" t="s">
        <v>292</v>
      </c>
      <c r="C96" s="125" t="s">
        <v>277</v>
      </c>
      <c r="D96" s="31"/>
      <c r="E96" s="31">
        <v>4</v>
      </c>
      <c r="F96" s="41">
        <f>Material_de_vidrio[[#This Row],[Stock en uso]]+Material_de_vidrio[[#This Row],[Stock nuevo]]</f>
        <v>4</v>
      </c>
      <c r="G96" s="372">
        <v>43978</v>
      </c>
      <c r="H96" s="19"/>
      <c r="I96" s="126" t="str">
        <f>CONCATENATE(Material_de_vidrio[[#This Row],[Material]]," ",Material_de_vidrio[[#This Row],[Especificación]]," ",Material_de_vidrio[[#This Row],[Tamaño]])</f>
        <v>Probetas Vidrio 25 ml</v>
      </c>
      <c r="J96" s="110"/>
      <c r="K96" s="110"/>
    </row>
    <row r="97" spans="1:11" ht="15.75" x14ac:dyDescent="0.25">
      <c r="A97" s="124" t="s">
        <v>304</v>
      </c>
      <c r="B97" s="124" t="s">
        <v>427</v>
      </c>
      <c r="C97" s="125" t="s">
        <v>267</v>
      </c>
      <c r="D97" s="31"/>
      <c r="E97" s="31">
        <v>4</v>
      </c>
      <c r="F97" s="41">
        <f>Material_de_vidrio[[#This Row],[Stock en uso]]+Material_de_vidrio[[#This Row],[Stock nuevo]]</f>
        <v>4</v>
      </c>
      <c r="G97" s="372">
        <v>44182</v>
      </c>
      <c r="H97" s="19"/>
      <c r="I97" s="126" t="str">
        <f>CONCATENATE(Material_de_vidrio[[#This Row],[Material]]," ",Material_de_vidrio[[#This Row],[Especificación]]," ",Material_de_vidrio[[#This Row],[Tamaño]])</f>
        <v>Probetas Plástico 250 ml</v>
      </c>
      <c r="J97" s="110"/>
      <c r="K97" s="110"/>
    </row>
    <row r="98" spans="1:11" ht="15.75" x14ac:dyDescent="0.25">
      <c r="A98" s="124" t="s">
        <v>304</v>
      </c>
      <c r="B98" s="124" t="s">
        <v>427</v>
      </c>
      <c r="C98" s="125" t="s">
        <v>285</v>
      </c>
      <c r="D98" s="31"/>
      <c r="E98" s="31">
        <v>1</v>
      </c>
      <c r="F98" s="41">
        <f>Material_de_vidrio[[#This Row],[Stock en uso]]+Material_de_vidrio[[#This Row],[Stock nuevo]]</f>
        <v>1</v>
      </c>
      <c r="G98" s="372">
        <v>43978</v>
      </c>
      <c r="H98" s="19"/>
      <c r="I98" s="126" t="str">
        <f>CONCATENATE(Material_de_vidrio[[#This Row],[Material]]," ",Material_de_vidrio[[#This Row],[Especificación]]," ",Material_de_vidrio[[#This Row],[Tamaño]])</f>
        <v>Probetas Plástico 100 ml</v>
      </c>
      <c r="J98" s="110"/>
      <c r="K98" s="110"/>
    </row>
    <row r="99" spans="1:11" ht="15.75" x14ac:dyDescent="0.25">
      <c r="A99" s="124" t="s">
        <v>304</v>
      </c>
      <c r="B99" s="124" t="s">
        <v>427</v>
      </c>
      <c r="C99" s="125" t="s">
        <v>273</v>
      </c>
      <c r="D99" s="31"/>
      <c r="E99" s="31">
        <v>4</v>
      </c>
      <c r="F99" s="41">
        <f>Material_de_vidrio[[#This Row],[Stock en uso]]+Material_de_vidrio[[#This Row],[Stock nuevo]]</f>
        <v>4</v>
      </c>
      <c r="G99" s="372">
        <v>44182</v>
      </c>
      <c r="H99" s="19"/>
      <c r="I99" s="126" t="str">
        <f>CONCATENATE(Material_de_vidrio[[#This Row],[Material]]," ",Material_de_vidrio[[#This Row],[Especificación]]," ",Material_de_vidrio[[#This Row],[Tamaño]])</f>
        <v>Probetas Plástico 50 ml</v>
      </c>
      <c r="J99" s="110"/>
      <c r="K99" s="110"/>
    </row>
    <row r="100" spans="1:11" ht="15.75" x14ac:dyDescent="0.25">
      <c r="A100" s="124" t="s">
        <v>304</v>
      </c>
      <c r="B100" s="124" t="s">
        <v>427</v>
      </c>
      <c r="C100" s="125" t="s">
        <v>277</v>
      </c>
      <c r="D100" s="31"/>
      <c r="E100" s="31">
        <v>4</v>
      </c>
      <c r="F100" s="41">
        <f>Material_de_vidrio[[#This Row],[Stock en uso]]+Material_de_vidrio[[#This Row],[Stock nuevo]]</f>
        <v>4</v>
      </c>
      <c r="G100" s="372">
        <v>44182</v>
      </c>
      <c r="H100" s="19"/>
      <c r="I100" s="126" t="str">
        <f>CONCATENATE(Material_de_vidrio[[#This Row],[Material]]," ",Material_de_vidrio[[#This Row],[Especificación]]," ",Material_de_vidrio[[#This Row],[Tamaño]])</f>
        <v>Probetas Plástico 25 ml</v>
      </c>
      <c r="J100" s="110"/>
      <c r="K100" s="110"/>
    </row>
    <row r="101" spans="1:11" ht="15.75" x14ac:dyDescent="0.25">
      <c r="A101" s="124" t="s">
        <v>305</v>
      </c>
      <c r="B101" s="124"/>
      <c r="C101" s="125"/>
      <c r="D101" s="31"/>
      <c r="E101" s="31">
        <v>4</v>
      </c>
      <c r="F101" s="41">
        <f>Material_de_vidrio[[#This Row],[Stock en uso]]+Material_de_vidrio[[#This Row],[Stock nuevo]]</f>
        <v>4</v>
      </c>
      <c r="G101" s="372">
        <v>43978</v>
      </c>
      <c r="H101" s="19"/>
      <c r="I101" s="126" t="str">
        <f>CONCATENATE(Material_de_vidrio[[#This Row],[Material]]," ",Material_de_vidrio[[#This Row],[Especificación]]," ",Material_de_vidrio[[#This Row],[Tamaño]])</f>
        <v xml:space="preserve">Propipetas  </v>
      </c>
      <c r="J101" s="110"/>
      <c r="K101" s="110"/>
    </row>
    <row r="102" spans="1:11" ht="15.75" x14ac:dyDescent="0.25">
      <c r="A102" s="124" t="s">
        <v>306</v>
      </c>
      <c r="B102" s="125" t="s">
        <v>423</v>
      </c>
      <c r="C102" s="125" t="s">
        <v>774</v>
      </c>
      <c r="D102" s="31"/>
      <c r="E102" s="31">
        <v>6</v>
      </c>
      <c r="F102" s="41">
        <f>Material_de_vidrio[[#This Row],[Stock en uso]]+Material_de_vidrio[[#This Row],[Stock nuevo]]</f>
        <v>6</v>
      </c>
      <c r="G102" s="372">
        <v>43978</v>
      </c>
      <c r="H102" s="19"/>
      <c r="I102" s="126" t="str">
        <f>CONCATENATE(Material_de_vidrio[[#This Row],[Material]]," ",Material_de_vidrio[[#This Row],[Especificación]]," ",Material_de_vidrio[[#This Row],[Tamaño]])</f>
        <v>Tubos grandes c/tapa 20 ml</v>
      </c>
      <c r="J102" s="110"/>
      <c r="K102" s="110"/>
    </row>
    <row r="103" spans="1:11" ht="15.75" x14ac:dyDescent="0.25">
      <c r="A103" s="124" t="s">
        <v>306</v>
      </c>
      <c r="B103" s="125" t="s">
        <v>424</v>
      </c>
      <c r="C103" s="125"/>
      <c r="D103" s="31"/>
      <c r="E103" s="31"/>
      <c r="F103" s="41">
        <f>Material_de_vidrio[[#This Row],[Stock en uso]]+Material_de_vidrio[[#This Row],[Stock nuevo]]</f>
        <v>0</v>
      </c>
      <c r="G103" s="372">
        <v>43978</v>
      </c>
      <c r="H103" s="15"/>
      <c r="I103" s="126" t="str">
        <f>CONCATENATE(Material_de_vidrio[[#This Row],[Material]]," ",Material_de_vidrio[[#This Row],[Especificación]]," ",Material_de_vidrio[[#This Row],[Tamaño]])</f>
        <v xml:space="preserve">Tubos chicos c/tapa </v>
      </c>
      <c r="J103" s="110"/>
      <c r="K103" s="110"/>
    </row>
    <row r="104" spans="1:11" ht="15.75" x14ac:dyDescent="0.25">
      <c r="A104" s="124" t="s">
        <v>306</v>
      </c>
      <c r="B104" s="125" t="s">
        <v>425</v>
      </c>
      <c r="C104" s="125"/>
      <c r="D104" s="31"/>
      <c r="E104" s="31">
        <v>0</v>
      </c>
      <c r="F104" s="41">
        <f>Material_de_vidrio[[#This Row],[Stock en uso]]+Material_de_vidrio[[#This Row],[Stock nuevo]]</f>
        <v>0</v>
      </c>
      <c r="G104" s="372">
        <v>43978</v>
      </c>
      <c r="H104" s="19"/>
      <c r="I104" s="126" t="str">
        <f>CONCATENATE(Material_de_vidrio[[#This Row],[Material]]," ",Material_de_vidrio[[#This Row],[Especificación]]," ",Material_de_vidrio[[#This Row],[Tamaño]])</f>
        <v xml:space="preserve">Tubos grandes s/tapa </v>
      </c>
      <c r="J104" s="110"/>
      <c r="K104" s="110"/>
    </row>
    <row r="105" spans="1:11" ht="15.75" x14ac:dyDescent="0.25">
      <c r="A105" s="124" t="s">
        <v>306</v>
      </c>
      <c r="B105" s="125" t="s">
        <v>426</v>
      </c>
      <c r="C105" s="125"/>
      <c r="D105" s="31"/>
      <c r="E105" s="31">
        <v>0</v>
      </c>
      <c r="F105" s="41">
        <f>Material_de_vidrio[[#This Row],[Stock en uso]]+Material_de_vidrio[[#This Row],[Stock nuevo]]</f>
        <v>0</v>
      </c>
      <c r="G105" s="372">
        <v>43978</v>
      </c>
      <c r="H105" s="19"/>
      <c r="I105" s="126" t="str">
        <f>CONCATENATE(Material_de_vidrio[[#This Row],[Material]]," ",Material_de_vidrio[[#This Row],[Especificación]]," ",Material_de_vidrio[[#This Row],[Tamaño]])</f>
        <v xml:space="preserve">Tubos chicos s/tapa </v>
      </c>
      <c r="J105" s="110"/>
      <c r="K105" s="110"/>
    </row>
    <row r="106" spans="1:11" ht="15.75" x14ac:dyDescent="0.25">
      <c r="A106" s="124" t="s">
        <v>307</v>
      </c>
      <c r="B106" s="124" t="s">
        <v>421</v>
      </c>
      <c r="C106" s="125"/>
      <c r="D106" s="31"/>
      <c r="E106" s="31">
        <v>16</v>
      </c>
      <c r="F106" s="41">
        <f>Material_de_vidrio[[#This Row],[Stock en uso]]+Material_de_vidrio[[#This Row],[Stock nuevo]]</f>
        <v>16</v>
      </c>
      <c r="G106" s="372">
        <v>43978</v>
      </c>
      <c r="H106" s="19"/>
      <c r="I106" s="126" t="str">
        <f>CONCATENATE(Material_de_vidrio[[#This Row],[Material]]," ",Material_de_vidrio[[#This Row],[Especificación]]," ",Material_de_vidrio[[#This Row],[Tamaño]])</f>
        <v xml:space="preserve">Varillas Cortas </v>
      </c>
      <c r="J106" s="110"/>
      <c r="K106" s="110"/>
    </row>
    <row r="107" spans="1:11" ht="15.75" x14ac:dyDescent="0.25">
      <c r="A107" s="124" t="s">
        <v>307</v>
      </c>
      <c r="B107" s="124" t="s">
        <v>422</v>
      </c>
      <c r="C107" s="125"/>
      <c r="D107" s="31"/>
      <c r="E107" s="31">
        <v>9</v>
      </c>
      <c r="F107" s="41">
        <f>Material_de_vidrio[[#This Row],[Stock en uso]]+Material_de_vidrio[[#This Row],[Stock nuevo]]</f>
        <v>9</v>
      </c>
      <c r="G107" s="372">
        <v>43978</v>
      </c>
      <c r="H107" s="19"/>
      <c r="I107" s="126" t="str">
        <f>CONCATENATE(Material_de_vidrio[[#This Row],[Material]]," ",Material_de_vidrio[[#This Row],[Especificación]]," ",Material_de_vidrio[[#This Row],[Tamaño]])</f>
        <v xml:space="preserve">Varillas Largas </v>
      </c>
      <c r="J107" s="110"/>
      <c r="K107" s="110"/>
    </row>
    <row r="108" spans="1:11" ht="15.75" x14ac:dyDescent="0.25">
      <c r="A108" s="124" t="s">
        <v>308</v>
      </c>
      <c r="B108" s="124"/>
      <c r="C108" s="125" t="s">
        <v>264</v>
      </c>
      <c r="D108" s="31"/>
      <c r="E108" s="31">
        <v>1</v>
      </c>
      <c r="F108" s="41">
        <f>Material_de_vidrio[[#This Row],[Stock en uso]]+Material_de_vidrio[[#This Row],[Stock nuevo]]</f>
        <v>1</v>
      </c>
      <c r="G108" s="372">
        <v>43978</v>
      </c>
      <c r="H108" s="19"/>
      <c r="I108" s="126" t="str">
        <f>CONCATENATE(Material_de_vidrio[[#This Row],[Material]]," ",Material_de_vidrio[[#This Row],[Especificación]]," ",Material_de_vidrio[[#This Row],[Tamaño]])</f>
        <v>Vasos  2000 ml</v>
      </c>
      <c r="J108" s="110"/>
      <c r="K108" s="110"/>
    </row>
    <row r="109" spans="1:11" ht="15.75" x14ac:dyDescent="0.25">
      <c r="A109" s="124" t="s">
        <v>308</v>
      </c>
      <c r="B109" s="124"/>
      <c r="C109" s="125" t="s">
        <v>265</v>
      </c>
      <c r="D109" s="31"/>
      <c r="E109" s="31">
        <v>6</v>
      </c>
      <c r="F109" s="41">
        <f>Material_de_vidrio[[#This Row],[Stock en uso]]+Material_de_vidrio[[#This Row],[Stock nuevo]]</f>
        <v>6</v>
      </c>
      <c r="G109" s="372">
        <v>44019</v>
      </c>
      <c r="H109" s="19"/>
      <c r="I109" s="126" t="str">
        <f>CONCATENATE(Material_de_vidrio[[#This Row],[Material]]," ",Material_de_vidrio[[#This Row],[Especificación]]," ",Material_de_vidrio[[#This Row],[Tamaño]])</f>
        <v>Vasos  1000 ml</v>
      </c>
      <c r="J109" s="110"/>
      <c r="K109" s="110"/>
    </row>
    <row r="110" spans="1:11" ht="15.75" x14ac:dyDescent="0.25">
      <c r="A110" s="124" t="s">
        <v>308</v>
      </c>
      <c r="B110" s="124"/>
      <c r="C110" s="125" t="s">
        <v>266</v>
      </c>
      <c r="D110" s="31"/>
      <c r="E110" s="31">
        <v>11</v>
      </c>
      <c r="F110" s="41">
        <f>Material_de_vidrio[[#This Row],[Stock en uso]]+Material_de_vidrio[[#This Row],[Stock nuevo]]</f>
        <v>11</v>
      </c>
      <c r="G110" s="372">
        <v>43978</v>
      </c>
      <c r="H110" s="32"/>
      <c r="I110" s="126" t="str">
        <f>CONCATENATE(Material_de_vidrio[[#This Row],[Material]]," ",Material_de_vidrio[[#This Row],[Especificación]]," ",Material_de_vidrio[[#This Row],[Tamaño]])</f>
        <v xml:space="preserve">Vasos  500 ml </v>
      </c>
      <c r="J110" s="110"/>
      <c r="K110" s="110"/>
    </row>
    <row r="111" spans="1:11" ht="15.75" x14ac:dyDescent="0.25">
      <c r="A111" s="124" t="s">
        <v>308</v>
      </c>
      <c r="B111" s="124"/>
      <c r="C111" s="125" t="s">
        <v>267</v>
      </c>
      <c r="D111" s="31"/>
      <c r="E111" s="31">
        <v>26</v>
      </c>
      <c r="F111" s="41">
        <f>Material_de_vidrio[[#This Row],[Stock en uso]]+Material_de_vidrio[[#This Row],[Stock nuevo]]</f>
        <v>26</v>
      </c>
      <c r="G111" s="372">
        <v>43978</v>
      </c>
      <c r="H111" s="19"/>
      <c r="I111" s="126" t="str">
        <f>CONCATENATE(Material_de_vidrio[[#This Row],[Material]]," ",Material_de_vidrio[[#This Row],[Especificación]]," ",Material_de_vidrio[[#This Row],[Tamaño]])</f>
        <v>Vasos  250 ml</v>
      </c>
      <c r="J111" s="110"/>
      <c r="K111" s="110"/>
    </row>
    <row r="112" spans="1:11" ht="15.75" x14ac:dyDescent="0.25">
      <c r="A112" s="124" t="s">
        <v>308</v>
      </c>
      <c r="B112" s="124"/>
      <c r="C112" s="125" t="s">
        <v>296</v>
      </c>
      <c r="D112" s="31"/>
      <c r="E112" s="31">
        <v>5</v>
      </c>
      <c r="F112" s="41">
        <f>Material_de_vidrio[[#This Row],[Stock en uso]]+Material_de_vidrio[[#This Row],[Stock nuevo]]</f>
        <v>5</v>
      </c>
      <c r="G112" s="372">
        <v>43978</v>
      </c>
      <c r="H112" s="32"/>
      <c r="I112" s="126" t="str">
        <f>CONCATENATE(Material_de_vidrio[[#This Row],[Material]]," ",Material_de_vidrio[[#This Row],[Especificación]]," ",Material_de_vidrio[[#This Row],[Tamaño]])</f>
        <v>Vasos  150 ml</v>
      </c>
      <c r="J112" s="110"/>
      <c r="K112" s="110"/>
    </row>
    <row r="113" spans="1:11" ht="15.75" x14ac:dyDescent="0.25">
      <c r="A113" s="124" t="s">
        <v>308</v>
      </c>
      <c r="B113" s="124"/>
      <c r="C113" s="125" t="s">
        <v>285</v>
      </c>
      <c r="D113" s="31"/>
      <c r="E113" s="31">
        <v>34</v>
      </c>
      <c r="F113" s="41">
        <f>Material_de_vidrio[[#This Row],[Stock en uso]]+Material_de_vidrio[[#This Row],[Stock nuevo]]</f>
        <v>34</v>
      </c>
      <c r="G113" s="372">
        <v>43978</v>
      </c>
      <c r="H113" s="32"/>
      <c r="I113" s="126" t="str">
        <f>CONCATENATE(Material_de_vidrio[[#This Row],[Material]]," ",Material_de_vidrio[[#This Row],[Especificación]]," ",Material_de_vidrio[[#This Row],[Tamaño]])</f>
        <v>Vasos  100 ml</v>
      </c>
      <c r="J113" s="110"/>
      <c r="K113" s="110"/>
    </row>
    <row r="114" spans="1:11" ht="15.75" x14ac:dyDescent="0.25">
      <c r="A114" s="124" t="s">
        <v>308</v>
      </c>
      <c r="B114" s="124"/>
      <c r="C114" s="125" t="s">
        <v>273</v>
      </c>
      <c r="D114" s="31"/>
      <c r="E114" s="31">
        <v>27</v>
      </c>
      <c r="F114" s="41">
        <f>Material_de_vidrio[[#This Row],[Stock en uso]]+Material_de_vidrio[[#This Row],[Stock nuevo]]</f>
        <v>27</v>
      </c>
      <c r="G114" s="372">
        <v>44369</v>
      </c>
      <c r="H114" s="19"/>
      <c r="I114" s="126" t="str">
        <f>CONCATENATE(Material_de_vidrio[[#This Row],[Material]]," ",Material_de_vidrio[[#This Row],[Especificación]]," ",Material_de_vidrio[[#This Row],[Tamaño]])</f>
        <v>Vasos  50 ml</v>
      </c>
      <c r="J114" s="110"/>
      <c r="K114" s="110"/>
    </row>
    <row r="115" spans="1:11" ht="15.75" x14ac:dyDescent="0.25">
      <c r="A115" s="124" t="s">
        <v>309</v>
      </c>
      <c r="B115" s="125" t="s">
        <v>270</v>
      </c>
      <c r="C115" s="125"/>
      <c r="D115" s="31"/>
      <c r="E115" s="31">
        <v>7</v>
      </c>
      <c r="F115" s="41">
        <f>Material_de_vidrio[[#This Row],[Stock en uso]]+Material_de_vidrio[[#This Row],[Stock nuevo]]</f>
        <v>7</v>
      </c>
      <c r="G115" s="372">
        <v>44182</v>
      </c>
      <c r="H115" s="19"/>
      <c r="I115" s="126" t="str">
        <f>CONCATENATE(Material_de_vidrio[[#This Row],[Material]]," ",Material_de_vidrio[[#This Row],[Especificación]]," ",Material_de_vidrio[[#This Row],[Tamaño]])</f>
        <v xml:space="preserve">Vidrios de reloj grandes  </v>
      </c>
      <c r="J115" s="110"/>
      <c r="K115" s="110"/>
    </row>
    <row r="116" spans="1:11" ht="15.75" x14ac:dyDescent="0.25">
      <c r="A116" s="124" t="s">
        <v>309</v>
      </c>
      <c r="B116" s="125" t="s">
        <v>280</v>
      </c>
      <c r="C116" s="125"/>
      <c r="D116" s="31"/>
      <c r="E116" s="31">
        <v>13</v>
      </c>
      <c r="F116" s="41">
        <f>Material_de_vidrio[[#This Row],[Stock en uso]]+Material_de_vidrio[[#This Row],[Stock nuevo]]</f>
        <v>13</v>
      </c>
      <c r="G116" s="372">
        <v>44182</v>
      </c>
      <c r="H116" s="19"/>
      <c r="I116" s="126" t="str">
        <f>CONCATENATE(Material_de_vidrio[[#This Row],[Material]]," ",Material_de_vidrio[[#This Row],[Especificación]]," ",Material_de_vidrio[[#This Row],[Tamaño]])</f>
        <v xml:space="preserve">Vidrios de reloj medianos </v>
      </c>
      <c r="J116" s="110"/>
      <c r="K116" s="110"/>
    </row>
    <row r="117" spans="1:11" ht="15.75" x14ac:dyDescent="0.25">
      <c r="A117" s="124" t="s">
        <v>309</v>
      </c>
      <c r="B117" s="125" t="s">
        <v>261</v>
      </c>
      <c r="C117" s="125"/>
      <c r="D117" s="31"/>
      <c r="E117" s="31">
        <v>7</v>
      </c>
      <c r="F117" s="41">
        <f>Material_de_vidrio[[#This Row],[Stock en uso]]+Material_de_vidrio[[#This Row],[Stock nuevo]]</f>
        <v>7</v>
      </c>
      <c r="G117" s="372">
        <v>44182</v>
      </c>
      <c r="H117" s="19"/>
      <c r="I117" s="126" t="str">
        <f>CONCATENATE(Material_de_vidrio[[#This Row],[Material]]," ",Material_de_vidrio[[#This Row],[Especificación]]," ",Material_de_vidrio[[#This Row],[Tamaño]])</f>
        <v xml:space="preserve">Vidrios de reloj chicos </v>
      </c>
      <c r="J117" s="110"/>
      <c r="K117" s="110"/>
    </row>
    <row r="118" spans="1:11" ht="15.75" x14ac:dyDescent="0.25">
      <c r="A118" s="124"/>
      <c r="B118" s="124"/>
      <c r="C118" s="125"/>
      <c r="D118" s="31"/>
      <c r="E118" s="31"/>
      <c r="F118" s="41">
        <f>Material_de_vidrio[[#This Row],[Stock en uso]]+Material_de_vidrio[[#This Row],[Stock nuevo]]</f>
        <v>0</v>
      </c>
      <c r="G118" s="372"/>
      <c r="H118" s="19"/>
      <c r="I118" s="126" t="str">
        <f>CONCATENATE(Material_de_vidrio[[#This Row],[Material]]," ",Material_de_vidrio[[#This Row],[Especificación]]," ",Material_de_vidrio[[#This Row],[Tamaño]])</f>
        <v xml:space="preserve">  </v>
      </c>
      <c r="J118" s="110"/>
      <c r="K118" s="110"/>
    </row>
  </sheetData>
  <sheetProtection sheet="1" objects="1" scenarios="1" formatColumns="0" formatRows="0" sort="0" autoFilter="0"/>
  <mergeCells count="1">
    <mergeCell ref="E1:I1"/>
  </mergeCells>
  <phoneticPr fontId="2" type="noConversion"/>
  <dataValidations count="1">
    <dataValidation allowBlank="1" showInputMessage="1" showErrorMessage="1" errorTitle="Mal escrito" error="Chequear en &quot;Insumos a comprar&quot; el nombre que se le puso" sqref="D3:E118 G3:G118" xr:uid="{00000000-0002-0000-0A00-000000000000}"/>
  </dataValidations>
  <hyperlinks>
    <hyperlink ref="C1" location="'Estado general'!A9" display="General" xr:uid="{00000000-0004-0000-0A00-000000000000}"/>
    <hyperlink ref="D1" location="'Insumos a comprar'!A1" display="A comprar" xr:uid="{00000000-0004-0000-0A00-000001000000}"/>
  </hyperlink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xr:uid="{00000000-0002-0000-0A00-000001000000}">
          <x14:formula1>
            <xm:f>Datos!$H$2:$H$130</xm:f>
          </x14:formula1>
          <xm:sqref>I3:I118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70C0"/>
    <pageSetUpPr autoPageBreaks="0" fitToPage="1"/>
  </sheetPr>
  <dimension ref="A1:L43"/>
  <sheetViews>
    <sheetView showGridLines="0" workbookViewId="0">
      <selection activeCell="K26" sqref="K26"/>
    </sheetView>
  </sheetViews>
  <sheetFormatPr defaultColWidth="11.42578125" defaultRowHeight="12.75" x14ac:dyDescent="0.2"/>
  <cols>
    <col min="1" max="1" width="34.28515625" style="80" customWidth="1"/>
    <col min="2" max="2" width="17" style="80" bestFit="1" customWidth="1"/>
    <col min="3" max="3" width="11.85546875" style="80" customWidth="1"/>
    <col min="4" max="4" width="13" style="80" bestFit="1" customWidth="1"/>
    <col min="5" max="5" width="9.5703125" style="80" bestFit="1" customWidth="1"/>
    <col min="6" max="6" width="12.85546875" style="80" customWidth="1"/>
    <col min="7" max="7" width="12.28515625" style="80" customWidth="1"/>
    <col min="8" max="8" width="15.5703125" style="80" customWidth="1"/>
    <col min="9" max="9" width="12.85546875" style="132" customWidth="1"/>
    <col min="10" max="10" width="14.5703125" style="118" bestFit="1" customWidth="1"/>
    <col min="11" max="11" width="27.42578125" style="80" customWidth="1"/>
    <col min="12" max="12" width="26.42578125" style="80" bestFit="1" customWidth="1"/>
    <col min="13" max="253" width="11.42578125" style="80"/>
    <col min="254" max="254" width="23.7109375" style="80" bestFit="1" customWidth="1"/>
    <col min="255" max="255" width="16.140625" style="80" bestFit="1" customWidth="1"/>
    <col min="256" max="256" width="14.5703125" style="80" customWidth="1"/>
    <col min="257" max="257" width="11.5703125" style="80" customWidth="1"/>
    <col min="258" max="258" width="6.7109375" style="80" customWidth="1"/>
    <col min="259" max="259" width="14" style="80" customWidth="1"/>
    <col min="260" max="260" width="9.7109375" style="80" customWidth="1"/>
    <col min="261" max="263" width="10.7109375" style="80" customWidth="1"/>
    <col min="264" max="264" width="8.7109375" style="80" customWidth="1"/>
    <col min="265" max="265" width="9.85546875" style="80" customWidth="1"/>
    <col min="266" max="266" width="25.85546875" style="80" bestFit="1" customWidth="1"/>
    <col min="267" max="267" width="27.42578125" style="80" customWidth="1"/>
    <col min="268" max="509" width="11.42578125" style="80"/>
    <col min="510" max="510" width="23.7109375" style="80" bestFit="1" customWidth="1"/>
    <col min="511" max="511" width="16.140625" style="80" bestFit="1" customWidth="1"/>
    <col min="512" max="512" width="14.5703125" style="80" customWidth="1"/>
    <col min="513" max="513" width="11.5703125" style="80" customWidth="1"/>
    <col min="514" max="514" width="6.7109375" style="80" customWidth="1"/>
    <col min="515" max="515" width="14" style="80" customWidth="1"/>
    <col min="516" max="516" width="9.7109375" style="80" customWidth="1"/>
    <col min="517" max="519" width="10.7109375" style="80" customWidth="1"/>
    <col min="520" max="520" width="8.7109375" style="80" customWidth="1"/>
    <col min="521" max="521" width="9.85546875" style="80" customWidth="1"/>
    <col min="522" max="522" width="25.85546875" style="80" bestFit="1" customWidth="1"/>
    <col min="523" max="523" width="27.42578125" style="80" customWidth="1"/>
    <col min="524" max="765" width="11.42578125" style="80"/>
    <col min="766" max="766" width="23.7109375" style="80" bestFit="1" customWidth="1"/>
    <col min="767" max="767" width="16.140625" style="80" bestFit="1" customWidth="1"/>
    <col min="768" max="768" width="14.5703125" style="80" customWidth="1"/>
    <col min="769" max="769" width="11.5703125" style="80" customWidth="1"/>
    <col min="770" max="770" width="6.7109375" style="80" customWidth="1"/>
    <col min="771" max="771" width="14" style="80" customWidth="1"/>
    <col min="772" max="772" width="9.7109375" style="80" customWidth="1"/>
    <col min="773" max="775" width="10.7109375" style="80" customWidth="1"/>
    <col min="776" max="776" width="8.7109375" style="80" customWidth="1"/>
    <col min="777" max="777" width="9.85546875" style="80" customWidth="1"/>
    <col min="778" max="778" width="25.85546875" style="80" bestFit="1" customWidth="1"/>
    <col min="779" max="779" width="27.42578125" style="80" customWidth="1"/>
    <col min="780" max="1021" width="11.42578125" style="80"/>
    <col min="1022" max="1022" width="23.7109375" style="80" bestFit="1" customWidth="1"/>
    <col min="1023" max="1023" width="16.140625" style="80" bestFit="1" customWidth="1"/>
    <col min="1024" max="1024" width="14.5703125" style="80" customWidth="1"/>
    <col min="1025" max="1025" width="11.5703125" style="80" customWidth="1"/>
    <col min="1026" max="1026" width="6.7109375" style="80" customWidth="1"/>
    <col min="1027" max="1027" width="14" style="80" customWidth="1"/>
    <col min="1028" max="1028" width="9.7109375" style="80" customWidth="1"/>
    <col min="1029" max="1031" width="10.7109375" style="80" customWidth="1"/>
    <col min="1032" max="1032" width="8.7109375" style="80" customWidth="1"/>
    <col min="1033" max="1033" width="9.85546875" style="80" customWidth="1"/>
    <col min="1034" max="1034" width="25.85546875" style="80" bestFit="1" customWidth="1"/>
    <col min="1035" max="1035" width="27.42578125" style="80" customWidth="1"/>
    <col min="1036" max="1277" width="11.42578125" style="80"/>
    <col min="1278" max="1278" width="23.7109375" style="80" bestFit="1" customWidth="1"/>
    <col min="1279" max="1279" width="16.140625" style="80" bestFit="1" customWidth="1"/>
    <col min="1280" max="1280" width="14.5703125" style="80" customWidth="1"/>
    <col min="1281" max="1281" width="11.5703125" style="80" customWidth="1"/>
    <col min="1282" max="1282" width="6.7109375" style="80" customWidth="1"/>
    <col min="1283" max="1283" width="14" style="80" customWidth="1"/>
    <col min="1284" max="1284" width="9.7109375" style="80" customWidth="1"/>
    <col min="1285" max="1287" width="10.7109375" style="80" customWidth="1"/>
    <col min="1288" max="1288" width="8.7109375" style="80" customWidth="1"/>
    <col min="1289" max="1289" width="9.85546875" style="80" customWidth="1"/>
    <col min="1290" max="1290" width="25.85546875" style="80" bestFit="1" customWidth="1"/>
    <col min="1291" max="1291" width="27.42578125" style="80" customWidth="1"/>
    <col min="1292" max="1533" width="11.42578125" style="80"/>
    <col min="1534" max="1534" width="23.7109375" style="80" bestFit="1" customWidth="1"/>
    <col min="1535" max="1535" width="16.140625" style="80" bestFit="1" customWidth="1"/>
    <col min="1536" max="1536" width="14.5703125" style="80" customWidth="1"/>
    <col min="1537" max="1537" width="11.5703125" style="80" customWidth="1"/>
    <col min="1538" max="1538" width="6.7109375" style="80" customWidth="1"/>
    <col min="1539" max="1539" width="14" style="80" customWidth="1"/>
    <col min="1540" max="1540" width="9.7109375" style="80" customWidth="1"/>
    <col min="1541" max="1543" width="10.7109375" style="80" customWidth="1"/>
    <col min="1544" max="1544" width="8.7109375" style="80" customWidth="1"/>
    <col min="1545" max="1545" width="9.85546875" style="80" customWidth="1"/>
    <col min="1546" max="1546" width="25.85546875" style="80" bestFit="1" customWidth="1"/>
    <col min="1547" max="1547" width="27.42578125" style="80" customWidth="1"/>
    <col min="1548" max="1789" width="11.42578125" style="80"/>
    <col min="1790" max="1790" width="23.7109375" style="80" bestFit="1" customWidth="1"/>
    <col min="1791" max="1791" width="16.140625" style="80" bestFit="1" customWidth="1"/>
    <col min="1792" max="1792" width="14.5703125" style="80" customWidth="1"/>
    <col min="1793" max="1793" width="11.5703125" style="80" customWidth="1"/>
    <col min="1794" max="1794" width="6.7109375" style="80" customWidth="1"/>
    <col min="1795" max="1795" width="14" style="80" customWidth="1"/>
    <col min="1796" max="1796" width="9.7109375" style="80" customWidth="1"/>
    <col min="1797" max="1799" width="10.7109375" style="80" customWidth="1"/>
    <col min="1800" max="1800" width="8.7109375" style="80" customWidth="1"/>
    <col min="1801" max="1801" width="9.85546875" style="80" customWidth="1"/>
    <col min="1802" max="1802" width="25.85546875" style="80" bestFit="1" customWidth="1"/>
    <col min="1803" max="1803" width="27.42578125" style="80" customWidth="1"/>
    <col min="1804" max="2045" width="11.42578125" style="80"/>
    <col min="2046" max="2046" width="23.7109375" style="80" bestFit="1" customWidth="1"/>
    <col min="2047" max="2047" width="16.140625" style="80" bestFit="1" customWidth="1"/>
    <col min="2048" max="2048" width="14.5703125" style="80" customWidth="1"/>
    <col min="2049" max="2049" width="11.5703125" style="80" customWidth="1"/>
    <col min="2050" max="2050" width="6.7109375" style="80" customWidth="1"/>
    <col min="2051" max="2051" width="14" style="80" customWidth="1"/>
    <col min="2052" max="2052" width="9.7109375" style="80" customWidth="1"/>
    <col min="2053" max="2055" width="10.7109375" style="80" customWidth="1"/>
    <col min="2056" max="2056" width="8.7109375" style="80" customWidth="1"/>
    <col min="2057" max="2057" width="9.85546875" style="80" customWidth="1"/>
    <col min="2058" max="2058" width="25.85546875" style="80" bestFit="1" customWidth="1"/>
    <col min="2059" max="2059" width="27.42578125" style="80" customWidth="1"/>
    <col min="2060" max="2301" width="11.42578125" style="80"/>
    <col min="2302" max="2302" width="23.7109375" style="80" bestFit="1" customWidth="1"/>
    <col min="2303" max="2303" width="16.140625" style="80" bestFit="1" customWidth="1"/>
    <col min="2304" max="2304" width="14.5703125" style="80" customWidth="1"/>
    <col min="2305" max="2305" width="11.5703125" style="80" customWidth="1"/>
    <col min="2306" max="2306" width="6.7109375" style="80" customWidth="1"/>
    <col min="2307" max="2307" width="14" style="80" customWidth="1"/>
    <col min="2308" max="2308" width="9.7109375" style="80" customWidth="1"/>
    <col min="2309" max="2311" width="10.7109375" style="80" customWidth="1"/>
    <col min="2312" max="2312" width="8.7109375" style="80" customWidth="1"/>
    <col min="2313" max="2313" width="9.85546875" style="80" customWidth="1"/>
    <col min="2314" max="2314" width="25.85546875" style="80" bestFit="1" customWidth="1"/>
    <col min="2315" max="2315" width="27.42578125" style="80" customWidth="1"/>
    <col min="2316" max="2557" width="11.42578125" style="80"/>
    <col min="2558" max="2558" width="23.7109375" style="80" bestFit="1" customWidth="1"/>
    <col min="2559" max="2559" width="16.140625" style="80" bestFit="1" customWidth="1"/>
    <col min="2560" max="2560" width="14.5703125" style="80" customWidth="1"/>
    <col min="2561" max="2561" width="11.5703125" style="80" customWidth="1"/>
    <col min="2562" max="2562" width="6.7109375" style="80" customWidth="1"/>
    <col min="2563" max="2563" width="14" style="80" customWidth="1"/>
    <col min="2564" max="2564" width="9.7109375" style="80" customWidth="1"/>
    <col min="2565" max="2567" width="10.7109375" style="80" customWidth="1"/>
    <col min="2568" max="2568" width="8.7109375" style="80" customWidth="1"/>
    <col min="2569" max="2569" width="9.85546875" style="80" customWidth="1"/>
    <col min="2570" max="2570" width="25.85546875" style="80" bestFit="1" customWidth="1"/>
    <col min="2571" max="2571" width="27.42578125" style="80" customWidth="1"/>
    <col min="2572" max="2813" width="11.42578125" style="80"/>
    <col min="2814" max="2814" width="23.7109375" style="80" bestFit="1" customWidth="1"/>
    <col min="2815" max="2815" width="16.140625" style="80" bestFit="1" customWidth="1"/>
    <col min="2816" max="2816" width="14.5703125" style="80" customWidth="1"/>
    <col min="2817" max="2817" width="11.5703125" style="80" customWidth="1"/>
    <col min="2818" max="2818" width="6.7109375" style="80" customWidth="1"/>
    <col min="2819" max="2819" width="14" style="80" customWidth="1"/>
    <col min="2820" max="2820" width="9.7109375" style="80" customWidth="1"/>
    <col min="2821" max="2823" width="10.7109375" style="80" customWidth="1"/>
    <col min="2824" max="2824" width="8.7109375" style="80" customWidth="1"/>
    <col min="2825" max="2825" width="9.85546875" style="80" customWidth="1"/>
    <col min="2826" max="2826" width="25.85546875" style="80" bestFit="1" customWidth="1"/>
    <col min="2827" max="2827" width="27.42578125" style="80" customWidth="1"/>
    <col min="2828" max="3069" width="11.42578125" style="80"/>
    <col min="3070" max="3070" width="23.7109375" style="80" bestFit="1" customWidth="1"/>
    <col min="3071" max="3071" width="16.140625" style="80" bestFit="1" customWidth="1"/>
    <col min="3072" max="3072" width="14.5703125" style="80" customWidth="1"/>
    <col min="3073" max="3073" width="11.5703125" style="80" customWidth="1"/>
    <col min="3074" max="3074" width="6.7109375" style="80" customWidth="1"/>
    <col min="3075" max="3075" width="14" style="80" customWidth="1"/>
    <col min="3076" max="3076" width="9.7109375" style="80" customWidth="1"/>
    <col min="3077" max="3079" width="10.7109375" style="80" customWidth="1"/>
    <col min="3080" max="3080" width="8.7109375" style="80" customWidth="1"/>
    <col min="3081" max="3081" width="9.85546875" style="80" customWidth="1"/>
    <col min="3082" max="3082" width="25.85546875" style="80" bestFit="1" customWidth="1"/>
    <col min="3083" max="3083" width="27.42578125" style="80" customWidth="1"/>
    <col min="3084" max="3325" width="11.42578125" style="80"/>
    <col min="3326" max="3326" width="23.7109375" style="80" bestFit="1" customWidth="1"/>
    <col min="3327" max="3327" width="16.140625" style="80" bestFit="1" customWidth="1"/>
    <col min="3328" max="3328" width="14.5703125" style="80" customWidth="1"/>
    <col min="3329" max="3329" width="11.5703125" style="80" customWidth="1"/>
    <col min="3330" max="3330" width="6.7109375" style="80" customWidth="1"/>
    <col min="3331" max="3331" width="14" style="80" customWidth="1"/>
    <col min="3332" max="3332" width="9.7109375" style="80" customWidth="1"/>
    <col min="3333" max="3335" width="10.7109375" style="80" customWidth="1"/>
    <col min="3336" max="3336" width="8.7109375" style="80" customWidth="1"/>
    <col min="3337" max="3337" width="9.85546875" style="80" customWidth="1"/>
    <col min="3338" max="3338" width="25.85546875" style="80" bestFit="1" customWidth="1"/>
    <col min="3339" max="3339" width="27.42578125" style="80" customWidth="1"/>
    <col min="3340" max="3581" width="11.42578125" style="80"/>
    <col min="3582" max="3582" width="23.7109375" style="80" bestFit="1" customWidth="1"/>
    <col min="3583" max="3583" width="16.140625" style="80" bestFit="1" customWidth="1"/>
    <col min="3584" max="3584" width="14.5703125" style="80" customWidth="1"/>
    <col min="3585" max="3585" width="11.5703125" style="80" customWidth="1"/>
    <col min="3586" max="3586" width="6.7109375" style="80" customWidth="1"/>
    <col min="3587" max="3587" width="14" style="80" customWidth="1"/>
    <col min="3588" max="3588" width="9.7109375" style="80" customWidth="1"/>
    <col min="3589" max="3591" width="10.7109375" style="80" customWidth="1"/>
    <col min="3592" max="3592" width="8.7109375" style="80" customWidth="1"/>
    <col min="3593" max="3593" width="9.85546875" style="80" customWidth="1"/>
    <col min="3594" max="3594" width="25.85546875" style="80" bestFit="1" customWidth="1"/>
    <col min="3595" max="3595" width="27.42578125" style="80" customWidth="1"/>
    <col min="3596" max="3837" width="11.42578125" style="80"/>
    <col min="3838" max="3838" width="23.7109375" style="80" bestFit="1" customWidth="1"/>
    <col min="3839" max="3839" width="16.140625" style="80" bestFit="1" customWidth="1"/>
    <col min="3840" max="3840" width="14.5703125" style="80" customWidth="1"/>
    <col min="3841" max="3841" width="11.5703125" style="80" customWidth="1"/>
    <col min="3842" max="3842" width="6.7109375" style="80" customWidth="1"/>
    <col min="3843" max="3843" width="14" style="80" customWidth="1"/>
    <col min="3844" max="3844" width="9.7109375" style="80" customWidth="1"/>
    <col min="3845" max="3847" width="10.7109375" style="80" customWidth="1"/>
    <col min="3848" max="3848" width="8.7109375" style="80" customWidth="1"/>
    <col min="3849" max="3849" width="9.85546875" style="80" customWidth="1"/>
    <col min="3850" max="3850" width="25.85546875" style="80" bestFit="1" customWidth="1"/>
    <col min="3851" max="3851" width="27.42578125" style="80" customWidth="1"/>
    <col min="3852" max="4093" width="11.42578125" style="80"/>
    <col min="4094" max="4094" width="23.7109375" style="80" bestFit="1" customWidth="1"/>
    <col min="4095" max="4095" width="16.140625" style="80" bestFit="1" customWidth="1"/>
    <col min="4096" max="4096" width="14.5703125" style="80" customWidth="1"/>
    <col min="4097" max="4097" width="11.5703125" style="80" customWidth="1"/>
    <col min="4098" max="4098" width="6.7109375" style="80" customWidth="1"/>
    <col min="4099" max="4099" width="14" style="80" customWidth="1"/>
    <col min="4100" max="4100" width="9.7109375" style="80" customWidth="1"/>
    <col min="4101" max="4103" width="10.7109375" style="80" customWidth="1"/>
    <col min="4104" max="4104" width="8.7109375" style="80" customWidth="1"/>
    <col min="4105" max="4105" width="9.85546875" style="80" customWidth="1"/>
    <col min="4106" max="4106" width="25.85546875" style="80" bestFit="1" customWidth="1"/>
    <col min="4107" max="4107" width="27.42578125" style="80" customWidth="1"/>
    <col min="4108" max="4349" width="11.42578125" style="80"/>
    <col min="4350" max="4350" width="23.7109375" style="80" bestFit="1" customWidth="1"/>
    <col min="4351" max="4351" width="16.140625" style="80" bestFit="1" customWidth="1"/>
    <col min="4352" max="4352" width="14.5703125" style="80" customWidth="1"/>
    <col min="4353" max="4353" width="11.5703125" style="80" customWidth="1"/>
    <col min="4354" max="4354" width="6.7109375" style="80" customWidth="1"/>
    <col min="4355" max="4355" width="14" style="80" customWidth="1"/>
    <col min="4356" max="4356" width="9.7109375" style="80" customWidth="1"/>
    <col min="4357" max="4359" width="10.7109375" style="80" customWidth="1"/>
    <col min="4360" max="4360" width="8.7109375" style="80" customWidth="1"/>
    <col min="4361" max="4361" width="9.85546875" style="80" customWidth="1"/>
    <col min="4362" max="4362" width="25.85546875" style="80" bestFit="1" customWidth="1"/>
    <col min="4363" max="4363" width="27.42578125" style="80" customWidth="1"/>
    <col min="4364" max="4605" width="11.42578125" style="80"/>
    <col min="4606" max="4606" width="23.7109375" style="80" bestFit="1" customWidth="1"/>
    <col min="4607" max="4607" width="16.140625" style="80" bestFit="1" customWidth="1"/>
    <col min="4608" max="4608" width="14.5703125" style="80" customWidth="1"/>
    <col min="4609" max="4609" width="11.5703125" style="80" customWidth="1"/>
    <col min="4610" max="4610" width="6.7109375" style="80" customWidth="1"/>
    <col min="4611" max="4611" width="14" style="80" customWidth="1"/>
    <col min="4612" max="4612" width="9.7109375" style="80" customWidth="1"/>
    <col min="4613" max="4615" width="10.7109375" style="80" customWidth="1"/>
    <col min="4616" max="4616" width="8.7109375" style="80" customWidth="1"/>
    <col min="4617" max="4617" width="9.85546875" style="80" customWidth="1"/>
    <col min="4618" max="4618" width="25.85546875" style="80" bestFit="1" customWidth="1"/>
    <col min="4619" max="4619" width="27.42578125" style="80" customWidth="1"/>
    <col min="4620" max="4861" width="11.42578125" style="80"/>
    <col min="4862" max="4862" width="23.7109375" style="80" bestFit="1" customWidth="1"/>
    <col min="4863" max="4863" width="16.140625" style="80" bestFit="1" customWidth="1"/>
    <col min="4864" max="4864" width="14.5703125" style="80" customWidth="1"/>
    <col min="4865" max="4865" width="11.5703125" style="80" customWidth="1"/>
    <col min="4866" max="4866" width="6.7109375" style="80" customWidth="1"/>
    <col min="4867" max="4867" width="14" style="80" customWidth="1"/>
    <col min="4868" max="4868" width="9.7109375" style="80" customWidth="1"/>
    <col min="4869" max="4871" width="10.7109375" style="80" customWidth="1"/>
    <col min="4872" max="4872" width="8.7109375" style="80" customWidth="1"/>
    <col min="4873" max="4873" width="9.85546875" style="80" customWidth="1"/>
    <col min="4874" max="4874" width="25.85546875" style="80" bestFit="1" customWidth="1"/>
    <col min="4875" max="4875" width="27.42578125" style="80" customWidth="1"/>
    <col min="4876" max="5117" width="11.42578125" style="80"/>
    <col min="5118" max="5118" width="23.7109375" style="80" bestFit="1" customWidth="1"/>
    <col min="5119" max="5119" width="16.140625" style="80" bestFit="1" customWidth="1"/>
    <col min="5120" max="5120" width="14.5703125" style="80" customWidth="1"/>
    <col min="5121" max="5121" width="11.5703125" style="80" customWidth="1"/>
    <col min="5122" max="5122" width="6.7109375" style="80" customWidth="1"/>
    <col min="5123" max="5123" width="14" style="80" customWidth="1"/>
    <col min="5124" max="5124" width="9.7109375" style="80" customWidth="1"/>
    <col min="5125" max="5127" width="10.7109375" style="80" customWidth="1"/>
    <col min="5128" max="5128" width="8.7109375" style="80" customWidth="1"/>
    <col min="5129" max="5129" width="9.85546875" style="80" customWidth="1"/>
    <col min="5130" max="5130" width="25.85546875" style="80" bestFit="1" customWidth="1"/>
    <col min="5131" max="5131" width="27.42578125" style="80" customWidth="1"/>
    <col min="5132" max="5373" width="11.42578125" style="80"/>
    <col min="5374" max="5374" width="23.7109375" style="80" bestFit="1" customWidth="1"/>
    <col min="5375" max="5375" width="16.140625" style="80" bestFit="1" customWidth="1"/>
    <col min="5376" max="5376" width="14.5703125" style="80" customWidth="1"/>
    <col min="5377" max="5377" width="11.5703125" style="80" customWidth="1"/>
    <col min="5378" max="5378" width="6.7109375" style="80" customWidth="1"/>
    <col min="5379" max="5379" width="14" style="80" customWidth="1"/>
    <col min="5380" max="5380" width="9.7109375" style="80" customWidth="1"/>
    <col min="5381" max="5383" width="10.7109375" style="80" customWidth="1"/>
    <col min="5384" max="5384" width="8.7109375" style="80" customWidth="1"/>
    <col min="5385" max="5385" width="9.85546875" style="80" customWidth="1"/>
    <col min="5386" max="5386" width="25.85546875" style="80" bestFit="1" customWidth="1"/>
    <col min="5387" max="5387" width="27.42578125" style="80" customWidth="1"/>
    <col min="5388" max="5629" width="11.42578125" style="80"/>
    <col min="5630" max="5630" width="23.7109375" style="80" bestFit="1" customWidth="1"/>
    <col min="5631" max="5631" width="16.140625" style="80" bestFit="1" customWidth="1"/>
    <col min="5632" max="5632" width="14.5703125" style="80" customWidth="1"/>
    <col min="5633" max="5633" width="11.5703125" style="80" customWidth="1"/>
    <col min="5634" max="5634" width="6.7109375" style="80" customWidth="1"/>
    <col min="5635" max="5635" width="14" style="80" customWidth="1"/>
    <col min="5636" max="5636" width="9.7109375" style="80" customWidth="1"/>
    <col min="5637" max="5639" width="10.7109375" style="80" customWidth="1"/>
    <col min="5640" max="5640" width="8.7109375" style="80" customWidth="1"/>
    <col min="5641" max="5641" width="9.85546875" style="80" customWidth="1"/>
    <col min="5642" max="5642" width="25.85546875" style="80" bestFit="1" customWidth="1"/>
    <col min="5643" max="5643" width="27.42578125" style="80" customWidth="1"/>
    <col min="5644" max="5885" width="11.42578125" style="80"/>
    <col min="5886" max="5886" width="23.7109375" style="80" bestFit="1" customWidth="1"/>
    <col min="5887" max="5887" width="16.140625" style="80" bestFit="1" customWidth="1"/>
    <col min="5888" max="5888" width="14.5703125" style="80" customWidth="1"/>
    <col min="5889" max="5889" width="11.5703125" style="80" customWidth="1"/>
    <col min="5890" max="5890" width="6.7109375" style="80" customWidth="1"/>
    <col min="5891" max="5891" width="14" style="80" customWidth="1"/>
    <col min="5892" max="5892" width="9.7109375" style="80" customWidth="1"/>
    <col min="5893" max="5895" width="10.7109375" style="80" customWidth="1"/>
    <col min="5896" max="5896" width="8.7109375" style="80" customWidth="1"/>
    <col min="5897" max="5897" width="9.85546875" style="80" customWidth="1"/>
    <col min="5898" max="5898" width="25.85546875" style="80" bestFit="1" customWidth="1"/>
    <col min="5899" max="5899" width="27.42578125" style="80" customWidth="1"/>
    <col min="5900" max="6141" width="11.42578125" style="80"/>
    <col min="6142" max="6142" width="23.7109375" style="80" bestFit="1" customWidth="1"/>
    <col min="6143" max="6143" width="16.140625" style="80" bestFit="1" customWidth="1"/>
    <col min="6144" max="6144" width="14.5703125" style="80" customWidth="1"/>
    <col min="6145" max="6145" width="11.5703125" style="80" customWidth="1"/>
    <col min="6146" max="6146" width="6.7109375" style="80" customWidth="1"/>
    <col min="6147" max="6147" width="14" style="80" customWidth="1"/>
    <col min="6148" max="6148" width="9.7109375" style="80" customWidth="1"/>
    <col min="6149" max="6151" width="10.7109375" style="80" customWidth="1"/>
    <col min="6152" max="6152" width="8.7109375" style="80" customWidth="1"/>
    <col min="6153" max="6153" width="9.85546875" style="80" customWidth="1"/>
    <col min="6154" max="6154" width="25.85546875" style="80" bestFit="1" customWidth="1"/>
    <col min="6155" max="6155" width="27.42578125" style="80" customWidth="1"/>
    <col min="6156" max="6397" width="11.42578125" style="80"/>
    <col min="6398" max="6398" width="23.7109375" style="80" bestFit="1" customWidth="1"/>
    <col min="6399" max="6399" width="16.140625" style="80" bestFit="1" customWidth="1"/>
    <col min="6400" max="6400" width="14.5703125" style="80" customWidth="1"/>
    <col min="6401" max="6401" width="11.5703125" style="80" customWidth="1"/>
    <col min="6402" max="6402" width="6.7109375" style="80" customWidth="1"/>
    <col min="6403" max="6403" width="14" style="80" customWidth="1"/>
    <col min="6404" max="6404" width="9.7109375" style="80" customWidth="1"/>
    <col min="6405" max="6407" width="10.7109375" style="80" customWidth="1"/>
    <col min="6408" max="6408" width="8.7109375" style="80" customWidth="1"/>
    <col min="6409" max="6409" width="9.85546875" style="80" customWidth="1"/>
    <col min="6410" max="6410" width="25.85546875" style="80" bestFit="1" customWidth="1"/>
    <col min="6411" max="6411" width="27.42578125" style="80" customWidth="1"/>
    <col min="6412" max="6653" width="11.42578125" style="80"/>
    <col min="6654" max="6654" width="23.7109375" style="80" bestFit="1" customWidth="1"/>
    <col min="6655" max="6655" width="16.140625" style="80" bestFit="1" customWidth="1"/>
    <col min="6656" max="6656" width="14.5703125" style="80" customWidth="1"/>
    <col min="6657" max="6657" width="11.5703125" style="80" customWidth="1"/>
    <col min="6658" max="6658" width="6.7109375" style="80" customWidth="1"/>
    <col min="6659" max="6659" width="14" style="80" customWidth="1"/>
    <col min="6660" max="6660" width="9.7109375" style="80" customWidth="1"/>
    <col min="6661" max="6663" width="10.7109375" style="80" customWidth="1"/>
    <col min="6664" max="6664" width="8.7109375" style="80" customWidth="1"/>
    <col min="6665" max="6665" width="9.85546875" style="80" customWidth="1"/>
    <col min="6666" max="6666" width="25.85546875" style="80" bestFit="1" customWidth="1"/>
    <col min="6667" max="6667" width="27.42578125" style="80" customWidth="1"/>
    <col min="6668" max="6909" width="11.42578125" style="80"/>
    <col min="6910" max="6910" width="23.7109375" style="80" bestFit="1" customWidth="1"/>
    <col min="6911" max="6911" width="16.140625" style="80" bestFit="1" customWidth="1"/>
    <col min="6912" max="6912" width="14.5703125" style="80" customWidth="1"/>
    <col min="6913" max="6913" width="11.5703125" style="80" customWidth="1"/>
    <col min="6914" max="6914" width="6.7109375" style="80" customWidth="1"/>
    <col min="6915" max="6915" width="14" style="80" customWidth="1"/>
    <col min="6916" max="6916" width="9.7109375" style="80" customWidth="1"/>
    <col min="6917" max="6919" width="10.7109375" style="80" customWidth="1"/>
    <col min="6920" max="6920" width="8.7109375" style="80" customWidth="1"/>
    <col min="6921" max="6921" width="9.85546875" style="80" customWidth="1"/>
    <col min="6922" max="6922" width="25.85546875" style="80" bestFit="1" customWidth="1"/>
    <col min="6923" max="6923" width="27.42578125" style="80" customWidth="1"/>
    <col min="6924" max="7165" width="11.42578125" style="80"/>
    <col min="7166" max="7166" width="23.7109375" style="80" bestFit="1" customWidth="1"/>
    <col min="7167" max="7167" width="16.140625" style="80" bestFit="1" customWidth="1"/>
    <col min="7168" max="7168" width="14.5703125" style="80" customWidth="1"/>
    <col min="7169" max="7169" width="11.5703125" style="80" customWidth="1"/>
    <col min="7170" max="7170" width="6.7109375" style="80" customWidth="1"/>
    <col min="7171" max="7171" width="14" style="80" customWidth="1"/>
    <col min="7172" max="7172" width="9.7109375" style="80" customWidth="1"/>
    <col min="7173" max="7175" width="10.7109375" style="80" customWidth="1"/>
    <col min="7176" max="7176" width="8.7109375" style="80" customWidth="1"/>
    <col min="7177" max="7177" width="9.85546875" style="80" customWidth="1"/>
    <col min="7178" max="7178" width="25.85546875" style="80" bestFit="1" customWidth="1"/>
    <col min="7179" max="7179" width="27.42578125" style="80" customWidth="1"/>
    <col min="7180" max="7421" width="11.42578125" style="80"/>
    <col min="7422" max="7422" width="23.7109375" style="80" bestFit="1" customWidth="1"/>
    <col min="7423" max="7423" width="16.140625" style="80" bestFit="1" customWidth="1"/>
    <col min="7424" max="7424" width="14.5703125" style="80" customWidth="1"/>
    <col min="7425" max="7425" width="11.5703125" style="80" customWidth="1"/>
    <col min="7426" max="7426" width="6.7109375" style="80" customWidth="1"/>
    <col min="7427" max="7427" width="14" style="80" customWidth="1"/>
    <col min="7428" max="7428" width="9.7109375" style="80" customWidth="1"/>
    <col min="7429" max="7431" width="10.7109375" style="80" customWidth="1"/>
    <col min="7432" max="7432" width="8.7109375" style="80" customWidth="1"/>
    <col min="7433" max="7433" width="9.85546875" style="80" customWidth="1"/>
    <col min="7434" max="7434" width="25.85546875" style="80" bestFit="1" customWidth="1"/>
    <col min="7435" max="7435" width="27.42578125" style="80" customWidth="1"/>
    <col min="7436" max="7677" width="11.42578125" style="80"/>
    <col min="7678" max="7678" width="23.7109375" style="80" bestFit="1" customWidth="1"/>
    <col min="7679" max="7679" width="16.140625" style="80" bestFit="1" customWidth="1"/>
    <col min="7680" max="7680" width="14.5703125" style="80" customWidth="1"/>
    <col min="7681" max="7681" width="11.5703125" style="80" customWidth="1"/>
    <col min="7682" max="7682" width="6.7109375" style="80" customWidth="1"/>
    <col min="7683" max="7683" width="14" style="80" customWidth="1"/>
    <col min="7684" max="7684" width="9.7109375" style="80" customWidth="1"/>
    <col min="7685" max="7687" width="10.7109375" style="80" customWidth="1"/>
    <col min="7688" max="7688" width="8.7109375" style="80" customWidth="1"/>
    <col min="7689" max="7689" width="9.85546875" style="80" customWidth="1"/>
    <col min="7690" max="7690" width="25.85546875" style="80" bestFit="1" customWidth="1"/>
    <col min="7691" max="7691" width="27.42578125" style="80" customWidth="1"/>
    <col min="7692" max="7933" width="11.42578125" style="80"/>
    <col min="7934" max="7934" width="23.7109375" style="80" bestFit="1" customWidth="1"/>
    <col min="7935" max="7935" width="16.140625" style="80" bestFit="1" customWidth="1"/>
    <col min="7936" max="7936" width="14.5703125" style="80" customWidth="1"/>
    <col min="7937" max="7937" width="11.5703125" style="80" customWidth="1"/>
    <col min="7938" max="7938" width="6.7109375" style="80" customWidth="1"/>
    <col min="7939" max="7939" width="14" style="80" customWidth="1"/>
    <col min="7940" max="7940" width="9.7109375" style="80" customWidth="1"/>
    <col min="7941" max="7943" width="10.7109375" style="80" customWidth="1"/>
    <col min="7944" max="7944" width="8.7109375" style="80" customWidth="1"/>
    <col min="7945" max="7945" width="9.85546875" style="80" customWidth="1"/>
    <col min="7946" max="7946" width="25.85546875" style="80" bestFit="1" customWidth="1"/>
    <col min="7947" max="7947" width="27.42578125" style="80" customWidth="1"/>
    <col min="7948" max="8189" width="11.42578125" style="80"/>
    <col min="8190" max="8190" width="23.7109375" style="80" bestFit="1" customWidth="1"/>
    <col min="8191" max="8191" width="16.140625" style="80" bestFit="1" customWidth="1"/>
    <col min="8192" max="8192" width="14.5703125" style="80" customWidth="1"/>
    <col min="8193" max="8193" width="11.5703125" style="80" customWidth="1"/>
    <col min="8194" max="8194" width="6.7109375" style="80" customWidth="1"/>
    <col min="8195" max="8195" width="14" style="80" customWidth="1"/>
    <col min="8196" max="8196" width="9.7109375" style="80" customWidth="1"/>
    <col min="8197" max="8199" width="10.7109375" style="80" customWidth="1"/>
    <col min="8200" max="8200" width="8.7109375" style="80" customWidth="1"/>
    <col min="8201" max="8201" width="9.85546875" style="80" customWidth="1"/>
    <col min="8202" max="8202" width="25.85546875" style="80" bestFit="1" customWidth="1"/>
    <col min="8203" max="8203" width="27.42578125" style="80" customWidth="1"/>
    <col min="8204" max="8445" width="11.42578125" style="80"/>
    <col min="8446" max="8446" width="23.7109375" style="80" bestFit="1" customWidth="1"/>
    <col min="8447" max="8447" width="16.140625" style="80" bestFit="1" customWidth="1"/>
    <col min="8448" max="8448" width="14.5703125" style="80" customWidth="1"/>
    <col min="8449" max="8449" width="11.5703125" style="80" customWidth="1"/>
    <col min="8450" max="8450" width="6.7109375" style="80" customWidth="1"/>
    <col min="8451" max="8451" width="14" style="80" customWidth="1"/>
    <col min="8452" max="8452" width="9.7109375" style="80" customWidth="1"/>
    <col min="8453" max="8455" width="10.7109375" style="80" customWidth="1"/>
    <col min="8456" max="8456" width="8.7109375" style="80" customWidth="1"/>
    <col min="8457" max="8457" width="9.85546875" style="80" customWidth="1"/>
    <col min="8458" max="8458" width="25.85546875" style="80" bestFit="1" customWidth="1"/>
    <col min="8459" max="8459" width="27.42578125" style="80" customWidth="1"/>
    <col min="8460" max="8701" width="11.42578125" style="80"/>
    <col min="8702" max="8702" width="23.7109375" style="80" bestFit="1" customWidth="1"/>
    <col min="8703" max="8703" width="16.140625" style="80" bestFit="1" customWidth="1"/>
    <col min="8704" max="8704" width="14.5703125" style="80" customWidth="1"/>
    <col min="8705" max="8705" width="11.5703125" style="80" customWidth="1"/>
    <col min="8706" max="8706" width="6.7109375" style="80" customWidth="1"/>
    <col min="8707" max="8707" width="14" style="80" customWidth="1"/>
    <col min="8708" max="8708" width="9.7109375" style="80" customWidth="1"/>
    <col min="8709" max="8711" width="10.7109375" style="80" customWidth="1"/>
    <col min="8712" max="8712" width="8.7109375" style="80" customWidth="1"/>
    <col min="8713" max="8713" width="9.85546875" style="80" customWidth="1"/>
    <col min="8714" max="8714" width="25.85546875" style="80" bestFit="1" customWidth="1"/>
    <col min="8715" max="8715" width="27.42578125" style="80" customWidth="1"/>
    <col min="8716" max="8957" width="11.42578125" style="80"/>
    <col min="8958" max="8958" width="23.7109375" style="80" bestFit="1" customWidth="1"/>
    <col min="8959" max="8959" width="16.140625" style="80" bestFit="1" customWidth="1"/>
    <col min="8960" max="8960" width="14.5703125" style="80" customWidth="1"/>
    <col min="8961" max="8961" width="11.5703125" style="80" customWidth="1"/>
    <col min="8962" max="8962" width="6.7109375" style="80" customWidth="1"/>
    <col min="8963" max="8963" width="14" style="80" customWidth="1"/>
    <col min="8964" max="8964" width="9.7109375" style="80" customWidth="1"/>
    <col min="8965" max="8967" width="10.7109375" style="80" customWidth="1"/>
    <col min="8968" max="8968" width="8.7109375" style="80" customWidth="1"/>
    <col min="8969" max="8969" width="9.85546875" style="80" customWidth="1"/>
    <col min="8970" max="8970" width="25.85546875" style="80" bestFit="1" customWidth="1"/>
    <col min="8971" max="8971" width="27.42578125" style="80" customWidth="1"/>
    <col min="8972" max="9213" width="11.42578125" style="80"/>
    <col min="9214" max="9214" width="23.7109375" style="80" bestFit="1" customWidth="1"/>
    <col min="9215" max="9215" width="16.140625" style="80" bestFit="1" customWidth="1"/>
    <col min="9216" max="9216" width="14.5703125" style="80" customWidth="1"/>
    <col min="9217" max="9217" width="11.5703125" style="80" customWidth="1"/>
    <col min="9218" max="9218" width="6.7109375" style="80" customWidth="1"/>
    <col min="9219" max="9219" width="14" style="80" customWidth="1"/>
    <col min="9220" max="9220" width="9.7109375" style="80" customWidth="1"/>
    <col min="9221" max="9223" width="10.7109375" style="80" customWidth="1"/>
    <col min="9224" max="9224" width="8.7109375" style="80" customWidth="1"/>
    <col min="9225" max="9225" width="9.85546875" style="80" customWidth="1"/>
    <col min="9226" max="9226" width="25.85546875" style="80" bestFit="1" customWidth="1"/>
    <col min="9227" max="9227" width="27.42578125" style="80" customWidth="1"/>
    <col min="9228" max="9469" width="11.42578125" style="80"/>
    <col min="9470" max="9470" width="23.7109375" style="80" bestFit="1" customWidth="1"/>
    <col min="9471" max="9471" width="16.140625" style="80" bestFit="1" customWidth="1"/>
    <col min="9472" max="9472" width="14.5703125" style="80" customWidth="1"/>
    <col min="9473" max="9473" width="11.5703125" style="80" customWidth="1"/>
    <col min="9474" max="9474" width="6.7109375" style="80" customWidth="1"/>
    <col min="9475" max="9475" width="14" style="80" customWidth="1"/>
    <col min="9476" max="9476" width="9.7109375" style="80" customWidth="1"/>
    <col min="9477" max="9479" width="10.7109375" style="80" customWidth="1"/>
    <col min="9480" max="9480" width="8.7109375" style="80" customWidth="1"/>
    <col min="9481" max="9481" width="9.85546875" style="80" customWidth="1"/>
    <col min="9482" max="9482" width="25.85546875" style="80" bestFit="1" customWidth="1"/>
    <col min="9483" max="9483" width="27.42578125" style="80" customWidth="1"/>
    <col min="9484" max="9725" width="11.42578125" style="80"/>
    <col min="9726" max="9726" width="23.7109375" style="80" bestFit="1" customWidth="1"/>
    <col min="9727" max="9727" width="16.140625" style="80" bestFit="1" customWidth="1"/>
    <col min="9728" max="9728" width="14.5703125" style="80" customWidth="1"/>
    <col min="9729" max="9729" width="11.5703125" style="80" customWidth="1"/>
    <col min="9730" max="9730" width="6.7109375" style="80" customWidth="1"/>
    <col min="9731" max="9731" width="14" style="80" customWidth="1"/>
    <col min="9732" max="9732" width="9.7109375" style="80" customWidth="1"/>
    <col min="9733" max="9735" width="10.7109375" style="80" customWidth="1"/>
    <col min="9736" max="9736" width="8.7109375" style="80" customWidth="1"/>
    <col min="9737" max="9737" width="9.85546875" style="80" customWidth="1"/>
    <col min="9738" max="9738" width="25.85546875" style="80" bestFit="1" customWidth="1"/>
    <col min="9739" max="9739" width="27.42578125" style="80" customWidth="1"/>
    <col min="9740" max="9981" width="11.42578125" style="80"/>
    <col min="9982" max="9982" width="23.7109375" style="80" bestFit="1" customWidth="1"/>
    <col min="9983" max="9983" width="16.140625" style="80" bestFit="1" customWidth="1"/>
    <col min="9984" max="9984" width="14.5703125" style="80" customWidth="1"/>
    <col min="9985" max="9985" width="11.5703125" style="80" customWidth="1"/>
    <col min="9986" max="9986" width="6.7109375" style="80" customWidth="1"/>
    <col min="9987" max="9987" width="14" style="80" customWidth="1"/>
    <col min="9988" max="9988" width="9.7109375" style="80" customWidth="1"/>
    <col min="9989" max="9991" width="10.7109375" style="80" customWidth="1"/>
    <col min="9992" max="9992" width="8.7109375" style="80" customWidth="1"/>
    <col min="9993" max="9993" width="9.85546875" style="80" customWidth="1"/>
    <col min="9994" max="9994" width="25.85546875" style="80" bestFit="1" customWidth="1"/>
    <col min="9995" max="9995" width="27.42578125" style="80" customWidth="1"/>
    <col min="9996" max="10237" width="11.42578125" style="80"/>
    <col min="10238" max="10238" width="23.7109375" style="80" bestFit="1" customWidth="1"/>
    <col min="10239" max="10239" width="16.140625" style="80" bestFit="1" customWidth="1"/>
    <col min="10240" max="10240" width="14.5703125" style="80" customWidth="1"/>
    <col min="10241" max="10241" width="11.5703125" style="80" customWidth="1"/>
    <col min="10242" max="10242" width="6.7109375" style="80" customWidth="1"/>
    <col min="10243" max="10243" width="14" style="80" customWidth="1"/>
    <col min="10244" max="10244" width="9.7109375" style="80" customWidth="1"/>
    <col min="10245" max="10247" width="10.7109375" style="80" customWidth="1"/>
    <col min="10248" max="10248" width="8.7109375" style="80" customWidth="1"/>
    <col min="10249" max="10249" width="9.85546875" style="80" customWidth="1"/>
    <col min="10250" max="10250" width="25.85546875" style="80" bestFit="1" customWidth="1"/>
    <col min="10251" max="10251" width="27.42578125" style="80" customWidth="1"/>
    <col min="10252" max="10493" width="11.42578125" style="80"/>
    <col min="10494" max="10494" width="23.7109375" style="80" bestFit="1" customWidth="1"/>
    <col min="10495" max="10495" width="16.140625" style="80" bestFit="1" customWidth="1"/>
    <col min="10496" max="10496" width="14.5703125" style="80" customWidth="1"/>
    <col min="10497" max="10497" width="11.5703125" style="80" customWidth="1"/>
    <col min="10498" max="10498" width="6.7109375" style="80" customWidth="1"/>
    <col min="10499" max="10499" width="14" style="80" customWidth="1"/>
    <col min="10500" max="10500" width="9.7109375" style="80" customWidth="1"/>
    <col min="10501" max="10503" width="10.7109375" style="80" customWidth="1"/>
    <col min="10504" max="10504" width="8.7109375" style="80" customWidth="1"/>
    <col min="10505" max="10505" width="9.85546875" style="80" customWidth="1"/>
    <col min="10506" max="10506" width="25.85546875" style="80" bestFit="1" customWidth="1"/>
    <col min="10507" max="10507" width="27.42578125" style="80" customWidth="1"/>
    <col min="10508" max="10749" width="11.42578125" style="80"/>
    <col min="10750" max="10750" width="23.7109375" style="80" bestFit="1" customWidth="1"/>
    <col min="10751" max="10751" width="16.140625" style="80" bestFit="1" customWidth="1"/>
    <col min="10752" max="10752" width="14.5703125" style="80" customWidth="1"/>
    <col min="10753" max="10753" width="11.5703125" style="80" customWidth="1"/>
    <col min="10754" max="10754" width="6.7109375" style="80" customWidth="1"/>
    <col min="10755" max="10755" width="14" style="80" customWidth="1"/>
    <col min="10756" max="10756" width="9.7109375" style="80" customWidth="1"/>
    <col min="10757" max="10759" width="10.7109375" style="80" customWidth="1"/>
    <col min="10760" max="10760" width="8.7109375" style="80" customWidth="1"/>
    <col min="10761" max="10761" width="9.85546875" style="80" customWidth="1"/>
    <col min="10762" max="10762" width="25.85546875" style="80" bestFit="1" customWidth="1"/>
    <col min="10763" max="10763" width="27.42578125" style="80" customWidth="1"/>
    <col min="10764" max="11005" width="11.42578125" style="80"/>
    <col min="11006" max="11006" width="23.7109375" style="80" bestFit="1" customWidth="1"/>
    <col min="11007" max="11007" width="16.140625" style="80" bestFit="1" customWidth="1"/>
    <col min="11008" max="11008" width="14.5703125" style="80" customWidth="1"/>
    <col min="11009" max="11009" width="11.5703125" style="80" customWidth="1"/>
    <col min="11010" max="11010" width="6.7109375" style="80" customWidth="1"/>
    <col min="11011" max="11011" width="14" style="80" customWidth="1"/>
    <col min="11012" max="11012" width="9.7109375" style="80" customWidth="1"/>
    <col min="11013" max="11015" width="10.7109375" style="80" customWidth="1"/>
    <col min="11016" max="11016" width="8.7109375" style="80" customWidth="1"/>
    <col min="11017" max="11017" width="9.85546875" style="80" customWidth="1"/>
    <col min="11018" max="11018" width="25.85546875" style="80" bestFit="1" customWidth="1"/>
    <col min="11019" max="11019" width="27.42578125" style="80" customWidth="1"/>
    <col min="11020" max="11261" width="11.42578125" style="80"/>
    <col min="11262" max="11262" width="23.7109375" style="80" bestFit="1" customWidth="1"/>
    <col min="11263" max="11263" width="16.140625" style="80" bestFit="1" customWidth="1"/>
    <col min="11264" max="11264" width="14.5703125" style="80" customWidth="1"/>
    <col min="11265" max="11265" width="11.5703125" style="80" customWidth="1"/>
    <col min="11266" max="11266" width="6.7109375" style="80" customWidth="1"/>
    <col min="11267" max="11267" width="14" style="80" customWidth="1"/>
    <col min="11268" max="11268" width="9.7109375" style="80" customWidth="1"/>
    <col min="11269" max="11271" width="10.7109375" style="80" customWidth="1"/>
    <col min="11272" max="11272" width="8.7109375" style="80" customWidth="1"/>
    <col min="11273" max="11273" width="9.85546875" style="80" customWidth="1"/>
    <col min="11274" max="11274" width="25.85546875" style="80" bestFit="1" customWidth="1"/>
    <col min="11275" max="11275" width="27.42578125" style="80" customWidth="1"/>
    <col min="11276" max="11517" width="11.42578125" style="80"/>
    <col min="11518" max="11518" width="23.7109375" style="80" bestFit="1" customWidth="1"/>
    <col min="11519" max="11519" width="16.140625" style="80" bestFit="1" customWidth="1"/>
    <col min="11520" max="11520" width="14.5703125" style="80" customWidth="1"/>
    <col min="11521" max="11521" width="11.5703125" style="80" customWidth="1"/>
    <col min="11522" max="11522" width="6.7109375" style="80" customWidth="1"/>
    <col min="11523" max="11523" width="14" style="80" customWidth="1"/>
    <col min="11524" max="11524" width="9.7109375" style="80" customWidth="1"/>
    <col min="11525" max="11527" width="10.7109375" style="80" customWidth="1"/>
    <col min="11528" max="11528" width="8.7109375" style="80" customWidth="1"/>
    <col min="11529" max="11529" width="9.85546875" style="80" customWidth="1"/>
    <col min="11530" max="11530" width="25.85546875" style="80" bestFit="1" customWidth="1"/>
    <col min="11531" max="11531" width="27.42578125" style="80" customWidth="1"/>
    <col min="11532" max="11773" width="11.42578125" style="80"/>
    <col min="11774" max="11774" width="23.7109375" style="80" bestFit="1" customWidth="1"/>
    <col min="11775" max="11775" width="16.140625" style="80" bestFit="1" customWidth="1"/>
    <col min="11776" max="11776" width="14.5703125" style="80" customWidth="1"/>
    <col min="11777" max="11777" width="11.5703125" style="80" customWidth="1"/>
    <col min="11778" max="11778" width="6.7109375" style="80" customWidth="1"/>
    <col min="11779" max="11779" width="14" style="80" customWidth="1"/>
    <col min="11780" max="11780" width="9.7109375" style="80" customWidth="1"/>
    <col min="11781" max="11783" width="10.7109375" style="80" customWidth="1"/>
    <col min="11784" max="11784" width="8.7109375" style="80" customWidth="1"/>
    <col min="11785" max="11785" width="9.85546875" style="80" customWidth="1"/>
    <col min="11786" max="11786" width="25.85546875" style="80" bestFit="1" customWidth="1"/>
    <col min="11787" max="11787" width="27.42578125" style="80" customWidth="1"/>
    <col min="11788" max="12029" width="11.42578125" style="80"/>
    <col min="12030" max="12030" width="23.7109375" style="80" bestFit="1" customWidth="1"/>
    <col min="12031" max="12031" width="16.140625" style="80" bestFit="1" customWidth="1"/>
    <col min="12032" max="12032" width="14.5703125" style="80" customWidth="1"/>
    <col min="12033" max="12033" width="11.5703125" style="80" customWidth="1"/>
    <col min="12034" max="12034" width="6.7109375" style="80" customWidth="1"/>
    <col min="12035" max="12035" width="14" style="80" customWidth="1"/>
    <col min="12036" max="12036" width="9.7109375" style="80" customWidth="1"/>
    <col min="12037" max="12039" width="10.7109375" style="80" customWidth="1"/>
    <col min="12040" max="12040" width="8.7109375" style="80" customWidth="1"/>
    <col min="12041" max="12041" width="9.85546875" style="80" customWidth="1"/>
    <col min="12042" max="12042" width="25.85546875" style="80" bestFit="1" customWidth="1"/>
    <col min="12043" max="12043" width="27.42578125" style="80" customWidth="1"/>
    <col min="12044" max="12285" width="11.42578125" style="80"/>
    <col min="12286" max="12286" width="23.7109375" style="80" bestFit="1" customWidth="1"/>
    <col min="12287" max="12287" width="16.140625" style="80" bestFit="1" customWidth="1"/>
    <col min="12288" max="12288" width="14.5703125" style="80" customWidth="1"/>
    <col min="12289" max="12289" width="11.5703125" style="80" customWidth="1"/>
    <col min="12290" max="12290" width="6.7109375" style="80" customWidth="1"/>
    <col min="12291" max="12291" width="14" style="80" customWidth="1"/>
    <col min="12292" max="12292" width="9.7109375" style="80" customWidth="1"/>
    <col min="12293" max="12295" width="10.7109375" style="80" customWidth="1"/>
    <col min="12296" max="12296" width="8.7109375" style="80" customWidth="1"/>
    <col min="12297" max="12297" width="9.85546875" style="80" customWidth="1"/>
    <col min="12298" max="12298" width="25.85546875" style="80" bestFit="1" customWidth="1"/>
    <col min="12299" max="12299" width="27.42578125" style="80" customWidth="1"/>
    <col min="12300" max="12541" width="11.42578125" style="80"/>
    <col min="12542" max="12542" width="23.7109375" style="80" bestFit="1" customWidth="1"/>
    <col min="12543" max="12543" width="16.140625" style="80" bestFit="1" customWidth="1"/>
    <col min="12544" max="12544" width="14.5703125" style="80" customWidth="1"/>
    <col min="12545" max="12545" width="11.5703125" style="80" customWidth="1"/>
    <col min="12546" max="12546" width="6.7109375" style="80" customWidth="1"/>
    <col min="12547" max="12547" width="14" style="80" customWidth="1"/>
    <col min="12548" max="12548" width="9.7109375" style="80" customWidth="1"/>
    <col min="12549" max="12551" width="10.7109375" style="80" customWidth="1"/>
    <col min="12552" max="12552" width="8.7109375" style="80" customWidth="1"/>
    <col min="12553" max="12553" width="9.85546875" style="80" customWidth="1"/>
    <col min="12554" max="12554" width="25.85546875" style="80" bestFit="1" customWidth="1"/>
    <col min="12555" max="12555" width="27.42578125" style="80" customWidth="1"/>
    <col min="12556" max="12797" width="11.42578125" style="80"/>
    <col min="12798" max="12798" width="23.7109375" style="80" bestFit="1" customWidth="1"/>
    <col min="12799" max="12799" width="16.140625" style="80" bestFit="1" customWidth="1"/>
    <col min="12800" max="12800" width="14.5703125" style="80" customWidth="1"/>
    <col min="12801" max="12801" width="11.5703125" style="80" customWidth="1"/>
    <col min="12802" max="12802" width="6.7109375" style="80" customWidth="1"/>
    <col min="12803" max="12803" width="14" style="80" customWidth="1"/>
    <col min="12804" max="12804" width="9.7109375" style="80" customWidth="1"/>
    <col min="12805" max="12807" width="10.7109375" style="80" customWidth="1"/>
    <col min="12808" max="12808" width="8.7109375" style="80" customWidth="1"/>
    <col min="12809" max="12809" width="9.85546875" style="80" customWidth="1"/>
    <col min="12810" max="12810" width="25.85546875" style="80" bestFit="1" customWidth="1"/>
    <col min="12811" max="12811" width="27.42578125" style="80" customWidth="1"/>
    <col min="12812" max="13053" width="11.42578125" style="80"/>
    <col min="13054" max="13054" width="23.7109375" style="80" bestFit="1" customWidth="1"/>
    <col min="13055" max="13055" width="16.140625" style="80" bestFit="1" customWidth="1"/>
    <col min="13056" max="13056" width="14.5703125" style="80" customWidth="1"/>
    <col min="13057" max="13057" width="11.5703125" style="80" customWidth="1"/>
    <col min="13058" max="13058" width="6.7109375" style="80" customWidth="1"/>
    <col min="13059" max="13059" width="14" style="80" customWidth="1"/>
    <col min="13060" max="13060" width="9.7109375" style="80" customWidth="1"/>
    <col min="13061" max="13063" width="10.7109375" style="80" customWidth="1"/>
    <col min="13064" max="13064" width="8.7109375" style="80" customWidth="1"/>
    <col min="13065" max="13065" width="9.85546875" style="80" customWidth="1"/>
    <col min="13066" max="13066" width="25.85546875" style="80" bestFit="1" customWidth="1"/>
    <col min="13067" max="13067" width="27.42578125" style="80" customWidth="1"/>
    <col min="13068" max="13309" width="11.42578125" style="80"/>
    <col min="13310" max="13310" width="23.7109375" style="80" bestFit="1" customWidth="1"/>
    <col min="13311" max="13311" width="16.140625" style="80" bestFit="1" customWidth="1"/>
    <col min="13312" max="13312" width="14.5703125" style="80" customWidth="1"/>
    <col min="13313" max="13313" width="11.5703125" style="80" customWidth="1"/>
    <col min="13314" max="13314" width="6.7109375" style="80" customWidth="1"/>
    <col min="13315" max="13315" width="14" style="80" customWidth="1"/>
    <col min="13316" max="13316" width="9.7109375" style="80" customWidth="1"/>
    <col min="13317" max="13319" width="10.7109375" style="80" customWidth="1"/>
    <col min="13320" max="13320" width="8.7109375" style="80" customWidth="1"/>
    <col min="13321" max="13321" width="9.85546875" style="80" customWidth="1"/>
    <col min="13322" max="13322" width="25.85546875" style="80" bestFit="1" customWidth="1"/>
    <col min="13323" max="13323" width="27.42578125" style="80" customWidth="1"/>
    <col min="13324" max="13565" width="11.42578125" style="80"/>
    <col min="13566" max="13566" width="23.7109375" style="80" bestFit="1" customWidth="1"/>
    <col min="13567" max="13567" width="16.140625" style="80" bestFit="1" customWidth="1"/>
    <col min="13568" max="13568" width="14.5703125" style="80" customWidth="1"/>
    <col min="13569" max="13569" width="11.5703125" style="80" customWidth="1"/>
    <col min="13570" max="13570" width="6.7109375" style="80" customWidth="1"/>
    <col min="13571" max="13571" width="14" style="80" customWidth="1"/>
    <col min="13572" max="13572" width="9.7109375" style="80" customWidth="1"/>
    <col min="13573" max="13575" width="10.7109375" style="80" customWidth="1"/>
    <col min="13576" max="13576" width="8.7109375" style="80" customWidth="1"/>
    <col min="13577" max="13577" width="9.85546875" style="80" customWidth="1"/>
    <col min="13578" max="13578" width="25.85546875" style="80" bestFit="1" customWidth="1"/>
    <col min="13579" max="13579" width="27.42578125" style="80" customWidth="1"/>
    <col min="13580" max="13821" width="11.42578125" style="80"/>
    <col min="13822" max="13822" width="23.7109375" style="80" bestFit="1" customWidth="1"/>
    <col min="13823" max="13823" width="16.140625" style="80" bestFit="1" customWidth="1"/>
    <col min="13824" max="13824" width="14.5703125" style="80" customWidth="1"/>
    <col min="13825" max="13825" width="11.5703125" style="80" customWidth="1"/>
    <col min="13826" max="13826" width="6.7109375" style="80" customWidth="1"/>
    <col min="13827" max="13827" width="14" style="80" customWidth="1"/>
    <col min="13828" max="13828" width="9.7109375" style="80" customWidth="1"/>
    <col min="13829" max="13831" width="10.7109375" style="80" customWidth="1"/>
    <col min="13832" max="13832" width="8.7109375" style="80" customWidth="1"/>
    <col min="13833" max="13833" width="9.85546875" style="80" customWidth="1"/>
    <col min="13834" max="13834" width="25.85546875" style="80" bestFit="1" customWidth="1"/>
    <col min="13835" max="13835" width="27.42578125" style="80" customWidth="1"/>
    <col min="13836" max="14077" width="11.42578125" style="80"/>
    <col min="14078" max="14078" width="23.7109375" style="80" bestFit="1" customWidth="1"/>
    <col min="14079" max="14079" width="16.140625" style="80" bestFit="1" customWidth="1"/>
    <col min="14080" max="14080" width="14.5703125" style="80" customWidth="1"/>
    <col min="14081" max="14081" width="11.5703125" style="80" customWidth="1"/>
    <col min="14082" max="14082" width="6.7109375" style="80" customWidth="1"/>
    <col min="14083" max="14083" width="14" style="80" customWidth="1"/>
    <col min="14084" max="14084" width="9.7109375" style="80" customWidth="1"/>
    <col min="14085" max="14087" width="10.7109375" style="80" customWidth="1"/>
    <col min="14088" max="14088" width="8.7109375" style="80" customWidth="1"/>
    <col min="14089" max="14089" width="9.85546875" style="80" customWidth="1"/>
    <col min="14090" max="14090" width="25.85546875" style="80" bestFit="1" customWidth="1"/>
    <col min="14091" max="14091" width="27.42578125" style="80" customWidth="1"/>
    <col min="14092" max="14333" width="11.42578125" style="80"/>
    <col min="14334" max="14334" width="23.7109375" style="80" bestFit="1" customWidth="1"/>
    <col min="14335" max="14335" width="16.140625" style="80" bestFit="1" customWidth="1"/>
    <col min="14336" max="14336" width="14.5703125" style="80" customWidth="1"/>
    <col min="14337" max="14337" width="11.5703125" style="80" customWidth="1"/>
    <col min="14338" max="14338" width="6.7109375" style="80" customWidth="1"/>
    <col min="14339" max="14339" width="14" style="80" customWidth="1"/>
    <col min="14340" max="14340" width="9.7109375" style="80" customWidth="1"/>
    <col min="14341" max="14343" width="10.7109375" style="80" customWidth="1"/>
    <col min="14344" max="14344" width="8.7109375" style="80" customWidth="1"/>
    <col min="14345" max="14345" width="9.85546875" style="80" customWidth="1"/>
    <col min="14346" max="14346" width="25.85546875" style="80" bestFit="1" customWidth="1"/>
    <col min="14347" max="14347" width="27.42578125" style="80" customWidth="1"/>
    <col min="14348" max="14589" width="11.42578125" style="80"/>
    <col min="14590" max="14590" width="23.7109375" style="80" bestFit="1" customWidth="1"/>
    <col min="14591" max="14591" width="16.140625" style="80" bestFit="1" customWidth="1"/>
    <col min="14592" max="14592" width="14.5703125" style="80" customWidth="1"/>
    <col min="14593" max="14593" width="11.5703125" style="80" customWidth="1"/>
    <col min="14594" max="14594" width="6.7109375" style="80" customWidth="1"/>
    <col min="14595" max="14595" width="14" style="80" customWidth="1"/>
    <col min="14596" max="14596" width="9.7109375" style="80" customWidth="1"/>
    <col min="14597" max="14599" width="10.7109375" style="80" customWidth="1"/>
    <col min="14600" max="14600" width="8.7109375" style="80" customWidth="1"/>
    <col min="14601" max="14601" width="9.85546875" style="80" customWidth="1"/>
    <col min="14602" max="14602" width="25.85546875" style="80" bestFit="1" customWidth="1"/>
    <col min="14603" max="14603" width="27.42578125" style="80" customWidth="1"/>
    <col min="14604" max="14845" width="11.42578125" style="80"/>
    <col min="14846" max="14846" width="23.7109375" style="80" bestFit="1" customWidth="1"/>
    <col min="14847" max="14847" width="16.140625" style="80" bestFit="1" customWidth="1"/>
    <col min="14848" max="14848" width="14.5703125" style="80" customWidth="1"/>
    <col min="14849" max="14849" width="11.5703125" style="80" customWidth="1"/>
    <col min="14850" max="14850" width="6.7109375" style="80" customWidth="1"/>
    <col min="14851" max="14851" width="14" style="80" customWidth="1"/>
    <col min="14852" max="14852" width="9.7109375" style="80" customWidth="1"/>
    <col min="14853" max="14855" width="10.7109375" style="80" customWidth="1"/>
    <col min="14856" max="14856" width="8.7109375" style="80" customWidth="1"/>
    <col min="14857" max="14857" width="9.85546875" style="80" customWidth="1"/>
    <col min="14858" max="14858" width="25.85546875" style="80" bestFit="1" customWidth="1"/>
    <col min="14859" max="14859" width="27.42578125" style="80" customWidth="1"/>
    <col min="14860" max="15101" width="11.42578125" style="80"/>
    <col min="15102" max="15102" width="23.7109375" style="80" bestFit="1" customWidth="1"/>
    <col min="15103" max="15103" width="16.140625" style="80" bestFit="1" customWidth="1"/>
    <col min="15104" max="15104" width="14.5703125" style="80" customWidth="1"/>
    <col min="15105" max="15105" width="11.5703125" style="80" customWidth="1"/>
    <col min="15106" max="15106" width="6.7109375" style="80" customWidth="1"/>
    <col min="15107" max="15107" width="14" style="80" customWidth="1"/>
    <col min="15108" max="15108" width="9.7109375" style="80" customWidth="1"/>
    <col min="15109" max="15111" width="10.7109375" style="80" customWidth="1"/>
    <col min="15112" max="15112" width="8.7109375" style="80" customWidth="1"/>
    <col min="15113" max="15113" width="9.85546875" style="80" customWidth="1"/>
    <col min="15114" max="15114" width="25.85546875" style="80" bestFit="1" customWidth="1"/>
    <col min="15115" max="15115" width="27.42578125" style="80" customWidth="1"/>
    <col min="15116" max="15357" width="11.42578125" style="80"/>
    <col min="15358" max="15358" width="23.7109375" style="80" bestFit="1" customWidth="1"/>
    <col min="15359" max="15359" width="16.140625" style="80" bestFit="1" customWidth="1"/>
    <col min="15360" max="15360" width="14.5703125" style="80" customWidth="1"/>
    <col min="15361" max="15361" width="11.5703125" style="80" customWidth="1"/>
    <col min="15362" max="15362" width="6.7109375" style="80" customWidth="1"/>
    <col min="15363" max="15363" width="14" style="80" customWidth="1"/>
    <col min="15364" max="15364" width="9.7109375" style="80" customWidth="1"/>
    <col min="15365" max="15367" width="10.7109375" style="80" customWidth="1"/>
    <col min="15368" max="15368" width="8.7109375" style="80" customWidth="1"/>
    <col min="15369" max="15369" width="9.85546875" style="80" customWidth="1"/>
    <col min="15370" max="15370" width="25.85546875" style="80" bestFit="1" customWidth="1"/>
    <col min="15371" max="15371" width="27.42578125" style="80" customWidth="1"/>
    <col min="15372" max="15613" width="11.42578125" style="80"/>
    <col min="15614" max="15614" width="23.7109375" style="80" bestFit="1" customWidth="1"/>
    <col min="15615" max="15615" width="16.140625" style="80" bestFit="1" customWidth="1"/>
    <col min="15616" max="15616" width="14.5703125" style="80" customWidth="1"/>
    <col min="15617" max="15617" width="11.5703125" style="80" customWidth="1"/>
    <col min="15618" max="15618" width="6.7109375" style="80" customWidth="1"/>
    <col min="15619" max="15619" width="14" style="80" customWidth="1"/>
    <col min="15620" max="15620" width="9.7109375" style="80" customWidth="1"/>
    <col min="15621" max="15623" width="10.7109375" style="80" customWidth="1"/>
    <col min="15624" max="15624" width="8.7109375" style="80" customWidth="1"/>
    <col min="15625" max="15625" width="9.85546875" style="80" customWidth="1"/>
    <col min="15626" max="15626" width="25.85546875" style="80" bestFit="1" customWidth="1"/>
    <col min="15627" max="15627" width="27.42578125" style="80" customWidth="1"/>
    <col min="15628" max="15869" width="11.42578125" style="80"/>
    <col min="15870" max="15870" width="23.7109375" style="80" bestFit="1" customWidth="1"/>
    <col min="15871" max="15871" width="16.140625" style="80" bestFit="1" customWidth="1"/>
    <col min="15872" max="15872" width="14.5703125" style="80" customWidth="1"/>
    <col min="15873" max="15873" width="11.5703125" style="80" customWidth="1"/>
    <col min="15874" max="15874" width="6.7109375" style="80" customWidth="1"/>
    <col min="15875" max="15875" width="14" style="80" customWidth="1"/>
    <col min="15876" max="15876" width="9.7109375" style="80" customWidth="1"/>
    <col min="15877" max="15879" width="10.7109375" style="80" customWidth="1"/>
    <col min="15880" max="15880" width="8.7109375" style="80" customWidth="1"/>
    <col min="15881" max="15881" width="9.85546875" style="80" customWidth="1"/>
    <col min="15882" max="15882" width="25.85546875" style="80" bestFit="1" customWidth="1"/>
    <col min="15883" max="15883" width="27.42578125" style="80" customWidth="1"/>
    <col min="15884" max="16125" width="11.42578125" style="80"/>
    <col min="16126" max="16126" width="23.7109375" style="80" bestFit="1" customWidth="1"/>
    <col min="16127" max="16127" width="16.140625" style="80" bestFit="1" customWidth="1"/>
    <col min="16128" max="16128" width="14.5703125" style="80" customWidth="1"/>
    <col min="16129" max="16129" width="11.5703125" style="80" customWidth="1"/>
    <col min="16130" max="16130" width="6.7109375" style="80" customWidth="1"/>
    <col min="16131" max="16131" width="14" style="80" customWidth="1"/>
    <col min="16132" max="16132" width="9.7109375" style="80" customWidth="1"/>
    <col min="16133" max="16135" width="10.7109375" style="80" customWidth="1"/>
    <col min="16136" max="16136" width="8.7109375" style="80" customWidth="1"/>
    <col min="16137" max="16137" width="9.85546875" style="80" customWidth="1"/>
    <col min="16138" max="16138" width="25.85546875" style="80" bestFit="1" customWidth="1"/>
    <col min="16139" max="16139" width="27.42578125" style="80" customWidth="1"/>
    <col min="16140" max="16384" width="11.42578125" style="80"/>
  </cols>
  <sheetData>
    <row r="1" spans="1:12" ht="21.75" customHeight="1" x14ac:dyDescent="0.2">
      <c r="A1" s="78" t="s">
        <v>56</v>
      </c>
      <c r="B1" s="92">
        <v>44326</v>
      </c>
      <c r="C1" s="79" t="s">
        <v>444</v>
      </c>
      <c r="D1" s="79" t="s">
        <v>780</v>
      </c>
      <c r="F1" s="434" t="s">
        <v>403</v>
      </c>
      <c r="G1" s="435"/>
      <c r="H1" s="435"/>
      <c r="I1" s="435"/>
      <c r="J1" s="435"/>
      <c r="K1" s="435"/>
      <c r="L1" s="435"/>
    </row>
    <row r="2" spans="1:12" s="128" customFormat="1" ht="37.5" x14ac:dyDescent="0.25">
      <c r="A2" s="81" t="s">
        <v>260</v>
      </c>
      <c r="B2" s="81" t="s">
        <v>798</v>
      </c>
      <c r="C2" s="82" t="s">
        <v>598</v>
      </c>
      <c r="D2" s="82" t="s">
        <v>599</v>
      </c>
      <c r="E2" s="82" t="s">
        <v>55</v>
      </c>
      <c r="F2" s="83" t="s">
        <v>402</v>
      </c>
      <c r="G2" s="81" t="s">
        <v>58</v>
      </c>
      <c r="H2" s="81" t="s">
        <v>147</v>
      </c>
      <c r="I2" s="82" t="s">
        <v>752</v>
      </c>
      <c r="J2" s="81" t="s">
        <v>3</v>
      </c>
      <c r="K2" s="81" t="s">
        <v>5</v>
      </c>
      <c r="L2" s="171" t="s">
        <v>658</v>
      </c>
    </row>
    <row r="3" spans="1:12" ht="15.75" hidden="1" x14ac:dyDescent="0.25">
      <c r="A3" s="129" t="s">
        <v>744</v>
      </c>
      <c r="B3" s="63">
        <v>2376526</v>
      </c>
      <c r="C3" s="20"/>
      <c r="D3" s="19"/>
      <c r="E3" s="87">
        <f>Reactivos_HACH[[#This Row],[Stock en uso]]+Reactivos_HACH[[#This Row],[Stock nuevo]]</f>
        <v>0</v>
      </c>
      <c r="F3" s="96" t="s">
        <v>149</v>
      </c>
      <c r="G3" s="90"/>
      <c r="H3" s="87" t="s">
        <v>151</v>
      </c>
      <c r="I3" s="87"/>
      <c r="J3" s="90">
        <v>45250</v>
      </c>
      <c r="K3" s="19"/>
      <c r="L3" s="133">
        <v>43987</v>
      </c>
    </row>
    <row r="4" spans="1:12" ht="15.75" x14ac:dyDescent="0.25">
      <c r="A4" s="129" t="s">
        <v>744</v>
      </c>
      <c r="B4" s="63">
        <v>2376526</v>
      </c>
      <c r="C4" s="20">
        <v>150</v>
      </c>
      <c r="D4" s="19"/>
      <c r="E4" s="87">
        <f>Reactivos_HACH[[#This Row],[Stock en uso]]+Reactivos_HACH[[#This Row],[Stock nuevo]]</f>
        <v>150</v>
      </c>
      <c r="F4" s="96" t="s">
        <v>149</v>
      </c>
      <c r="G4" s="90">
        <v>43941</v>
      </c>
      <c r="H4" s="87"/>
      <c r="I4" s="90"/>
      <c r="J4" s="90"/>
      <c r="K4" s="15"/>
      <c r="L4" s="122"/>
    </row>
    <row r="5" spans="1:12" ht="31.5" x14ac:dyDescent="0.25">
      <c r="A5" s="129" t="s">
        <v>150</v>
      </c>
      <c r="B5" s="63">
        <v>2376626</v>
      </c>
      <c r="C5" s="20">
        <v>55</v>
      </c>
      <c r="D5" s="19"/>
      <c r="E5" s="87">
        <f>Reactivos_HACH[[#This Row],[Stock en uso]]+Reactivos_HACH[[#This Row],[Stock nuevo]]</f>
        <v>55</v>
      </c>
      <c r="F5" s="96" t="s">
        <v>149</v>
      </c>
      <c r="G5" s="90">
        <v>43941</v>
      </c>
      <c r="H5" s="87"/>
      <c r="I5" s="90"/>
      <c r="J5" s="90"/>
      <c r="K5" s="15"/>
      <c r="L5" s="122"/>
    </row>
    <row r="6" spans="1:12" ht="15.75" hidden="1" x14ac:dyDescent="0.25">
      <c r="A6" s="85" t="s">
        <v>745</v>
      </c>
      <c r="B6" s="63" t="s">
        <v>148</v>
      </c>
      <c r="C6" s="19">
        <v>0</v>
      </c>
      <c r="D6" s="19"/>
      <c r="E6" s="87">
        <f>Reactivos_HACH[[#This Row],[Stock en uso]]+Reactivos_HACH[[#This Row],[Stock nuevo]]</f>
        <v>0</v>
      </c>
      <c r="F6" s="96" t="s">
        <v>149</v>
      </c>
      <c r="G6" s="90">
        <v>43941</v>
      </c>
      <c r="H6" s="87">
        <v>9322</v>
      </c>
      <c r="I6" s="90"/>
      <c r="J6" s="90"/>
      <c r="K6" s="19"/>
      <c r="L6" s="320">
        <v>44365</v>
      </c>
    </row>
    <row r="7" spans="1:12" ht="15.75" hidden="1" x14ac:dyDescent="0.25">
      <c r="A7" s="85" t="s">
        <v>155</v>
      </c>
      <c r="B7" s="63" t="s">
        <v>156</v>
      </c>
      <c r="C7" s="20">
        <v>0</v>
      </c>
      <c r="D7" s="19"/>
      <c r="E7" s="87">
        <f>Reactivos_HACH[[#This Row],[Stock en uso]]+Reactivos_HACH[[#This Row],[Stock nuevo]]</f>
        <v>0</v>
      </c>
      <c r="F7" s="96" t="s">
        <v>152</v>
      </c>
      <c r="G7" s="90"/>
      <c r="H7" s="87"/>
      <c r="I7" s="87"/>
      <c r="J7" s="90">
        <v>42795</v>
      </c>
      <c r="K7" s="19"/>
      <c r="L7" s="133">
        <v>43987</v>
      </c>
    </row>
    <row r="8" spans="1:12" ht="15.75" x14ac:dyDescent="0.25">
      <c r="A8" s="389" t="s">
        <v>745</v>
      </c>
      <c r="B8" s="390" t="s">
        <v>1071</v>
      </c>
      <c r="C8" s="391">
        <v>500</v>
      </c>
      <c r="D8" s="391"/>
      <c r="E8" s="392">
        <f>Reactivos_HACH[[#This Row],[Stock en uso]]+Reactivos_HACH[[#This Row],[Stock nuevo]]</f>
        <v>500</v>
      </c>
      <c r="F8" s="393" t="s">
        <v>149</v>
      </c>
      <c r="G8" s="394">
        <v>44365</v>
      </c>
      <c r="H8" s="392"/>
      <c r="I8" s="392">
        <v>500</v>
      </c>
      <c r="J8" s="394">
        <v>45962</v>
      </c>
      <c r="K8" s="439"/>
      <c r="L8" s="395"/>
    </row>
    <row r="9" spans="1:12" ht="15.75" x14ac:dyDescent="0.25">
      <c r="A9" s="85" t="s">
        <v>155</v>
      </c>
      <c r="B9" s="63" t="s">
        <v>156</v>
      </c>
      <c r="C9" s="20">
        <v>200</v>
      </c>
      <c r="D9" s="19"/>
      <c r="E9" s="87">
        <f>Reactivos_HACH[[#This Row],[Stock en uso]]+Reactivos_HACH[[#This Row],[Stock nuevo]]</f>
        <v>200</v>
      </c>
      <c r="F9" s="96" t="s">
        <v>152</v>
      </c>
      <c r="G9" s="90"/>
      <c r="H9" s="87"/>
      <c r="I9" s="87"/>
      <c r="J9" s="90">
        <v>44409</v>
      </c>
      <c r="K9" s="15"/>
      <c r="L9" s="122"/>
    </row>
    <row r="10" spans="1:12" ht="15.75" hidden="1" x14ac:dyDescent="0.25">
      <c r="A10" s="278" t="s">
        <v>157</v>
      </c>
      <c r="B10" s="279" t="s">
        <v>1054</v>
      </c>
      <c r="C10" s="280"/>
      <c r="D10" s="280"/>
      <c r="E10" s="281">
        <f>Reactivos_HACH[[#This Row],[Stock en uso]]+Reactivos_HACH[[#This Row],[Stock nuevo]]</f>
        <v>0</v>
      </c>
      <c r="F10" s="282" t="s">
        <v>152</v>
      </c>
      <c r="G10" s="287">
        <v>44194</v>
      </c>
      <c r="H10" s="281" t="s">
        <v>1055</v>
      </c>
      <c r="I10" s="281">
        <v>100</v>
      </c>
      <c r="J10" s="287">
        <v>45778</v>
      </c>
      <c r="K10" s="280"/>
      <c r="L10" s="318">
        <v>44365</v>
      </c>
    </row>
    <row r="11" spans="1:12" ht="15.75" hidden="1" x14ac:dyDescent="0.25">
      <c r="A11" s="131" t="s">
        <v>746</v>
      </c>
      <c r="B11" s="97" t="s">
        <v>1012</v>
      </c>
      <c r="C11" s="24"/>
      <c r="D11" s="24"/>
      <c r="E11" s="87">
        <f>Reactivos_HACH[[#This Row],[Stock en uso]]+Reactivos_HACH[[#This Row],[Stock nuevo]]</f>
        <v>0</v>
      </c>
      <c r="F11" s="100" t="s">
        <v>1013</v>
      </c>
      <c r="G11" s="109">
        <v>44019</v>
      </c>
      <c r="H11" s="57" t="s">
        <v>1014</v>
      </c>
      <c r="I11" s="57">
        <v>100</v>
      </c>
      <c r="J11" s="109">
        <v>45108</v>
      </c>
      <c r="K11" s="24"/>
      <c r="L11" s="320">
        <v>44063</v>
      </c>
    </row>
    <row r="12" spans="1:12" ht="15.75" hidden="1" x14ac:dyDescent="0.25">
      <c r="A12" s="85" t="s">
        <v>746</v>
      </c>
      <c r="B12" s="63" t="s">
        <v>159</v>
      </c>
      <c r="C12" s="20"/>
      <c r="D12" s="19"/>
      <c r="E12" s="87">
        <f>Reactivos_HACH[[#This Row],[Stock en uso]]+Reactivos_HACH[[#This Row],[Stock nuevo]]</f>
        <v>0</v>
      </c>
      <c r="F12" s="96" t="s">
        <v>152</v>
      </c>
      <c r="G12" s="90"/>
      <c r="H12" s="87" t="s">
        <v>160</v>
      </c>
      <c r="I12" s="87"/>
      <c r="J12" s="90">
        <v>45565</v>
      </c>
      <c r="K12" s="19"/>
      <c r="L12" s="318">
        <v>44365</v>
      </c>
    </row>
    <row r="13" spans="1:12" ht="15.75" x14ac:dyDescent="0.25">
      <c r="A13" s="85" t="s">
        <v>157</v>
      </c>
      <c r="B13" s="63" t="s">
        <v>158</v>
      </c>
      <c r="C13" s="20">
        <v>70</v>
      </c>
      <c r="D13" s="19"/>
      <c r="E13" s="87">
        <f>Reactivos_HACH[[#This Row],[Stock en uso]]+Reactivos_HACH[[#This Row],[Stock nuevo]]</f>
        <v>70</v>
      </c>
      <c r="F13" s="96" t="s">
        <v>152</v>
      </c>
      <c r="G13" s="90"/>
      <c r="H13" s="87"/>
      <c r="I13" s="87"/>
      <c r="J13" s="90">
        <v>44986</v>
      </c>
      <c r="K13" s="15"/>
      <c r="L13" s="122"/>
    </row>
    <row r="14" spans="1:12" ht="15.75" x14ac:dyDescent="0.25">
      <c r="A14" s="85" t="s">
        <v>746</v>
      </c>
      <c r="B14" s="279" t="s">
        <v>1012</v>
      </c>
      <c r="C14" s="280">
        <v>229</v>
      </c>
      <c r="D14" s="280"/>
      <c r="E14" s="281">
        <f>Reactivos_HACH[[#This Row],[Stock en uso]]+Reactivos_HACH[[#This Row],[Stock nuevo]]</f>
        <v>229</v>
      </c>
      <c r="F14" s="282" t="s">
        <v>152</v>
      </c>
      <c r="G14" s="319">
        <v>44194</v>
      </c>
      <c r="H14" s="281"/>
      <c r="I14" s="281">
        <v>100</v>
      </c>
      <c r="J14" s="319">
        <v>45809</v>
      </c>
      <c r="K14" s="288"/>
      <c r="L14" s="283"/>
    </row>
    <row r="15" spans="1:12" ht="15.75" hidden="1" x14ac:dyDescent="0.25">
      <c r="A15" s="85" t="s">
        <v>153</v>
      </c>
      <c r="B15" s="63" t="s">
        <v>154</v>
      </c>
      <c r="C15" s="20">
        <v>0</v>
      </c>
      <c r="D15" s="19"/>
      <c r="E15" s="87">
        <f>Reactivos_HACH[[#This Row],[Stock en uso]]+Reactivos_HACH[[#This Row],[Stock nuevo]]</f>
        <v>0</v>
      </c>
      <c r="F15" s="96" t="s">
        <v>152</v>
      </c>
      <c r="G15" s="90"/>
      <c r="H15" s="87"/>
      <c r="I15" s="87"/>
      <c r="J15" s="90">
        <v>43405</v>
      </c>
      <c r="K15" s="19"/>
      <c r="L15" s="133">
        <v>43987</v>
      </c>
    </row>
    <row r="16" spans="1:12" ht="15.75" x14ac:dyDescent="0.25">
      <c r="A16" s="85" t="s">
        <v>747</v>
      </c>
      <c r="B16" s="63" t="s">
        <v>161</v>
      </c>
      <c r="C16" s="20"/>
      <c r="D16" s="19"/>
      <c r="E16" s="87">
        <f>Reactivos_HACH[[#This Row],[Stock en uso]]+Reactivos_HACH[[#This Row],[Stock nuevo]]</f>
        <v>0</v>
      </c>
      <c r="F16" s="96" t="s">
        <v>152</v>
      </c>
      <c r="G16" s="90"/>
      <c r="H16" s="87"/>
      <c r="I16" s="87"/>
      <c r="J16" s="90">
        <v>45535</v>
      </c>
      <c r="K16" s="15"/>
      <c r="L16" s="122"/>
    </row>
    <row r="17" spans="1:12" ht="15.75" x14ac:dyDescent="0.25">
      <c r="A17" s="259" t="s">
        <v>747</v>
      </c>
      <c r="B17" s="260" t="s">
        <v>1035</v>
      </c>
      <c r="C17" s="261">
        <v>243</v>
      </c>
      <c r="D17" s="261"/>
      <c r="E17" s="262">
        <f>Reactivos_HACH[[#This Row],[Stock en uso]]+Reactivos_HACH[[#This Row],[Stock nuevo]]</f>
        <v>243</v>
      </c>
      <c r="F17" s="263" t="s">
        <v>152</v>
      </c>
      <c r="G17" s="264">
        <v>44084</v>
      </c>
      <c r="H17" s="262"/>
      <c r="I17" s="262">
        <v>100</v>
      </c>
      <c r="J17" s="264">
        <v>45748</v>
      </c>
      <c r="K17" s="440"/>
      <c r="L17" s="265"/>
    </row>
    <row r="18" spans="1:12" ht="15.75" hidden="1" x14ac:dyDescent="0.25">
      <c r="A18" s="85" t="s">
        <v>166</v>
      </c>
      <c r="B18" s="63" t="s">
        <v>167</v>
      </c>
      <c r="C18" s="20">
        <v>0</v>
      </c>
      <c r="D18" s="19"/>
      <c r="E18" s="87">
        <f>Reactivos_HACH[[#This Row],[Stock en uso]]+Reactivos_HACH[[#This Row],[Stock nuevo]]</f>
        <v>0</v>
      </c>
      <c r="F18" s="96" t="s">
        <v>152</v>
      </c>
      <c r="G18" s="90"/>
      <c r="H18" s="87" t="s">
        <v>168</v>
      </c>
      <c r="I18" s="87"/>
      <c r="J18" s="90">
        <v>44255</v>
      </c>
      <c r="K18" s="19"/>
      <c r="L18" s="133">
        <v>43987</v>
      </c>
    </row>
    <row r="19" spans="1:12" ht="15.75" x14ac:dyDescent="0.25">
      <c r="A19" s="278" t="s">
        <v>747</v>
      </c>
      <c r="B19" s="279" t="s">
        <v>1035</v>
      </c>
      <c r="C19" s="280"/>
      <c r="D19" s="280"/>
      <c r="E19" s="281">
        <f>Reactivos_HACH[[#This Row],[Stock en uso]]+Reactivos_HACH[[#This Row],[Stock nuevo]]</f>
        <v>0</v>
      </c>
      <c r="F19" s="282" t="s">
        <v>152</v>
      </c>
      <c r="G19" s="319">
        <v>44194</v>
      </c>
      <c r="H19" s="281"/>
      <c r="I19" s="281">
        <v>100</v>
      </c>
      <c r="J19" s="319">
        <v>45748</v>
      </c>
      <c r="K19" s="288"/>
      <c r="L19" s="283"/>
    </row>
    <row r="20" spans="1:12" ht="31.5" x14ac:dyDescent="0.25">
      <c r="A20" s="129" t="s">
        <v>401</v>
      </c>
      <c r="B20" s="63" t="s">
        <v>162</v>
      </c>
      <c r="C20" s="20">
        <v>52</v>
      </c>
      <c r="D20" s="19"/>
      <c r="E20" s="87">
        <f>Reactivos_HACH[[#This Row],[Stock en uso]]+Reactivos_HACH[[#This Row],[Stock nuevo]]</f>
        <v>52</v>
      </c>
      <c r="F20" s="96" t="s">
        <v>152</v>
      </c>
      <c r="G20" s="90">
        <v>43862</v>
      </c>
      <c r="H20" s="87"/>
      <c r="I20" s="130"/>
      <c r="J20" s="90"/>
      <c r="K20" s="15"/>
      <c r="L20" s="122"/>
    </row>
    <row r="21" spans="1:12" ht="15.75" hidden="1" x14ac:dyDescent="0.25">
      <c r="A21" s="85" t="s">
        <v>179</v>
      </c>
      <c r="B21" s="63" t="s">
        <v>180</v>
      </c>
      <c r="C21" s="20"/>
      <c r="D21" s="19"/>
      <c r="E21" s="87">
        <f>Reactivos_HACH[[#This Row],[Stock en uso]]+Reactivos_HACH[[#This Row],[Stock nuevo]]</f>
        <v>0</v>
      </c>
      <c r="F21" s="96" t="s">
        <v>149</v>
      </c>
      <c r="G21" s="90"/>
      <c r="H21" s="87" t="s">
        <v>181</v>
      </c>
      <c r="I21" s="87"/>
      <c r="J21" s="90">
        <v>45473</v>
      </c>
      <c r="K21" s="19"/>
      <c r="L21" s="320">
        <v>44204</v>
      </c>
    </row>
    <row r="22" spans="1:12" ht="15.75" x14ac:dyDescent="0.25">
      <c r="A22" s="389" t="s">
        <v>401</v>
      </c>
      <c r="B22" s="390" t="s">
        <v>1070</v>
      </c>
      <c r="C22" s="391">
        <v>100</v>
      </c>
      <c r="D22" s="391"/>
      <c r="E22" s="392">
        <f>Reactivos_HACH[[#This Row],[Stock en uso]]+Reactivos_HACH[[#This Row],[Stock nuevo]]</f>
        <v>100</v>
      </c>
      <c r="F22" s="263" t="s">
        <v>152</v>
      </c>
      <c r="G22" s="394">
        <v>44365</v>
      </c>
      <c r="H22" s="392"/>
      <c r="I22" s="392">
        <v>100</v>
      </c>
      <c r="J22" s="394">
        <v>46054</v>
      </c>
      <c r="K22" s="439"/>
      <c r="L22" s="395"/>
    </row>
    <row r="23" spans="1:12" ht="15.75" hidden="1" x14ac:dyDescent="0.25">
      <c r="A23" s="85" t="s">
        <v>685</v>
      </c>
      <c r="B23" s="63" t="s">
        <v>163</v>
      </c>
      <c r="C23" s="20">
        <v>0</v>
      </c>
      <c r="D23" s="19"/>
      <c r="E23" s="87">
        <f>Reactivos_HACH[[#This Row],[Stock en uso]]+Reactivos_HACH[[#This Row],[Stock nuevo]]</f>
        <v>0</v>
      </c>
      <c r="F23" s="96" t="s">
        <v>152</v>
      </c>
      <c r="G23" s="90"/>
      <c r="H23" s="87" t="s">
        <v>165</v>
      </c>
      <c r="I23" s="87"/>
      <c r="J23" s="90">
        <v>45047</v>
      </c>
      <c r="K23" s="19"/>
      <c r="L23" s="133">
        <v>43987</v>
      </c>
    </row>
    <row r="24" spans="1:12" ht="15.75" x14ac:dyDescent="0.25">
      <c r="A24" s="85" t="s">
        <v>153</v>
      </c>
      <c r="B24" s="63" t="s">
        <v>154</v>
      </c>
      <c r="C24" s="20">
        <v>209</v>
      </c>
      <c r="D24" s="19"/>
      <c r="E24" s="87">
        <f>Reactivos_HACH[[#This Row],[Stock en uso]]+Reactivos_HACH[[#This Row],[Stock nuevo]]</f>
        <v>209</v>
      </c>
      <c r="F24" s="96" t="s">
        <v>152</v>
      </c>
      <c r="G24" s="90"/>
      <c r="H24" s="87"/>
      <c r="I24" s="87"/>
      <c r="J24" s="90">
        <v>44044</v>
      </c>
      <c r="K24" s="15"/>
      <c r="L24" s="122"/>
    </row>
    <row r="25" spans="1:12" ht="15.75" x14ac:dyDescent="0.25">
      <c r="A25" s="326" t="s">
        <v>179</v>
      </c>
      <c r="B25" s="327" t="s">
        <v>1056</v>
      </c>
      <c r="C25" s="328">
        <v>450</v>
      </c>
      <c r="D25" s="328"/>
      <c r="E25" s="329">
        <f>Reactivos_HACH[[#This Row],[Stock en uso]]+Reactivos_HACH[[#This Row],[Stock nuevo]]</f>
        <v>450</v>
      </c>
      <c r="F25" s="330" t="s">
        <v>149</v>
      </c>
      <c r="G25" s="331">
        <v>44222</v>
      </c>
      <c r="H25" s="329"/>
      <c r="I25" s="329">
        <v>500</v>
      </c>
      <c r="J25" s="331">
        <v>45870</v>
      </c>
      <c r="K25" s="441"/>
      <c r="L25" s="332"/>
    </row>
    <row r="26" spans="1:12" ht="15.75" x14ac:dyDescent="0.25">
      <c r="A26" s="278" t="s">
        <v>166</v>
      </c>
      <c r="B26" s="63" t="s">
        <v>167</v>
      </c>
      <c r="C26" s="280">
        <v>116</v>
      </c>
      <c r="D26" s="280"/>
      <c r="E26" s="281">
        <f>Reactivos_HACH[[#This Row],[Stock en uso]]+Reactivos_HACH[[#This Row],[Stock nuevo]]</f>
        <v>116</v>
      </c>
      <c r="F26" s="282" t="s">
        <v>1013</v>
      </c>
      <c r="G26" s="319">
        <v>44153</v>
      </c>
      <c r="H26" s="281"/>
      <c r="I26" s="281">
        <v>200</v>
      </c>
      <c r="J26" s="319">
        <v>45108</v>
      </c>
      <c r="K26" s="288"/>
      <c r="L26" s="283"/>
    </row>
    <row r="27" spans="1:12" ht="15.75" x14ac:dyDescent="0.25">
      <c r="A27" s="85" t="s">
        <v>171</v>
      </c>
      <c r="B27" s="63" t="s">
        <v>172</v>
      </c>
      <c r="C27" s="20">
        <v>250</v>
      </c>
      <c r="D27" s="19"/>
      <c r="E27" s="87">
        <f>Reactivos_HACH[[#This Row],[Stock en uso]]+Reactivos_HACH[[#This Row],[Stock nuevo]]</f>
        <v>250</v>
      </c>
      <c r="F27" s="96" t="s">
        <v>149</v>
      </c>
      <c r="G27" s="90"/>
      <c r="H27" s="87"/>
      <c r="I27" s="87"/>
      <c r="J27" s="90">
        <v>41030</v>
      </c>
      <c r="K27" s="15"/>
      <c r="L27" s="122"/>
    </row>
    <row r="28" spans="1:12" ht="15.75" x14ac:dyDescent="0.25">
      <c r="A28" s="85" t="s">
        <v>171</v>
      </c>
      <c r="B28" s="63" t="s">
        <v>172</v>
      </c>
      <c r="C28" s="20">
        <v>75</v>
      </c>
      <c r="D28" s="19"/>
      <c r="E28" s="87">
        <f>Reactivos_HACH[[#This Row],[Stock en uso]]+Reactivos_HACH[[#This Row],[Stock nuevo]]</f>
        <v>75</v>
      </c>
      <c r="F28" s="96" t="s">
        <v>149</v>
      </c>
      <c r="G28" s="90"/>
      <c r="H28" s="87"/>
      <c r="I28" s="87"/>
      <c r="J28" s="90">
        <v>41548</v>
      </c>
      <c r="K28" s="15"/>
      <c r="L28" s="122"/>
    </row>
    <row r="29" spans="1:12" ht="15.75" x14ac:dyDescent="0.25">
      <c r="A29" s="85" t="s">
        <v>743</v>
      </c>
      <c r="B29" s="63">
        <v>1403499</v>
      </c>
      <c r="C29" s="20">
        <v>358</v>
      </c>
      <c r="D29" s="19"/>
      <c r="E29" s="87">
        <f>Reactivos_HACH[[#This Row],[Stock en uso]]+Reactivos_HACH[[#This Row],[Stock nuevo]]</f>
        <v>358</v>
      </c>
      <c r="F29" s="96" t="s">
        <v>152</v>
      </c>
      <c r="G29" s="90"/>
      <c r="H29" s="87"/>
      <c r="I29" s="87"/>
      <c r="J29" s="90">
        <v>44682</v>
      </c>
      <c r="K29" s="15"/>
      <c r="L29" s="122"/>
    </row>
    <row r="30" spans="1:12" ht="15.75" x14ac:dyDescent="0.25">
      <c r="A30" s="259" t="s">
        <v>685</v>
      </c>
      <c r="B30" s="260" t="s">
        <v>1036</v>
      </c>
      <c r="C30" s="261">
        <v>118</v>
      </c>
      <c r="D30" s="261"/>
      <c r="E30" s="262">
        <f>Reactivos_HACH[[#This Row],[Stock en uso]]+Reactivos_HACH[[#This Row],[Stock nuevo]]</f>
        <v>118</v>
      </c>
      <c r="F30" s="263" t="s">
        <v>152</v>
      </c>
      <c r="G30" s="264">
        <v>44084</v>
      </c>
      <c r="H30" s="262"/>
      <c r="I30" s="262">
        <v>100</v>
      </c>
      <c r="J30" s="264">
        <v>45627</v>
      </c>
      <c r="K30" s="440"/>
      <c r="L30" s="265"/>
    </row>
    <row r="31" spans="1:12" ht="15.75" x14ac:dyDescent="0.25">
      <c r="A31" s="278" t="s">
        <v>685</v>
      </c>
      <c r="B31" s="279" t="s">
        <v>1042</v>
      </c>
      <c r="C31" s="280"/>
      <c r="D31" s="280"/>
      <c r="E31" s="281">
        <f>Reactivos_HACH[[#This Row],[Stock en uso]]+Reactivos_HACH[[#This Row],[Stock nuevo]]</f>
        <v>0</v>
      </c>
      <c r="F31" s="282" t="s">
        <v>1013</v>
      </c>
      <c r="G31" s="319">
        <v>44153</v>
      </c>
      <c r="H31" s="281"/>
      <c r="I31" s="281">
        <v>100</v>
      </c>
      <c r="J31" s="319">
        <v>45261</v>
      </c>
      <c r="K31" s="288"/>
      <c r="L31" s="283"/>
    </row>
    <row r="32" spans="1:12" ht="15.75" x14ac:dyDescent="0.25">
      <c r="A32" s="85" t="s">
        <v>182</v>
      </c>
      <c r="B32" s="63" t="s">
        <v>183</v>
      </c>
      <c r="C32" s="20">
        <v>90</v>
      </c>
      <c r="D32" s="19"/>
      <c r="E32" s="87">
        <f>Reactivos_HACH[[#This Row],[Stock en uso]]+Reactivos_HACH[[#This Row],[Stock nuevo]]</f>
        <v>90</v>
      </c>
      <c r="F32" s="96" t="s">
        <v>152</v>
      </c>
      <c r="G32" s="90"/>
      <c r="H32" s="87"/>
      <c r="I32" s="87"/>
      <c r="J32" s="90">
        <v>43221</v>
      </c>
      <c r="K32" s="15"/>
      <c r="L32" s="122"/>
    </row>
    <row r="33" spans="1:12" ht="15.75" x14ac:dyDescent="0.25">
      <c r="A33" s="85" t="s">
        <v>184</v>
      </c>
      <c r="B33" s="63" t="s">
        <v>185</v>
      </c>
      <c r="C33" s="20">
        <v>90</v>
      </c>
      <c r="D33" s="19"/>
      <c r="E33" s="87">
        <f>Reactivos_HACH[[#This Row],[Stock en uso]]+Reactivos_HACH[[#This Row],[Stock nuevo]]</f>
        <v>90</v>
      </c>
      <c r="F33" s="96" t="s">
        <v>152</v>
      </c>
      <c r="G33" s="90"/>
      <c r="H33" s="87"/>
      <c r="I33" s="87"/>
      <c r="J33" s="90">
        <v>43221</v>
      </c>
      <c r="K33" s="15"/>
      <c r="L33" s="122"/>
    </row>
    <row r="34" spans="1:12" ht="15.75" hidden="1" x14ac:dyDescent="0.25">
      <c r="A34" s="85" t="s">
        <v>698</v>
      </c>
      <c r="B34" s="63" t="s">
        <v>178</v>
      </c>
      <c r="C34" s="20">
        <v>0</v>
      </c>
      <c r="D34" s="19"/>
      <c r="E34" s="87">
        <f>Reactivos_HACH[[#This Row],[Stock en uso]]+Reactivos_HACH[[#This Row],[Stock nuevo]]</f>
        <v>0</v>
      </c>
      <c r="F34" s="96" t="s">
        <v>177</v>
      </c>
      <c r="G34" s="90">
        <v>43862</v>
      </c>
      <c r="H34" s="87"/>
      <c r="I34" s="130"/>
      <c r="J34" s="90">
        <v>44986</v>
      </c>
      <c r="K34" s="19" t="s">
        <v>748</v>
      </c>
      <c r="L34" s="133">
        <v>43987</v>
      </c>
    </row>
    <row r="35" spans="1:12" ht="15.75" hidden="1" x14ac:dyDescent="0.25">
      <c r="A35" s="131" t="s">
        <v>698</v>
      </c>
      <c r="B35" s="63" t="s">
        <v>178</v>
      </c>
      <c r="C35" s="24">
        <v>0</v>
      </c>
      <c r="D35" s="24"/>
      <c r="E35" s="57">
        <f>Reactivos_HACH[[#This Row],[Stock en uso]]+Reactivos_HACH[[#This Row],[Stock nuevo]]</f>
        <v>0</v>
      </c>
      <c r="F35" s="100" t="s">
        <v>306</v>
      </c>
      <c r="G35" s="276">
        <v>44019</v>
      </c>
      <c r="H35" s="57">
        <v>12881</v>
      </c>
      <c r="I35" s="57">
        <v>150</v>
      </c>
      <c r="J35" s="276">
        <v>45170</v>
      </c>
      <c r="K35" s="19" t="s">
        <v>748</v>
      </c>
      <c r="L35" s="320">
        <v>44063</v>
      </c>
    </row>
    <row r="36" spans="1:12" ht="15.75" x14ac:dyDescent="0.25">
      <c r="A36" s="85" t="s">
        <v>186</v>
      </c>
      <c r="B36" s="63" t="s">
        <v>187</v>
      </c>
      <c r="C36" s="20">
        <v>94</v>
      </c>
      <c r="D36" s="19"/>
      <c r="E36" s="87">
        <f>Reactivos_HACH[[#This Row],[Stock en uso]]+Reactivos_HACH[[#This Row],[Stock nuevo]]</f>
        <v>94</v>
      </c>
      <c r="F36" s="96" t="s">
        <v>152</v>
      </c>
      <c r="G36" s="90"/>
      <c r="H36" s="87"/>
      <c r="I36" s="87"/>
      <c r="J36" s="90">
        <v>43221</v>
      </c>
      <c r="K36" s="442"/>
      <c r="L36" s="122"/>
    </row>
    <row r="37" spans="1:12" ht="15.75" x14ac:dyDescent="0.25">
      <c r="A37" s="85" t="s">
        <v>169</v>
      </c>
      <c r="B37" s="63" t="s">
        <v>170</v>
      </c>
      <c r="C37" s="20">
        <v>140</v>
      </c>
      <c r="D37" s="19"/>
      <c r="E37" s="87">
        <f>Reactivos_HACH[[#This Row],[Stock en uso]]+Reactivos_HACH[[#This Row],[Stock nuevo]]</f>
        <v>140</v>
      </c>
      <c r="F37" s="96" t="s">
        <v>152</v>
      </c>
      <c r="G37" s="90"/>
      <c r="H37" s="87"/>
      <c r="I37" s="87"/>
      <c r="J37" s="90">
        <v>45139</v>
      </c>
      <c r="K37" s="15"/>
      <c r="L37" s="122"/>
    </row>
    <row r="38" spans="1:12" ht="15.75" hidden="1" x14ac:dyDescent="0.25">
      <c r="A38" s="85" t="s">
        <v>698</v>
      </c>
      <c r="B38" s="63" t="s">
        <v>176</v>
      </c>
      <c r="C38" s="20">
        <v>0</v>
      </c>
      <c r="D38" s="19"/>
      <c r="E38" s="87">
        <f>Reactivos_HACH[[#This Row],[Stock en uso]]+Reactivos_HACH[[#This Row],[Stock nuevo]]</f>
        <v>0</v>
      </c>
      <c r="F38" s="96" t="s">
        <v>177</v>
      </c>
      <c r="G38" s="90"/>
      <c r="H38" s="87"/>
      <c r="I38" s="87"/>
      <c r="J38" s="90">
        <v>43647</v>
      </c>
      <c r="K38" s="19"/>
      <c r="L38" s="320">
        <v>44204</v>
      </c>
    </row>
    <row r="39" spans="1:12" ht="15.75" x14ac:dyDescent="0.25">
      <c r="A39" s="259" t="s">
        <v>169</v>
      </c>
      <c r="B39" s="260" t="s">
        <v>1034</v>
      </c>
      <c r="C39" s="261">
        <v>242</v>
      </c>
      <c r="D39" s="261"/>
      <c r="E39" s="262">
        <f>Reactivos_HACH[[#This Row],[Stock en uso]]+Reactivos_HACH[[#This Row],[Stock nuevo]]</f>
        <v>242</v>
      </c>
      <c r="F39" s="263" t="s">
        <v>152</v>
      </c>
      <c r="G39" s="264">
        <v>44084</v>
      </c>
      <c r="H39" s="262"/>
      <c r="I39" s="262">
        <v>100</v>
      </c>
      <c r="J39" s="264">
        <v>45383</v>
      </c>
      <c r="K39" s="440"/>
      <c r="L39" s="265"/>
    </row>
    <row r="40" spans="1:12" ht="15.75" x14ac:dyDescent="0.25">
      <c r="A40" s="85" t="s">
        <v>174</v>
      </c>
      <c r="B40" s="63" t="s">
        <v>175</v>
      </c>
      <c r="C40" s="20">
        <v>200</v>
      </c>
      <c r="D40" s="19"/>
      <c r="E40" s="87">
        <f>Reactivos_HACH[[#This Row],[Stock en uso]]+Reactivos_HACH[[#This Row],[Stock nuevo]]</f>
        <v>200</v>
      </c>
      <c r="F40" s="96" t="s">
        <v>149</v>
      </c>
      <c r="G40" s="90"/>
      <c r="H40" s="87"/>
      <c r="I40" s="87"/>
      <c r="J40" s="90">
        <v>41306</v>
      </c>
      <c r="K40" s="15"/>
      <c r="L40" s="122"/>
    </row>
    <row r="41" spans="1:12" ht="15.75" x14ac:dyDescent="0.25">
      <c r="A41" s="85" t="s">
        <v>174</v>
      </c>
      <c r="B41" s="63" t="s">
        <v>175</v>
      </c>
      <c r="C41" s="20">
        <v>100</v>
      </c>
      <c r="D41" s="19"/>
      <c r="E41" s="87">
        <f>Reactivos_HACH[[#This Row],[Stock en uso]]+Reactivos_HACH[[#This Row],[Stock nuevo]]</f>
        <v>100</v>
      </c>
      <c r="F41" s="96" t="s">
        <v>149</v>
      </c>
      <c r="G41" s="90"/>
      <c r="H41" s="87"/>
      <c r="I41" s="87"/>
      <c r="J41" s="90">
        <v>41183</v>
      </c>
      <c r="K41" s="15"/>
      <c r="L41" s="122"/>
    </row>
    <row r="42" spans="1:12" ht="15.75" x14ac:dyDescent="0.25">
      <c r="A42" s="278" t="s">
        <v>698</v>
      </c>
      <c r="B42" s="279" t="s">
        <v>178</v>
      </c>
      <c r="C42" s="280">
        <v>49</v>
      </c>
      <c r="D42" s="280"/>
      <c r="E42" s="281">
        <f>Reactivos_HACH[[#This Row],[Stock en uso]]+Reactivos_HACH[[#This Row],[Stock nuevo]]</f>
        <v>49</v>
      </c>
      <c r="F42" s="96" t="s">
        <v>177</v>
      </c>
      <c r="G42" s="319">
        <v>44201</v>
      </c>
      <c r="H42" s="281"/>
      <c r="I42" s="281">
        <v>150</v>
      </c>
      <c r="J42" s="319">
        <v>45870</v>
      </c>
      <c r="K42" s="288"/>
      <c r="L42" s="283"/>
    </row>
    <row r="43" spans="1:12" ht="15.75" x14ac:dyDescent="0.25">
      <c r="A43" s="389" t="s">
        <v>698</v>
      </c>
      <c r="B43" s="279" t="s">
        <v>178</v>
      </c>
      <c r="C43" s="391">
        <v>150</v>
      </c>
      <c r="D43" s="391"/>
      <c r="E43" s="392">
        <f>Reactivos_HACH[[#This Row],[Stock en uso]]+Reactivos_HACH[[#This Row],[Stock nuevo]]</f>
        <v>150</v>
      </c>
      <c r="F43" s="96" t="s">
        <v>177</v>
      </c>
      <c r="G43" s="394">
        <v>44376</v>
      </c>
      <c r="H43" s="392"/>
      <c r="I43" s="392">
        <v>150</v>
      </c>
      <c r="J43" s="394">
        <v>45870</v>
      </c>
      <c r="K43" s="439"/>
      <c r="L43" s="395"/>
    </row>
  </sheetData>
  <sheetProtection sheet="1" objects="1" scenarios="1" formatColumns="0" formatRows="0" sort="0" autoFilter="0"/>
  <mergeCells count="1">
    <mergeCell ref="F1:L1"/>
  </mergeCells>
  <conditionalFormatting sqref="J3:J43">
    <cfRule type="cellIs" dxfId="8" priority="1" operator="lessThan">
      <formula>NOW()</formula>
    </cfRule>
  </conditionalFormatting>
  <hyperlinks>
    <hyperlink ref="C1" location="'Estado general'!A10" display="General" xr:uid="{00000000-0004-0000-0B00-000000000000}"/>
    <hyperlink ref="D1" location="'Insumos a comprar'!A1" display="A comprar" xr:uid="{00000000-0004-0000-0B00-000001000000}"/>
  </hyperlinks>
  <pageMargins left="0.74803149606299213" right="0.74803149606299213" top="0.98425196850393704" bottom="0.98425196850393704" header="0" footer="0"/>
  <pageSetup fitToHeight="0" orientation="landscape" horizontalDpi="300" verticalDpi="300" r:id="rId1"/>
  <headerFooter alignWithMargins="0"/>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xr:uid="{00000000-0002-0000-0B00-000000000000}">
          <x14:formula1>
            <xm:f>Datos!$E$2:$E$100</xm:f>
          </x14:formula1>
          <xm:sqref>A3:A43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14DCE"/>
    <pageSetUpPr fitToPage="1"/>
  </sheetPr>
  <dimension ref="A1:J13"/>
  <sheetViews>
    <sheetView showGridLines="0" zoomScaleNormal="100" workbookViewId="0">
      <selection activeCell="F20" sqref="F20"/>
    </sheetView>
  </sheetViews>
  <sheetFormatPr defaultColWidth="11.42578125" defaultRowHeight="12.75" x14ac:dyDescent="0.2"/>
  <cols>
    <col min="1" max="1" width="9" style="128" bestFit="1" customWidth="1"/>
    <col min="2" max="2" width="50.5703125" style="80" bestFit="1" customWidth="1"/>
    <col min="3" max="3" width="13.140625" style="80" bestFit="1" customWidth="1"/>
    <col min="4" max="4" width="13.140625" style="80" customWidth="1"/>
    <col min="5" max="5" width="14.85546875" style="80" bestFit="1" customWidth="1"/>
    <col min="6" max="6" width="10.140625" style="80" bestFit="1" customWidth="1"/>
    <col min="7" max="7" width="14.42578125" style="80" customWidth="1"/>
    <col min="8" max="8" width="20.85546875" style="80" bestFit="1" customWidth="1"/>
    <col min="9" max="9" width="20.140625" style="80" bestFit="1" customWidth="1"/>
    <col min="10" max="10" width="16.5703125" style="80" bestFit="1" customWidth="1"/>
    <col min="11" max="245" width="11.42578125" style="80"/>
    <col min="246" max="247" width="5.42578125" style="80" customWidth="1"/>
    <col min="248" max="248" width="52" style="80" customWidth="1"/>
    <col min="249" max="250" width="13" style="80" customWidth="1"/>
    <col min="251" max="251" width="12.85546875" style="80" customWidth="1"/>
    <col min="252" max="252" width="7.140625" style="80" customWidth="1"/>
    <col min="253" max="253" width="12.42578125" style="80" customWidth="1"/>
    <col min="254" max="254" width="24" style="80" customWidth="1"/>
    <col min="255" max="255" width="10.140625" style="80" customWidth="1"/>
    <col min="256" max="256" width="10.28515625" style="80" customWidth="1"/>
    <col min="257" max="257" width="7.42578125" style="80" customWidth="1"/>
    <col min="258" max="258" width="6.42578125" style="80" customWidth="1"/>
    <col min="259" max="260" width="11.42578125" style="80"/>
    <col min="261" max="261" width="31.7109375" style="80" customWidth="1"/>
    <col min="262" max="262" width="22.85546875" style="80" customWidth="1"/>
    <col min="263" max="263" width="20.7109375" style="80" customWidth="1"/>
    <col min="264" max="501" width="11.42578125" style="80"/>
    <col min="502" max="503" width="5.42578125" style="80" customWidth="1"/>
    <col min="504" max="504" width="52" style="80" customWidth="1"/>
    <col min="505" max="506" width="13" style="80" customWidth="1"/>
    <col min="507" max="507" width="12.85546875" style="80" customWidth="1"/>
    <col min="508" max="508" width="7.140625" style="80" customWidth="1"/>
    <col min="509" max="509" width="12.42578125" style="80" customWidth="1"/>
    <col min="510" max="510" width="24" style="80" customWidth="1"/>
    <col min="511" max="511" width="10.140625" style="80" customWidth="1"/>
    <col min="512" max="512" width="10.28515625" style="80" customWidth="1"/>
    <col min="513" max="513" width="7.42578125" style="80" customWidth="1"/>
    <col min="514" max="514" width="6.42578125" style="80" customWidth="1"/>
    <col min="515" max="516" width="11.42578125" style="80"/>
    <col min="517" max="517" width="31.7109375" style="80" customWidth="1"/>
    <col min="518" max="518" width="22.85546875" style="80" customWidth="1"/>
    <col min="519" max="519" width="20.7109375" style="80" customWidth="1"/>
    <col min="520" max="757" width="11.42578125" style="80"/>
    <col min="758" max="759" width="5.42578125" style="80" customWidth="1"/>
    <col min="760" max="760" width="52" style="80" customWidth="1"/>
    <col min="761" max="762" width="13" style="80" customWidth="1"/>
    <col min="763" max="763" width="12.85546875" style="80" customWidth="1"/>
    <col min="764" max="764" width="7.140625" style="80" customWidth="1"/>
    <col min="765" max="765" width="12.42578125" style="80" customWidth="1"/>
    <col min="766" max="766" width="24" style="80" customWidth="1"/>
    <col min="767" max="767" width="10.140625" style="80" customWidth="1"/>
    <col min="768" max="768" width="10.28515625" style="80" customWidth="1"/>
    <col min="769" max="769" width="7.42578125" style="80" customWidth="1"/>
    <col min="770" max="770" width="6.42578125" style="80" customWidth="1"/>
    <col min="771" max="772" width="11.42578125" style="80"/>
    <col min="773" max="773" width="31.7109375" style="80" customWidth="1"/>
    <col min="774" max="774" width="22.85546875" style="80" customWidth="1"/>
    <col min="775" max="775" width="20.7109375" style="80" customWidth="1"/>
    <col min="776" max="1013" width="11.42578125" style="80"/>
    <col min="1014" max="1015" width="5.42578125" style="80" customWidth="1"/>
    <col min="1016" max="1016" width="52" style="80" customWidth="1"/>
    <col min="1017" max="1018" width="13" style="80" customWidth="1"/>
    <col min="1019" max="1019" width="12.85546875" style="80" customWidth="1"/>
    <col min="1020" max="1020" width="7.140625" style="80" customWidth="1"/>
    <col min="1021" max="1021" width="12.42578125" style="80" customWidth="1"/>
    <col min="1022" max="1022" width="24" style="80" customWidth="1"/>
    <col min="1023" max="1023" width="10.140625" style="80" customWidth="1"/>
    <col min="1024" max="1024" width="10.28515625" style="80" customWidth="1"/>
    <col min="1025" max="1025" width="7.42578125" style="80" customWidth="1"/>
    <col min="1026" max="1026" width="6.42578125" style="80" customWidth="1"/>
    <col min="1027" max="1028" width="11.42578125" style="80"/>
    <col min="1029" max="1029" width="31.7109375" style="80" customWidth="1"/>
    <col min="1030" max="1030" width="22.85546875" style="80" customWidth="1"/>
    <col min="1031" max="1031" width="20.7109375" style="80" customWidth="1"/>
    <col min="1032" max="1269" width="11.42578125" style="80"/>
    <col min="1270" max="1271" width="5.42578125" style="80" customWidth="1"/>
    <col min="1272" max="1272" width="52" style="80" customWidth="1"/>
    <col min="1273" max="1274" width="13" style="80" customWidth="1"/>
    <col min="1275" max="1275" width="12.85546875" style="80" customWidth="1"/>
    <col min="1276" max="1276" width="7.140625" style="80" customWidth="1"/>
    <col min="1277" max="1277" width="12.42578125" style="80" customWidth="1"/>
    <col min="1278" max="1278" width="24" style="80" customWidth="1"/>
    <col min="1279" max="1279" width="10.140625" style="80" customWidth="1"/>
    <col min="1280" max="1280" width="10.28515625" style="80" customWidth="1"/>
    <col min="1281" max="1281" width="7.42578125" style="80" customWidth="1"/>
    <col min="1282" max="1282" width="6.42578125" style="80" customWidth="1"/>
    <col min="1283" max="1284" width="11.42578125" style="80"/>
    <col min="1285" max="1285" width="31.7109375" style="80" customWidth="1"/>
    <col min="1286" max="1286" width="22.85546875" style="80" customWidth="1"/>
    <col min="1287" max="1287" width="20.7109375" style="80" customWidth="1"/>
    <col min="1288" max="1525" width="11.42578125" style="80"/>
    <col min="1526" max="1527" width="5.42578125" style="80" customWidth="1"/>
    <col min="1528" max="1528" width="52" style="80" customWidth="1"/>
    <col min="1529" max="1530" width="13" style="80" customWidth="1"/>
    <col min="1531" max="1531" width="12.85546875" style="80" customWidth="1"/>
    <col min="1532" max="1532" width="7.140625" style="80" customWidth="1"/>
    <col min="1533" max="1533" width="12.42578125" style="80" customWidth="1"/>
    <col min="1534" max="1534" width="24" style="80" customWidth="1"/>
    <col min="1535" max="1535" width="10.140625" style="80" customWidth="1"/>
    <col min="1536" max="1536" width="10.28515625" style="80" customWidth="1"/>
    <col min="1537" max="1537" width="7.42578125" style="80" customWidth="1"/>
    <col min="1538" max="1538" width="6.42578125" style="80" customWidth="1"/>
    <col min="1539" max="1540" width="11.42578125" style="80"/>
    <col min="1541" max="1541" width="31.7109375" style="80" customWidth="1"/>
    <col min="1542" max="1542" width="22.85546875" style="80" customWidth="1"/>
    <col min="1543" max="1543" width="20.7109375" style="80" customWidth="1"/>
    <col min="1544" max="1781" width="11.42578125" style="80"/>
    <col min="1782" max="1783" width="5.42578125" style="80" customWidth="1"/>
    <col min="1784" max="1784" width="52" style="80" customWidth="1"/>
    <col min="1785" max="1786" width="13" style="80" customWidth="1"/>
    <col min="1787" max="1787" width="12.85546875" style="80" customWidth="1"/>
    <col min="1788" max="1788" width="7.140625" style="80" customWidth="1"/>
    <col min="1789" max="1789" width="12.42578125" style="80" customWidth="1"/>
    <col min="1790" max="1790" width="24" style="80" customWidth="1"/>
    <col min="1791" max="1791" width="10.140625" style="80" customWidth="1"/>
    <col min="1792" max="1792" width="10.28515625" style="80" customWidth="1"/>
    <col min="1793" max="1793" width="7.42578125" style="80" customWidth="1"/>
    <col min="1794" max="1794" width="6.42578125" style="80" customWidth="1"/>
    <col min="1795" max="1796" width="11.42578125" style="80"/>
    <col min="1797" max="1797" width="31.7109375" style="80" customWidth="1"/>
    <col min="1798" max="1798" width="22.85546875" style="80" customWidth="1"/>
    <col min="1799" max="1799" width="20.7109375" style="80" customWidth="1"/>
    <col min="1800" max="2037" width="11.42578125" style="80"/>
    <col min="2038" max="2039" width="5.42578125" style="80" customWidth="1"/>
    <col min="2040" max="2040" width="52" style="80" customWidth="1"/>
    <col min="2041" max="2042" width="13" style="80" customWidth="1"/>
    <col min="2043" max="2043" width="12.85546875" style="80" customWidth="1"/>
    <col min="2044" max="2044" width="7.140625" style="80" customWidth="1"/>
    <col min="2045" max="2045" width="12.42578125" style="80" customWidth="1"/>
    <col min="2046" max="2046" width="24" style="80" customWidth="1"/>
    <col min="2047" max="2047" width="10.140625" style="80" customWidth="1"/>
    <col min="2048" max="2048" width="10.28515625" style="80" customWidth="1"/>
    <col min="2049" max="2049" width="7.42578125" style="80" customWidth="1"/>
    <col min="2050" max="2050" width="6.42578125" style="80" customWidth="1"/>
    <col min="2051" max="2052" width="11.42578125" style="80"/>
    <col min="2053" max="2053" width="31.7109375" style="80" customWidth="1"/>
    <col min="2054" max="2054" width="22.85546875" style="80" customWidth="1"/>
    <col min="2055" max="2055" width="20.7109375" style="80" customWidth="1"/>
    <col min="2056" max="2293" width="11.42578125" style="80"/>
    <col min="2294" max="2295" width="5.42578125" style="80" customWidth="1"/>
    <col min="2296" max="2296" width="52" style="80" customWidth="1"/>
    <col min="2297" max="2298" width="13" style="80" customWidth="1"/>
    <col min="2299" max="2299" width="12.85546875" style="80" customWidth="1"/>
    <col min="2300" max="2300" width="7.140625" style="80" customWidth="1"/>
    <col min="2301" max="2301" width="12.42578125" style="80" customWidth="1"/>
    <col min="2302" max="2302" width="24" style="80" customWidth="1"/>
    <col min="2303" max="2303" width="10.140625" style="80" customWidth="1"/>
    <col min="2304" max="2304" width="10.28515625" style="80" customWidth="1"/>
    <col min="2305" max="2305" width="7.42578125" style="80" customWidth="1"/>
    <col min="2306" max="2306" width="6.42578125" style="80" customWidth="1"/>
    <col min="2307" max="2308" width="11.42578125" style="80"/>
    <col min="2309" max="2309" width="31.7109375" style="80" customWidth="1"/>
    <col min="2310" max="2310" width="22.85546875" style="80" customWidth="1"/>
    <col min="2311" max="2311" width="20.7109375" style="80" customWidth="1"/>
    <col min="2312" max="2549" width="11.42578125" style="80"/>
    <col min="2550" max="2551" width="5.42578125" style="80" customWidth="1"/>
    <col min="2552" max="2552" width="52" style="80" customWidth="1"/>
    <col min="2553" max="2554" width="13" style="80" customWidth="1"/>
    <col min="2555" max="2555" width="12.85546875" style="80" customWidth="1"/>
    <col min="2556" max="2556" width="7.140625" style="80" customWidth="1"/>
    <col min="2557" max="2557" width="12.42578125" style="80" customWidth="1"/>
    <col min="2558" max="2558" width="24" style="80" customWidth="1"/>
    <col min="2559" max="2559" width="10.140625" style="80" customWidth="1"/>
    <col min="2560" max="2560" width="10.28515625" style="80" customWidth="1"/>
    <col min="2561" max="2561" width="7.42578125" style="80" customWidth="1"/>
    <col min="2562" max="2562" width="6.42578125" style="80" customWidth="1"/>
    <col min="2563" max="2564" width="11.42578125" style="80"/>
    <col min="2565" max="2565" width="31.7109375" style="80" customWidth="1"/>
    <col min="2566" max="2566" width="22.85546875" style="80" customWidth="1"/>
    <col min="2567" max="2567" width="20.7109375" style="80" customWidth="1"/>
    <col min="2568" max="2805" width="11.42578125" style="80"/>
    <col min="2806" max="2807" width="5.42578125" style="80" customWidth="1"/>
    <col min="2808" max="2808" width="52" style="80" customWidth="1"/>
    <col min="2809" max="2810" width="13" style="80" customWidth="1"/>
    <col min="2811" max="2811" width="12.85546875" style="80" customWidth="1"/>
    <col min="2812" max="2812" width="7.140625" style="80" customWidth="1"/>
    <col min="2813" max="2813" width="12.42578125" style="80" customWidth="1"/>
    <col min="2814" max="2814" width="24" style="80" customWidth="1"/>
    <col min="2815" max="2815" width="10.140625" style="80" customWidth="1"/>
    <col min="2816" max="2816" width="10.28515625" style="80" customWidth="1"/>
    <col min="2817" max="2817" width="7.42578125" style="80" customWidth="1"/>
    <col min="2818" max="2818" width="6.42578125" style="80" customWidth="1"/>
    <col min="2819" max="2820" width="11.42578125" style="80"/>
    <col min="2821" max="2821" width="31.7109375" style="80" customWidth="1"/>
    <col min="2822" max="2822" width="22.85546875" style="80" customWidth="1"/>
    <col min="2823" max="2823" width="20.7109375" style="80" customWidth="1"/>
    <col min="2824" max="3061" width="11.42578125" style="80"/>
    <col min="3062" max="3063" width="5.42578125" style="80" customWidth="1"/>
    <col min="3064" max="3064" width="52" style="80" customWidth="1"/>
    <col min="3065" max="3066" width="13" style="80" customWidth="1"/>
    <col min="3067" max="3067" width="12.85546875" style="80" customWidth="1"/>
    <col min="3068" max="3068" width="7.140625" style="80" customWidth="1"/>
    <col min="3069" max="3069" width="12.42578125" style="80" customWidth="1"/>
    <col min="3070" max="3070" width="24" style="80" customWidth="1"/>
    <col min="3071" max="3071" width="10.140625" style="80" customWidth="1"/>
    <col min="3072" max="3072" width="10.28515625" style="80" customWidth="1"/>
    <col min="3073" max="3073" width="7.42578125" style="80" customWidth="1"/>
    <col min="3074" max="3074" width="6.42578125" style="80" customWidth="1"/>
    <col min="3075" max="3076" width="11.42578125" style="80"/>
    <col min="3077" max="3077" width="31.7109375" style="80" customWidth="1"/>
    <col min="3078" max="3078" width="22.85546875" style="80" customWidth="1"/>
    <col min="3079" max="3079" width="20.7109375" style="80" customWidth="1"/>
    <col min="3080" max="3317" width="11.42578125" style="80"/>
    <col min="3318" max="3319" width="5.42578125" style="80" customWidth="1"/>
    <col min="3320" max="3320" width="52" style="80" customWidth="1"/>
    <col min="3321" max="3322" width="13" style="80" customWidth="1"/>
    <col min="3323" max="3323" width="12.85546875" style="80" customWidth="1"/>
    <col min="3324" max="3324" width="7.140625" style="80" customWidth="1"/>
    <col min="3325" max="3325" width="12.42578125" style="80" customWidth="1"/>
    <col min="3326" max="3326" width="24" style="80" customWidth="1"/>
    <col min="3327" max="3327" width="10.140625" style="80" customWidth="1"/>
    <col min="3328" max="3328" width="10.28515625" style="80" customWidth="1"/>
    <col min="3329" max="3329" width="7.42578125" style="80" customWidth="1"/>
    <col min="3330" max="3330" width="6.42578125" style="80" customWidth="1"/>
    <col min="3331" max="3332" width="11.42578125" style="80"/>
    <col min="3333" max="3333" width="31.7109375" style="80" customWidth="1"/>
    <col min="3334" max="3334" width="22.85546875" style="80" customWidth="1"/>
    <col min="3335" max="3335" width="20.7109375" style="80" customWidth="1"/>
    <col min="3336" max="3573" width="11.42578125" style="80"/>
    <col min="3574" max="3575" width="5.42578125" style="80" customWidth="1"/>
    <col min="3576" max="3576" width="52" style="80" customWidth="1"/>
    <col min="3577" max="3578" width="13" style="80" customWidth="1"/>
    <col min="3579" max="3579" width="12.85546875" style="80" customWidth="1"/>
    <col min="3580" max="3580" width="7.140625" style="80" customWidth="1"/>
    <col min="3581" max="3581" width="12.42578125" style="80" customWidth="1"/>
    <col min="3582" max="3582" width="24" style="80" customWidth="1"/>
    <col min="3583" max="3583" width="10.140625" style="80" customWidth="1"/>
    <col min="3584" max="3584" width="10.28515625" style="80" customWidth="1"/>
    <col min="3585" max="3585" width="7.42578125" style="80" customWidth="1"/>
    <col min="3586" max="3586" width="6.42578125" style="80" customWidth="1"/>
    <col min="3587" max="3588" width="11.42578125" style="80"/>
    <col min="3589" max="3589" width="31.7109375" style="80" customWidth="1"/>
    <col min="3590" max="3590" width="22.85546875" style="80" customWidth="1"/>
    <col min="3591" max="3591" width="20.7109375" style="80" customWidth="1"/>
    <col min="3592" max="3829" width="11.42578125" style="80"/>
    <col min="3830" max="3831" width="5.42578125" style="80" customWidth="1"/>
    <col min="3832" max="3832" width="52" style="80" customWidth="1"/>
    <col min="3833" max="3834" width="13" style="80" customWidth="1"/>
    <col min="3835" max="3835" width="12.85546875" style="80" customWidth="1"/>
    <col min="3836" max="3836" width="7.140625" style="80" customWidth="1"/>
    <col min="3837" max="3837" width="12.42578125" style="80" customWidth="1"/>
    <col min="3838" max="3838" width="24" style="80" customWidth="1"/>
    <col min="3839" max="3839" width="10.140625" style="80" customWidth="1"/>
    <col min="3840" max="3840" width="10.28515625" style="80" customWidth="1"/>
    <col min="3841" max="3841" width="7.42578125" style="80" customWidth="1"/>
    <col min="3842" max="3842" width="6.42578125" style="80" customWidth="1"/>
    <col min="3843" max="3844" width="11.42578125" style="80"/>
    <col min="3845" max="3845" width="31.7109375" style="80" customWidth="1"/>
    <col min="3846" max="3846" width="22.85546875" style="80" customWidth="1"/>
    <col min="3847" max="3847" width="20.7109375" style="80" customWidth="1"/>
    <col min="3848" max="4085" width="11.42578125" style="80"/>
    <col min="4086" max="4087" width="5.42578125" style="80" customWidth="1"/>
    <col min="4088" max="4088" width="52" style="80" customWidth="1"/>
    <col min="4089" max="4090" width="13" style="80" customWidth="1"/>
    <col min="4091" max="4091" width="12.85546875" style="80" customWidth="1"/>
    <col min="4092" max="4092" width="7.140625" style="80" customWidth="1"/>
    <col min="4093" max="4093" width="12.42578125" style="80" customWidth="1"/>
    <col min="4094" max="4094" width="24" style="80" customWidth="1"/>
    <col min="4095" max="4095" width="10.140625" style="80" customWidth="1"/>
    <col min="4096" max="4096" width="10.28515625" style="80" customWidth="1"/>
    <col min="4097" max="4097" width="7.42578125" style="80" customWidth="1"/>
    <col min="4098" max="4098" width="6.42578125" style="80" customWidth="1"/>
    <col min="4099" max="4100" width="11.42578125" style="80"/>
    <col min="4101" max="4101" width="31.7109375" style="80" customWidth="1"/>
    <col min="4102" max="4102" width="22.85546875" style="80" customWidth="1"/>
    <col min="4103" max="4103" width="20.7109375" style="80" customWidth="1"/>
    <col min="4104" max="4341" width="11.42578125" style="80"/>
    <col min="4342" max="4343" width="5.42578125" style="80" customWidth="1"/>
    <col min="4344" max="4344" width="52" style="80" customWidth="1"/>
    <col min="4345" max="4346" width="13" style="80" customWidth="1"/>
    <col min="4347" max="4347" width="12.85546875" style="80" customWidth="1"/>
    <col min="4348" max="4348" width="7.140625" style="80" customWidth="1"/>
    <col min="4349" max="4349" width="12.42578125" style="80" customWidth="1"/>
    <col min="4350" max="4350" width="24" style="80" customWidth="1"/>
    <col min="4351" max="4351" width="10.140625" style="80" customWidth="1"/>
    <col min="4352" max="4352" width="10.28515625" style="80" customWidth="1"/>
    <col min="4353" max="4353" width="7.42578125" style="80" customWidth="1"/>
    <col min="4354" max="4354" width="6.42578125" style="80" customWidth="1"/>
    <col min="4355" max="4356" width="11.42578125" style="80"/>
    <col min="4357" max="4357" width="31.7109375" style="80" customWidth="1"/>
    <col min="4358" max="4358" width="22.85546875" style="80" customWidth="1"/>
    <col min="4359" max="4359" width="20.7109375" style="80" customWidth="1"/>
    <col min="4360" max="4597" width="11.42578125" style="80"/>
    <col min="4598" max="4599" width="5.42578125" style="80" customWidth="1"/>
    <col min="4600" max="4600" width="52" style="80" customWidth="1"/>
    <col min="4601" max="4602" width="13" style="80" customWidth="1"/>
    <col min="4603" max="4603" width="12.85546875" style="80" customWidth="1"/>
    <col min="4604" max="4604" width="7.140625" style="80" customWidth="1"/>
    <col min="4605" max="4605" width="12.42578125" style="80" customWidth="1"/>
    <col min="4606" max="4606" width="24" style="80" customWidth="1"/>
    <col min="4607" max="4607" width="10.140625" style="80" customWidth="1"/>
    <col min="4608" max="4608" width="10.28515625" style="80" customWidth="1"/>
    <col min="4609" max="4609" width="7.42578125" style="80" customWidth="1"/>
    <col min="4610" max="4610" width="6.42578125" style="80" customWidth="1"/>
    <col min="4611" max="4612" width="11.42578125" style="80"/>
    <col min="4613" max="4613" width="31.7109375" style="80" customWidth="1"/>
    <col min="4614" max="4614" width="22.85546875" style="80" customWidth="1"/>
    <col min="4615" max="4615" width="20.7109375" style="80" customWidth="1"/>
    <col min="4616" max="4853" width="11.42578125" style="80"/>
    <col min="4854" max="4855" width="5.42578125" style="80" customWidth="1"/>
    <col min="4856" max="4856" width="52" style="80" customWidth="1"/>
    <col min="4857" max="4858" width="13" style="80" customWidth="1"/>
    <col min="4859" max="4859" width="12.85546875" style="80" customWidth="1"/>
    <col min="4860" max="4860" width="7.140625" style="80" customWidth="1"/>
    <col min="4861" max="4861" width="12.42578125" style="80" customWidth="1"/>
    <col min="4862" max="4862" width="24" style="80" customWidth="1"/>
    <col min="4863" max="4863" width="10.140625" style="80" customWidth="1"/>
    <col min="4864" max="4864" width="10.28515625" style="80" customWidth="1"/>
    <col min="4865" max="4865" width="7.42578125" style="80" customWidth="1"/>
    <col min="4866" max="4866" width="6.42578125" style="80" customWidth="1"/>
    <col min="4867" max="4868" width="11.42578125" style="80"/>
    <col min="4869" max="4869" width="31.7109375" style="80" customWidth="1"/>
    <col min="4870" max="4870" width="22.85546875" style="80" customWidth="1"/>
    <col min="4871" max="4871" width="20.7109375" style="80" customWidth="1"/>
    <col min="4872" max="5109" width="11.42578125" style="80"/>
    <col min="5110" max="5111" width="5.42578125" style="80" customWidth="1"/>
    <col min="5112" max="5112" width="52" style="80" customWidth="1"/>
    <col min="5113" max="5114" width="13" style="80" customWidth="1"/>
    <col min="5115" max="5115" width="12.85546875" style="80" customWidth="1"/>
    <col min="5116" max="5116" width="7.140625" style="80" customWidth="1"/>
    <col min="5117" max="5117" width="12.42578125" style="80" customWidth="1"/>
    <col min="5118" max="5118" width="24" style="80" customWidth="1"/>
    <col min="5119" max="5119" width="10.140625" style="80" customWidth="1"/>
    <col min="5120" max="5120" width="10.28515625" style="80" customWidth="1"/>
    <col min="5121" max="5121" width="7.42578125" style="80" customWidth="1"/>
    <col min="5122" max="5122" width="6.42578125" style="80" customWidth="1"/>
    <col min="5123" max="5124" width="11.42578125" style="80"/>
    <col min="5125" max="5125" width="31.7109375" style="80" customWidth="1"/>
    <col min="5126" max="5126" width="22.85546875" style="80" customWidth="1"/>
    <col min="5127" max="5127" width="20.7109375" style="80" customWidth="1"/>
    <col min="5128" max="5365" width="11.42578125" style="80"/>
    <col min="5366" max="5367" width="5.42578125" style="80" customWidth="1"/>
    <col min="5368" max="5368" width="52" style="80" customWidth="1"/>
    <col min="5369" max="5370" width="13" style="80" customWidth="1"/>
    <col min="5371" max="5371" width="12.85546875" style="80" customWidth="1"/>
    <col min="5372" max="5372" width="7.140625" style="80" customWidth="1"/>
    <col min="5373" max="5373" width="12.42578125" style="80" customWidth="1"/>
    <col min="5374" max="5374" width="24" style="80" customWidth="1"/>
    <col min="5375" max="5375" width="10.140625" style="80" customWidth="1"/>
    <col min="5376" max="5376" width="10.28515625" style="80" customWidth="1"/>
    <col min="5377" max="5377" width="7.42578125" style="80" customWidth="1"/>
    <col min="5378" max="5378" width="6.42578125" style="80" customWidth="1"/>
    <col min="5379" max="5380" width="11.42578125" style="80"/>
    <col min="5381" max="5381" width="31.7109375" style="80" customWidth="1"/>
    <col min="5382" max="5382" width="22.85546875" style="80" customWidth="1"/>
    <col min="5383" max="5383" width="20.7109375" style="80" customWidth="1"/>
    <col min="5384" max="5621" width="11.42578125" style="80"/>
    <col min="5622" max="5623" width="5.42578125" style="80" customWidth="1"/>
    <col min="5624" max="5624" width="52" style="80" customWidth="1"/>
    <col min="5625" max="5626" width="13" style="80" customWidth="1"/>
    <col min="5627" max="5627" width="12.85546875" style="80" customWidth="1"/>
    <col min="5628" max="5628" width="7.140625" style="80" customWidth="1"/>
    <col min="5629" max="5629" width="12.42578125" style="80" customWidth="1"/>
    <col min="5630" max="5630" width="24" style="80" customWidth="1"/>
    <col min="5631" max="5631" width="10.140625" style="80" customWidth="1"/>
    <col min="5632" max="5632" width="10.28515625" style="80" customWidth="1"/>
    <col min="5633" max="5633" width="7.42578125" style="80" customWidth="1"/>
    <col min="5634" max="5634" width="6.42578125" style="80" customWidth="1"/>
    <col min="5635" max="5636" width="11.42578125" style="80"/>
    <col min="5637" max="5637" width="31.7109375" style="80" customWidth="1"/>
    <col min="5638" max="5638" width="22.85546875" style="80" customWidth="1"/>
    <col min="5639" max="5639" width="20.7109375" style="80" customWidth="1"/>
    <col min="5640" max="5877" width="11.42578125" style="80"/>
    <col min="5878" max="5879" width="5.42578125" style="80" customWidth="1"/>
    <col min="5880" max="5880" width="52" style="80" customWidth="1"/>
    <col min="5881" max="5882" width="13" style="80" customWidth="1"/>
    <col min="5883" max="5883" width="12.85546875" style="80" customWidth="1"/>
    <col min="5884" max="5884" width="7.140625" style="80" customWidth="1"/>
    <col min="5885" max="5885" width="12.42578125" style="80" customWidth="1"/>
    <col min="5886" max="5886" width="24" style="80" customWidth="1"/>
    <col min="5887" max="5887" width="10.140625" style="80" customWidth="1"/>
    <col min="5888" max="5888" width="10.28515625" style="80" customWidth="1"/>
    <col min="5889" max="5889" width="7.42578125" style="80" customWidth="1"/>
    <col min="5890" max="5890" width="6.42578125" style="80" customWidth="1"/>
    <col min="5891" max="5892" width="11.42578125" style="80"/>
    <col min="5893" max="5893" width="31.7109375" style="80" customWidth="1"/>
    <col min="5894" max="5894" width="22.85546875" style="80" customWidth="1"/>
    <col min="5895" max="5895" width="20.7109375" style="80" customWidth="1"/>
    <col min="5896" max="6133" width="11.42578125" style="80"/>
    <col min="6134" max="6135" width="5.42578125" style="80" customWidth="1"/>
    <col min="6136" max="6136" width="52" style="80" customWidth="1"/>
    <col min="6137" max="6138" width="13" style="80" customWidth="1"/>
    <col min="6139" max="6139" width="12.85546875" style="80" customWidth="1"/>
    <col min="6140" max="6140" width="7.140625" style="80" customWidth="1"/>
    <col min="6141" max="6141" width="12.42578125" style="80" customWidth="1"/>
    <col min="6142" max="6142" width="24" style="80" customWidth="1"/>
    <col min="6143" max="6143" width="10.140625" style="80" customWidth="1"/>
    <col min="6144" max="6144" width="10.28515625" style="80" customWidth="1"/>
    <col min="6145" max="6145" width="7.42578125" style="80" customWidth="1"/>
    <col min="6146" max="6146" width="6.42578125" style="80" customWidth="1"/>
    <col min="6147" max="6148" width="11.42578125" style="80"/>
    <col min="6149" max="6149" width="31.7109375" style="80" customWidth="1"/>
    <col min="6150" max="6150" width="22.85546875" style="80" customWidth="1"/>
    <col min="6151" max="6151" width="20.7109375" style="80" customWidth="1"/>
    <col min="6152" max="6389" width="11.42578125" style="80"/>
    <col min="6390" max="6391" width="5.42578125" style="80" customWidth="1"/>
    <col min="6392" max="6392" width="52" style="80" customWidth="1"/>
    <col min="6393" max="6394" width="13" style="80" customWidth="1"/>
    <col min="6395" max="6395" width="12.85546875" style="80" customWidth="1"/>
    <col min="6396" max="6396" width="7.140625" style="80" customWidth="1"/>
    <col min="6397" max="6397" width="12.42578125" style="80" customWidth="1"/>
    <col min="6398" max="6398" width="24" style="80" customWidth="1"/>
    <col min="6399" max="6399" width="10.140625" style="80" customWidth="1"/>
    <col min="6400" max="6400" width="10.28515625" style="80" customWidth="1"/>
    <col min="6401" max="6401" width="7.42578125" style="80" customWidth="1"/>
    <col min="6402" max="6402" width="6.42578125" style="80" customWidth="1"/>
    <col min="6403" max="6404" width="11.42578125" style="80"/>
    <col min="6405" max="6405" width="31.7109375" style="80" customWidth="1"/>
    <col min="6406" max="6406" width="22.85546875" style="80" customWidth="1"/>
    <col min="6407" max="6407" width="20.7109375" style="80" customWidth="1"/>
    <col min="6408" max="6645" width="11.42578125" style="80"/>
    <col min="6646" max="6647" width="5.42578125" style="80" customWidth="1"/>
    <col min="6648" max="6648" width="52" style="80" customWidth="1"/>
    <col min="6649" max="6650" width="13" style="80" customWidth="1"/>
    <col min="6651" max="6651" width="12.85546875" style="80" customWidth="1"/>
    <col min="6652" max="6652" width="7.140625" style="80" customWidth="1"/>
    <col min="6653" max="6653" width="12.42578125" style="80" customWidth="1"/>
    <col min="6654" max="6654" width="24" style="80" customWidth="1"/>
    <col min="6655" max="6655" width="10.140625" style="80" customWidth="1"/>
    <col min="6656" max="6656" width="10.28515625" style="80" customWidth="1"/>
    <col min="6657" max="6657" width="7.42578125" style="80" customWidth="1"/>
    <col min="6658" max="6658" width="6.42578125" style="80" customWidth="1"/>
    <col min="6659" max="6660" width="11.42578125" style="80"/>
    <col min="6661" max="6661" width="31.7109375" style="80" customWidth="1"/>
    <col min="6662" max="6662" width="22.85546875" style="80" customWidth="1"/>
    <col min="6663" max="6663" width="20.7109375" style="80" customWidth="1"/>
    <col min="6664" max="6901" width="11.42578125" style="80"/>
    <col min="6902" max="6903" width="5.42578125" style="80" customWidth="1"/>
    <col min="6904" max="6904" width="52" style="80" customWidth="1"/>
    <col min="6905" max="6906" width="13" style="80" customWidth="1"/>
    <col min="6907" max="6907" width="12.85546875" style="80" customWidth="1"/>
    <col min="6908" max="6908" width="7.140625" style="80" customWidth="1"/>
    <col min="6909" max="6909" width="12.42578125" style="80" customWidth="1"/>
    <col min="6910" max="6910" width="24" style="80" customWidth="1"/>
    <col min="6911" max="6911" width="10.140625" style="80" customWidth="1"/>
    <col min="6912" max="6912" width="10.28515625" style="80" customWidth="1"/>
    <col min="6913" max="6913" width="7.42578125" style="80" customWidth="1"/>
    <col min="6914" max="6914" width="6.42578125" style="80" customWidth="1"/>
    <col min="6915" max="6916" width="11.42578125" style="80"/>
    <col min="6917" max="6917" width="31.7109375" style="80" customWidth="1"/>
    <col min="6918" max="6918" width="22.85546875" style="80" customWidth="1"/>
    <col min="6919" max="6919" width="20.7109375" style="80" customWidth="1"/>
    <col min="6920" max="7157" width="11.42578125" style="80"/>
    <col min="7158" max="7159" width="5.42578125" style="80" customWidth="1"/>
    <col min="7160" max="7160" width="52" style="80" customWidth="1"/>
    <col min="7161" max="7162" width="13" style="80" customWidth="1"/>
    <col min="7163" max="7163" width="12.85546875" style="80" customWidth="1"/>
    <col min="7164" max="7164" width="7.140625" style="80" customWidth="1"/>
    <col min="7165" max="7165" width="12.42578125" style="80" customWidth="1"/>
    <col min="7166" max="7166" width="24" style="80" customWidth="1"/>
    <col min="7167" max="7167" width="10.140625" style="80" customWidth="1"/>
    <col min="7168" max="7168" width="10.28515625" style="80" customWidth="1"/>
    <col min="7169" max="7169" width="7.42578125" style="80" customWidth="1"/>
    <col min="7170" max="7170" width="6.42578125" style="80" customWidth="1"/>
    <col min="7171" max="7172" width="11.42578125" style="80"/>
    <col min="7173" max="7173" width="31.7109375" style="80" customWidth="1"/>
    <col min="7174" max="7174" width="22.85546875" style="80" customWidth="1"/>
    <col min="7175" max="7175" width="20.7109375" style="80" customWidth="1"/>
    <col min="7176" max="7413" width="11.42578125" style="80"/>
    <col min="7414" max="7415" width="5.42578125" style="80" customWidth="1"/>
    <col min="7416" max="7416" width="52" style="80" customWidth="1"/>
    <col min="7417" max="7418" width="13" style="80" customWidth="1"/>
    <col min="7419" max="7419" width="12.85546875" style="80" customWidth="1"/>
    <col min="7420" max="7420" width="7.140625" style="80" customWidth="1"/>
    <col min="7421" max="7421" width="12.42578125" style="80" customWidth="1"/>
    <col min="7422" max="7422" width="24" style="80" customWidth="1"/>
    <col min="7423" max="7423" width="10.140625" style="80" customWidth="1"/>
    <col min="7424" max="7424" width="10.28515625" style="80" customWidth="1"/>
    <col min="7425" max="7425" width="7.42578125" style="80" customWidth="1"/>
    <col min="7426" max="7426" width="6.42578125" style="80" customWidth="1"/>
    <col min="7427" max="7428" width="11.42578125" style="80"/>
    <col min="7429" max="7429" width="31.7109375" style="80" customWidth="1"/>
    <col min="7430" max="7430" width="22.85546875" style="80" customWidth="1"/>
    <col min="7431" max="7431" width="20.7109375" style="80" customWidth="1"/>
    <col min="7432" max="7669" width="11.42578125" style="80"/>
    <col min="7670" max="7671" width="5.42578125" style="80" customWidth="1"/>
    <col min="7672" max="7672" width="52" style="80" customWidth="1"/>
    <col min="7673" max="7674" width="13" style="80" customWidth="1"/>
    <col min="7675" max="7675" width="12.85546875" style="80" customWidth="1"/>
    <col min="7676" max="7676" width="7.140625" style="80" customWidth="1"/>
    <col min="7677" max="7677" width="12.42578125" style="80" customWidth="1"/>
    <col min="7678" max="7678" width="24" style="80" customWidth="1"/>
    <col min="7679" max="7679" width="10.140625" style="80" customWidth="1"/>
    <col min="7680" max="7680" width="10.28515625" style="80" customWidth="1"/>
    <col min="7681" max="7681" width="7.42578125" style="80" customWidth="1"/>
    <col min="7682" max="7682" width="6.42578125" style="80" customWidth="1"/>
    <col min="7683" max="7684" width="11.42578125" style="80"/>
    <col min="7685" max="7685" width="31.7109375" style="80" customWidth="1"/>
    <col min="7686" max="7686" width="22.85546875" style="80" customWidth="1"/>
    <col min="7687" max="7687" width="20.7109375" style="80" customWidth="1"/>
    <col min="7688" max="7925" width="11.42578125" style="80"/>
    <col min="7926" max="7927" width="5.42578125" style="80" customWidth="1"/>
    <col min="7928" max="7928" width="52" style="80" customWidth="1"/>
    <col min="7929" max="7930" width="13" style="80" customWidth="1"/>
    <col min="7931" max="7931" width="12.85546875" style="80" customWidth="1"/>
    <col min="7932" max="7932" width="7.140625" style="80" customWidth="1"/>
    <col min="7933" max="7933" width="12.42578125" style="80" customWidth="1"/>
    <col min="7934" max="7934" width="24" style="80" customWidth="1"/>
    <col min="7935" max="7935" width="10.140625" style="80" customWidth="1"/>
    <col min="7936" max="7936" width="10.28515625" style="80" customWidth="1"/>
    <col min="7937" max="7937" width="7.42578125" style="80" customWidth="1"/>
    <col min="7938" max="7938" width="6.42578125" style="80" customWidth="1"/>
    <col min="7939" max="7940" width="11.42578125" style="80"/>
    <col min="7941" max="7941" width="31.7109375" style="80" customWidth="1"/>
    <col min="7942" max="7942" width="22.85546875" style="80" customWidth="1"/>
    <col min="7943" max="7943" width="20.7109375" style="80" customWidth="1"/>
    <col min="7944" max="8181" width="11.42578125" style="80"/>
    <col min="8182" max="8183" width="5.42578125" style="80" customWidth="1"/>
    <col min="8184" max="8184" width="52" style="80" customWidth="1"/>
    <col min="8185" max="8186" width="13" style="80" customWidth="1"/>
    <col min="8187" max="8187" width="12.85546875" style="80" customWidth="1"/>
    <col min="8188" max="8188" width="7.140625" style="80" customWidth="1"/>
    <col min="8189" max="8189" width="12.42578125" style="80" customWidth="1"/>
    <col min="8190" max="8190" width="24" style="80" customWidth="1"/>
    <col min="8191" max="8191" width="10.140625" style="80" customWidth="1"/>
    <col min="8192" max="8192" width="10.28515625" style="80" customWidth="1"/>
    <col min="8193" max="8193" width="7.42578125" style="80" customWidth="1"/>
    <col min="8194" max="8194" width="6.42578125" style="80" customWidth="1"/>
    <col min="8195" max="8196" width="11.42578125" style="80"/>
    <col min="8197" max="8197" width="31.7109375" style="80" customWidth="1"/>
    <col min="8198" max="8198" width="22.85546875" style="80" customWidth="1"/>
    <col min="8199" max="8199" width="20.7109375" style="80" customWidth="1"/>
    <col min="8200" max="8437" width="11.42578125" style="80"/>
    <col min="8438" max="8439" width="5.42578125" style="80" customWidth="1"/>
    <col min="8440" max="8440" width="52" style="80" customWidth="1"/>
    <col min="8441" max="8442" width="13" style="80" customWidth="1"/>
    <col min="8443" max="8443" width="12.85546875" style="80" customWidth="1"/>
    <col min="8444" max="8444" width="7.140625" style="80" customWidth="1"/>
    <col min="8445" max="8445" width="12.42578125" style="80" customWidth="1"/>
    <col min="8446" max="8446" width="24" style="80" customWidth="1"/>
    <col min="8447" max="8447" width="10.140625" style="80" customWidth="1"/>
    <col min="8448" max="8448" width="10.28515625" style="80" customWidth="1"/>
    <col min="8449" max="8449" width="7.42578125" style="80" customWidth="1"/>
    <col min="8450" max="8450" width="6.42578125" style="80" customWidth="1"/>
    <col min="8451" max="8452" width="11.42578125" style="80"/>
    <col min="8453" max="8453" width="31.7109375" style="80" customWidth="1"/>
    <col min="8454" max="8454" width="22.85546875" style="80" customWidth="1"/>
    <col min="8455" max="8455" width="20.7109375" style="80" customWidth="1"/>
    <col min="8456" max="8693" width="11.42578125" style="80"/>
    <col min="8694" max="8695" width="5.42578125" style="80" customWidth="1"/>
    <col min="8696" max="8696" width="52" style="80" customWidth="1"/>
    <col min="8697" max="8698" width="13" style="80" customWidth="1"/>
    <col min="8699" max="8699" width="12.85546875" style="80" customWidth="1"/>
    <col min="8700" max="8700" width="7.140625" style="80" customWidth="1"/>
    <col min="8701" max="8701" width="12.42578125" style="80" customWidth="1"/>
    <col min="8702" max="8702" width="24" style="80" customWidth="1"/>
    <col min="8703" max="8703" width="10.140625" style="80" customWidth="1"/>
    <col min="8704" max="8704" width="10.28515625" style="80" customWidth="1"/>
    <col min="8705" max="8705" width="7.42578125" style="80" customWidth="1"/>
    <col min="8706" max="8706" width="6.42578125" style="80" customWidth="1"/>
    <col min="8707" max="8708" width="11.42578125" style="80"/>
    <col min="8709" max="8709" width="31.7109375" style="80" customWidth="1"/>
    <col min="8710" max="8710" width="22.85546875" style="80" customWidth="1"/>
    <col min="8711" max="8711" width="20.7109375" style="80" customWidth="1"/>
    <col min="8712" max="8949" width="11.42578125" style="80"/>
    <col min="8950" max="8951" width="5.42578125" style="80" customWidth="1"/>
    <col min="8952" max="8952" width="52" style="80" customWidth="1"/>
    <col min="8953" max="8954" width="13" style="80" customWidth="1"/>
    <col min="8955" max="8955" width="12.85546875" style="80" customWidth="1"/>
    <col min="8956" max="8956" width="7.140625" style="80" customWidth="1"/>
    <col min="8957" max="8957" width="12.42578125" style="80" customWidth="1"/>
    <col min="8958" max="8958" width="24" style="80" customWidth="1"/>
    <col min="8959" max="8959" width="10.140625" style="80" customWidth="1"/>
    <col min="8960" max="8960" width="10.28515625" style="80" customWidth="1"/>
    <col min="8961" max="8961" width="7.42578125" style="80" customWidth="1"/>
    <col min="8962" max="8962" width="6.42578125" style="80" customWidth="1"/>
    <col min="8963" max="8964" width="11.42578125" style="80"/>
    <col min="8965" max="8965" width="31.7109375" style="80" customWidth="1"/>
    <col min="8966" max="8966" width="22.85546875" style="80" customWidth="1"/>
    <col min="8967" max="8967" width="20.7109375" style="80" customWidth="1"/>
    <col min="8968" max="9205" width="11.42578125" style="80"/>
    <col min="9206" max="9207" width="5.42578125" style="80" customWidth="1"/>
    <col min="9208" max="9208" width="52" style="80" customWidth="1"/>
    <col min="9209" max="9210" width="13" style="80" customWidth="1"/>
    <col min="9211" max="9211" width="12.85546875" style="80" customWidth="1"/>
    <col min="9212" max="9212" width="7.140625" style="80" customWidth="1"/>
    <col min="9213" max="9213" width="12.42578125" style="80" customWidth="1"/>
    <col min="9214" max="9214" width="24" style="80" customWidth="1"/>
    <col min="9215" max="9215" width="10.140625" style="80" customWidth="1"/>
    <col min="9216" max="9216" width="10.28515625" style="80" customWidth="1"/>
    <col min="9217" max="9217" width="7.42578125" style="80" customWidth="1"/>
    <col min="9218" max="9218" width="6.42578125" style="80" customWidth="1"/>
    <col min="9219" max="9220" width="11.42578125" style="80"/>
    <col min="9221" max="9221" width="31.7109375" style="80" customWidth="1"/>
    <col min="9222" max="9222" width="22.85546875" style="80" customWidth="1"/>
    <col min="9223" max="9223" width="20.7109375" style="80" customWidth="1"/>
    <col min="9224" max="9461" width="11.42578125" style="80"/>
    <col min="9462" max="9463" width="5.42578125" style="80" customWidth="1"/>
    <col min="9464" max="9464" width="52" style="80" customWidth="1"/>
    <col min="9465" max="9466" width="13" style="80" customWidth="1"/>
    <col min="9467" max="9467" width="12.85546875" style="80" customWidth="1"/>
    <col min="9468" max="9468" width="7.140625" style="80" customWidth="1"/>
    <col min="9469" max="9469" width="12.42578125" style="80" customWidth="1"/>
    <col min="9470" max="9470" width="24" style="80" customWidth="1"/>
    <col min="9471" max="9471" width="10.140625" style="80" customWidth="1"/>
    <col min="9472" max="9472" width="10.28515625" style="80" customWidth="1"/>
    <col min="9473" max="9473" width="7.42578125" style="80" customWidth="1"/>
    <col min="9474" max="9474" width="6.42578125" style="80" customWidth="1"/>
    <col min="9475" max="9476" width="11.42578125" style="80"/>
    <col min="9477" max="9477" width="31.7109375" style="80" customWidth="1"/>
    <col min="9478" max="9478" width="22.85546875" style="80" customWidth="1"/>
    <col min="9479" max="9479" width="20.7109375" style="80" customWidth="1"/>
    <col min="9480" max="9717" width="11.42578125" style="80"/>
    <col min="9718" max="9719" width="5.42578125" style="80" customWidth="1"/>
    <col min="9720" max="9720" width="52" style="80" customWidth="1"/>
    <col min="9721" max="9722" width="13" style="80" customWidth="1"/>
    <col min="9723" max="9723" width="12.85546875" style="80" customWidth="1"/>
    <col min="9724" max="9724" width="7.140625" style="80" customWidth="1"/>
    <col min="9725" max="9725" width="12.42578125" style="80" customWidth="1"/>
    <col min="9726" max="9726" width="24" style="80" customWidth="1"/>
    <col min="9727" max="9727" width="10.140625" style="80" customWidth="1"/>
    <col min="9728" max="9728" width="10.28515625" style="80" customWidth="1"/>
    <col min="9729" max="9729" width="7.42578125" style="80" customWidth="1"/>
    <col min="9730" max="9730" width="6.42578125" style="80" customWidth="1"/>
    <col min="9731" max="9732" width="11.42578125" style="80"/>
    <col min="9733" max="9733" width="31.7109375" style="80" customWidth="1"/>
    <col min="9734" max="9734" width="22.85546875" style="80" customWidth="1"/>
    <col min="9735" max="9735" width="20.7109375" style="80" customWidth="1"/>
    <col min="9736" max="9973" width="11.42578125" style="80"/>
    <col min="9974" max="9975" width="5.42578125" style="80" customWidth="1"/>
    <col min="9976" max="9976" width="52" style="80" customWidth="1"/>
    <col min="9977" max="9978" width="13" style="80" customWidth="1"/>
    <col min="9979" max="9979" width="12.85546875" style="80" customWidth="1"/>
    <col min="9980" max="9980" width="7.140625" style="80" customWidth="1"/>
    <col min="9981" max="9981" width="12.42578125" style="80" customWidth="1"/>
    <col min="9982" max="9982" width="24" style="80" customWidth="1"/>
    <col min="9983" max="9983" width="10.140625" style="80" customWidth="1"/>
    <col min="9984" max="9984" width="10.28515625" style="80" customWidth="1"/>
    <col min="9985" max="9985" width="7.42578125" style="80" customWidth="1"/>
    <col min="9986" max="9986" width="6.42578125" style="80" customWidth="1"/>
    <col min="9987" max="9988" width="11.42578125" style="80"/>
    <col min="9989" max="9989" width="31.7109375" style="80" customWidth="1"/>
    <col min="9990" max="9990" width="22.85546875" style="80" customWidth="1"/>
    <col min="9991" max="9991" width="20.7109375" style="80" customWidth="1"/>
    <col min="9992" max="10229" width="11.42578125" style="80"/>
    <col min="10230" max="10231" width="5.42578125" style="80" customWidth="1"/>
    <col min="10232" max="10232" width="52" style="80" customWidth="1"/>
    <col min="10233" max="10234" width="13" style="80" customWidth="1"/>
    <col min="10235" max="10235" width="12.85546875" style="80" customWidth="1"/>
    <col min="10236" max="10236" width="7.140625" style="80" customWidth="1"/>
    <col min="10237" max="10237" width="12.42578125" style="80" customWidth="1"/>
    <col min="10238" max="10238" width="24" style="80" customWidth="1"/>
    <col min="10239" max="10239" width="10.140625" style="80" customWidth="1"/>
    <col min="10240" max="10240" width="10.28515625" style="80" customWidth="1"/>
    <col min="10241" max="10241" width="7.42578125" style="80" customWidth="1"/>
    <col min="10242" max="10242" width="6.42578125" style="80" customWidth="1"/>
    <col min="10243" max="10244" width="11.42578125" style="80"/>
    <col min="10245" max="10245" width="31.7109375" style="80" customWidth="1"/>
    <col min="10246" max="10246" width="22.85546875" style="80" customWidth="1"/>
    <col min="10247" max="10247" width="20.7109375" style="80" customWidth="1"/>
    <col min="10248" max="10485" width="11.42578125" style="80"/>
    <col min="10486" max="10487" width="5.42578125" style="80" customWidth="1"/>
    <col min="10488" max="10488" width="52" style="80" customWidth="1"/>
    <col min="10489" max="10490" width="13" style="80" customWidth="1"/>
    <col min="10491" max="10491" width="12.85546875" style="80" customWidth="1"/>
    <col min="10492" max="10492" width="7.140625" style="80" customWidth="1"/>
    <col min="10493" max="10493" width="12.42578125" style="80" customWidth="1"/>
    <col min="10494" max="10494" width="24" style="80" customWidth="1"/>
    <col min="10495" max="10495" width="10.140625" style="80" customWidth="1"/>
    <col min="10496" max="10496" width="10.28515625" style="80" customWidth="1"/>
    <col min="10497" max="10497" width="7.42578125" style="80" customWidth="1"/>
    <col min="10498" max="10498" width="6.42578125" style="80" customWidth="1"/>
    <col min="10499" max="10500" width="11.42578125" style="80"/>
    <col min="10501" max="10501" width="31.7109375" style="80" customWidth="1"/>
    <col min="10502" max="10502" width="22.85546875" style="80" customWidth="1"/>
    <col min="10503" max="10503" width="20.7109375" style="80" customWidth="1"/>
    <col min="10504" max="10741" width="11.42578125" style="80"/>
    <col min="10742" max="10743" width="5.42578125" style="80" customWidth="1"/>
    <col min="10744" max="10744" width="52" style="80" customWidth="1"/>
    <col min="10745" max="10746" width="13" style="80" customWidth="1"/>
    <col min="10747" max="10747" width="12.85546875" style="80" customWidth="1"/>
    <col min="10748" max="10748" width="7.140625" style="80" customWidth="1"/>
    <col min="10749" max="10749" width="12.42578125" style="80" customWidth="1"/>
    <col min="10750" max="10750" width="24" style="80" customWidth="1"/>
    <col min="10751" max="10751" width="10.140625" style="80" customWidth="1"/>
    <col min="10752" max="10752" width="10.28515625" style="80" customWidth="1"/>
    <col min="10753" max="10753" width="7.42578125" style="80" customWidth="1"/>
    <col min="10754" max="10754" width="6.42578125" style="80" customWidth="1"/>
    <col min="10755" max="10756" width="11.42578125" style="80"/>
    <col min="10757" max="10757" width="31.7109375" style="80" customWidth="1"/>
    <col min="10758" max="10758" width="22.85546875" style="80" customWidth="1"/>
    <col min="10759" max="10759" width="20.7109375" style="80" customWidth="1"/>
    <col min="10760" max="10997" width="11.42578125" style="80"/>
    <col min="10998" max="10999" width="5.42578125" style="80" customWidth="1"/>
    <col min="11000" max="11000" width="52" style="80" customWidth="1"/>
    <col min="11001" max="11002" width="13" style="80" customWidth="1"/>
    <col min="11003" max="11003" width="12.85546875" style="80" customWidth="1"/>
    <col min="11004" max="11004" width="7.140625" style="80" customWidth="1"/>
    <col min="11005" max="11005" width="12.42578125" style="80" customWidth="1"/>
    <col min="11006" max="11006" width="24" style="80" customWidth="1"/>
    <col min="11007" max="11007" width="10.140625" style="80" customWidth="1"/>
    <col min="11008" max="11008" width="10.28515625" style="80" customWidth="1"/>
    <col min="11009" max="11009" width="7.42578125" style="80" customWidth="1"/>
    <col min="11010" max="11010" width="6.42578125" style="80" customWidth="1"/>
    <col min="11011" max="11012" width="11.42578125" style="80"/>
    <col min="11013" max="11013" width="31.7109375" style="80" customWidth="1"/>
    <col min="11014" max="11014" width="22.85546875" style="80" customWidth="1"/>
    <col min="11015" max="11015" width="20.7109375" style="80" customWidth="1"/>
    <col min="11016" max="11253" width="11.42578125" style="80"/>
    <col min="11254" max="11255" width="5.42578125" style="80" customWidth="1"/>
    <col min="11256" max="11256" width="52" style="80" customWidth="1"/>
    <col min="11257" max="11258" width="13" style="80" customWidth="1"/>
    <col min="11259" max="11259" width="12.85546875" style="80" customWidth="1"/>
    <col min="11260" max="11260" width="7.140625" style="80" customWidth="1"/>
    <col min="11261" max="11261" width="12.42578125" style="80" customWidth="1"/>
    <col min="11262" max="11262" width="24" style="80" customWidth="1"/>
    <col min="11263" max="11263" width="10.140625" style="80" customWidth="1"/>
    <col min="11264" max="11264" width="10.28515625" style="80" customWidth="1"/>
    <col min="11265" max="11265" width="7.42578125" style="80" customWidth="1"/>
    <col min="11266" max="11266" width="6.42578125" style="80" customWidth="1"/>
    <col min="11267" max="11268" width="11.42578125" style="80"/>
    <col min="11269" max="11269" width="31.7109375" style="80" customWidth="1"/>
    <col min="11270" max="11270" width="22.85546875" style="80" customWidth="1"/>
    <col min="11271" max="11271" width="20.7109375" style="80" customWidth="1"/>
    <col min="11272" max="11509" width="11.42578125" style="80"/>
    <col min="11510" max="11511" width="5.42578125" style="80" customWidth="1"/>
    <col min="11512" max="11512" width="52" style="80" customWidth="1"/>
    <col min="11513" max="11514" width="13" style="80" customWidth="1"/>
    <col min="11515" max="11515" width="12.85546875" style="80" customWidth="1"/>
    <col min="11516" max="11516" width="7.140625" style="80" customWidth="1"/>
    <col min="11517" max="11517" width="12.42578125" style="80" customWidth="1"/>
    <col min="11518" max="11518" width="24" style="80" customWidth="1"/>
    <col min="11519" max="11519" width="10.140625" style="80" customWidth="1"/>
    <col min="11520" max="11520" width="10.28515625" style="80" customWidth="1"/>
    <col min="11521" max="11521" width="7.42578125" style="80" customWidth="1"/>
    <col min="11522" max="11522" width="6.42578125" style="80" customWidth="1"/>
    <col min="11523" max="11524" width="11.42578125" style="80"/>
    <col min="11525" max="11525" width="31.7109375" style="80" customWidth="1"/>
    <col min="11526" max="11526" width="22.85546875" style="80" customWidth="1"/>
    <col min="11527" max="11527" width="20.7109375" style="80" customWidth="1"/>
    <col min="11528" max="11765" width="11.42578125" style="80"/>
    <col min="11766" max="11767" width="5.42578125" style="80" customWidth="1"/>
    <col min="11768" max="11768" width="52" style="80" customWidth="1"/>
    <col min="11769" max="11770" width="13" style="80" customWidth="1"/>
    <col min="11771" max="11771" width="12.85546875" style="80" customWidth="1"/>
    <col min="11772" max="11772" width="7.140625" style="80" customWidth="1"/>
    <col min="11773" max="11773" width="12.42578125" style="80" customWidth="1"/>
    <col min="11774" max="11774" width="24" style="80" customWidth="1"/>
    <col min="11775" max="11775" width="10.140625" style="80" customWidth="1"/>
    <col min="11776" max="11776" width="10.28515625" style="80" customWidth="1"/>
    <col min="11777" max="11777" width="7.42578125" style="80" customWidth="1"/>
    <col min="11778" max="11778" width="6.42578125" style="80" customWidth="1"/>
    <col min="11779" max="11780" width="11.42578125" style="80"/>
    <col min="11781" max="11781" width="31.7109375" style="80" customWidth="1"/>
    <col min="11782" max="11782" width="22.85546875" style="80" customWidth="1"/>
    <col min="11783" max="11783" width="20.7109375" style="80" customWidth="1"/>
    <col min="11784" max="12021" width="11.42578125" style="80"/>
    <col min="12022" max="12023" width="5.42578125" style="80" customWidth="1"/>
    <col min="12024" max="12024" width="52" style="80" customWidth="1"/>
    <col min="12025" max="12026" width="13" style="80" customWidth="1"/>
    <col min="12027" max="12027" width="12.85546875" style="80" customWidth="1"/>
    <col min="12028" max="12028" width="7.140625" style="80" customWidth="1"/>
    <col min="12029" max="12029" width="12.42578125" style="80" customWidth="1"/>
    <col min="12030" max="12030" width="24" style="80" customWidth="1"/>
    <col min="12031" max="12031" width="10.140625" style="80" customWidth="1"/>
    <col min="12032" max="12032" width="10.28515625" style="80" customWidth="1"/>
    <col min="12033" max="12033" width="7.42578125" style="80" customWidth="1"/>
    <col min="12034" max="12034" width="6.42578125" style="80" customWidth="1"/>
    <col min="12035" max="12036" width="11.42578125" style="80"/>
    <col min="12037" max="12037" width="31.7109375" style="80" customWidth="1"/>
    <col min="12038" max="12038" width="22.85546875" style="80" customWidth="1"/>
    <col min="12039" max="12039" width="20.7109375" style="80" customWidth="1"/>
    <col min="12040" max="12277" width="11.42578125" style="80"/>
    <col min="12278" max="12279" width="5.42578125" style="80" customWidth="1"/>
    <col min="12280" max="12280" width="52" style="80" customWidth="1"/>
    <col min="12281" max="12282" width="13" style="80" customWidth="1"/>
    <col min="12283" max="12283" width="12.85546875" style="80" customWidth="1"/>
    <col min="12284" max="12284" width="7.140625" style="80" customWidth="1"/>
    <col min="12285" max="12285" width="12.42578125" style="80" customWidth="1"/>
    <col min="12286" max="12286" width="24" style="80" customWidth="1"/>
    <col min="12287" max="12287" width="10.140625" style="80" customWidth="1"/>
    <col min="12288" max="12288" width="10.28515625" style="80" customWidth="1"/>
    <col min="12289" max="12289" width="7.42578125" style="80" customWidth="1"/>
    <col min="12290" max="12290" width="6.42578125" style="80" customWidth="1"/>
    <col min="12291" max="12292" width="11.42578125" style="80"/>
    <col min="12293" max="12293" width="31.7109375" style="80" customWidth="1"/>
    <col min="12294" max="12294" width="22.85546875" style="80" customWidth="1"/>
    <col min="12295" max="12295" width="20.7109375" style="80" customWidth="1"/>
    <col min="12296" max="12533" width="11.42578125" style="80"/>
    <col min="12534" max="12535" width="5.42578125" style="80" customWidth="1"/>
    <col min="12536" max="12536" width="52" style="80" customWidth="1"/>
    <col min="12537" max="12538" width="13" style="80" customWidth="1"/>
    <col min="12539" max="12539" width="12.85546875" style="80" customWidth="1"/>
    <col min="12540" max="12540" width="7.140625" style="80" customWidth="1"/>
    <col min="12541" max="12541" width="12.42578125" style="80" customWidth="1"/>
    <col min="12542" max="12542" width="24" style="80" customWidth="1"/>
    <col min="12543" max="12543" width="10.140625" style="80" customWidth="1"/>
    <col min="12544" max="12544" width="10.28515625" style="80" customWidth="1"/>
    <col min="12545" max="12545" width="7.42578125" style="80" customWidth="1"/>
    <col min="12546" max="12546" width="6.42578125" style="80" customWidth="1"/>
    <col min="12547" max="12548" width="11.42578125" style="80"/>
    <col min="12549" max="12549" width="31.7109375" style="80" customWidth="1"/>
    <col min="12550" max="12550" width="22.85546875" style="80" customWidth="1"/>
    <col min="12551" max="12551" width="20.7109375" style="80" customWidth="1"/>
    <col min="12552" max="12789" width="11.42578125" style="80"/>
    <col min="12790" max="12791" width="5.42578125" style="80" customWidth="1"/>
    <col min="12792" max="12792" width="52" style="80" customWidth="1"/>
    <col min="12793" max="12794" width="13" style="80" customWidth="1"/>
    <col min="12795" max="12795" width="12.85546875" style="80" customWidth="1"/>
    <col min="12796" max="12796" width="7.140625" style="80" customWidth="1"/>
    <col min="12797" max="12797" width="12.42578125" style="80" customWidth="1"/>
    <col min="12798" max="12798" width="24" style="80" customWidth="1"/>
    <col min="12799" max="12799" width="10.140625" style="80" customWidth="1"/>
    <col min="12800" max="12800" width="10.28515625" style="80" customWidth="1"/>
    <col min="12801" max="12801" width="7.42578125" style="80" customWidth="1"/>
    <col min="12802" max="12802" width="6.42578125" style="80" customWidth="1"/>
    <col min="12803" max="12804" width="11.42578125" style="80"/>
    <col min="12805" max="12805" width="31.7109375" style="80" customWidth="1"/>
    <col min="12806" max="12806" width="22.85546875" style="80" customWidth="1"/>
    <col min="12807" max="12807" width="20.7109375" style="80" customWidth="1"/>
    <col min="12808" max="13045" width="11.42578125" style="80"/>
    <col min="13046" max="13047" width="5.42578125" style="80" customWidth="1"/>
    <col min="13048" max="13048" width="52" style="80" customWidth="1"/>
    <col min="13049" max="13050" width="13" style="80" customWidth="1"/>
    <col min="13051" max="13051" width="12.85546875" style="80" customWidth="1"/>
    <col min="13052" max="13052" width="7.140625" style="80" customWidth="1"/>
    <col min="13053" max="13053" width="12.42578125" style="80" customWidth="1"/>
    <col min="13054" max="13054" width="24" style="80" customWidth="1"/>
    <col min="13055" max="13055" width="10.140625" style="80" customWidth="1"/>
    <col min="13056" max="13056" width="10.28515625" style="80" customWidth="1"/>
    <col min="13057" max="13057" width="7.42578125" style="80" customWidth="1"/>
    <col min="13058" max="13058" width="6.42578125" style="80" customWidth="1"/>
    <col min="13059" max="13060" width="11.42578125" style="80"/>
    <col min="13061" max="13061" width="31.7109375" style="80" customWidth="1"/>
    <col min="13062" max="13062" width="22.85546875" style="80" customWidth="1"/>
    <col min="13063" max="13063" width="20.7109375" style="80" customWidth="1"/>
    <col min="13064" max="13301" width="11.42578125" style="80"/>
    <col min="13302" max="13303" width="5.42578125" style="80" customWidth="1"/>
    <col min="13304" max="13304" width="52" style="80" customWidth="1"/>
    <col min="13305" max="13306" width="13" style="80" customWidth="1"/>
    <col min="13307" max="13307" width="12.85546875" style="80" customWidth="1"/>
    <col min="13308" max="13308" width="7.140625" style="80" customWidth="1"/>
    <col min="13309" max="13309" width="12.42578125" style="80" customWidth="1"/>
    <col min="13310" max="13310" width="24" style="80" customWidth="1"/>
    <col min="13311" max="13311" width="10.140625" style="80" customWidth="1"/>
    <col min="13312" max="13312" width="10.28515625" style="80" customWidth="1"/>
    <col min="13313" max="13313" width="7.42578125" style="80" customWidth="1"/>
    <col min="13314" max="13314" width="6.42578125" style="80" customWidth="1"/>
    <col min="13315" max="13316" width="11.42578125" style="80"/>
    <col min="13317" max="13317" width="31.7109375" style="80" customWidth="1"/>
    <col min="13318" max="13318" width="22.85546875" style="80" customWidth="1"/>
    <col min="13319" max="13319" width="20.7109375" style="80" customWidth="1"/>
    <col min="13320" max="13557" width="11.42578125" style="80"/>
    <col min="13558" max="13559" width="5.42578125" style="80" customWidth="1"/>
    <col min="13560" max="13560" width="52" style="80" customWidth="1"/>
    <col min="13561" max="13562" width="13" style="80" customWidth="1"/>
    <col min="13563" max="13563" width="12.85546875" style="80" customWidth="1"/>
    <col min="13564" max="13564" width="7.140625" style="80" customWidth="1"/>
    <col min="13565" max="13565" width="12.42578125" style="80" customWidth="1"/>
    <col min="13566" max="13566" width="24" style="80" customWidth="1"/>
    <col min="13567" max="13567" width="10.140625" style="80" customWidth="1"/>
    <col min="13568" max="13568" width="10.28515625" style="80" customWidth="1"/>
    <col min="13569" max="13569" width="7.42578125" style="80" customWidth="1"/>
    <col min="13570" max="13570" width="6.42578125" style="80" customWidth="1"/>
    <col min="13571" max="13572" width="11.42578125" style="80"/>
    <col min="13573" max="13573" width="31.7109375" style="80" customWidth="1"/>
    <col min="13574" max="13574" width="22.85546875" style="80" customWidth="1"/>
    <col min="13575" max="13575" width="20.7109375" style="80" customWidth="1"/>
    <col min="13576" max="13813" width="11.42578125" style="80"/>
    <col min="13814" max="13815" width="5.42578125" style="80" customWidth="1"/>
    <col min="13816" max="13816" width="52" style="80" customWidth="1"/>
    <col min="13817" max="13818" width="13" style="80" customWidth="1"/>
    <col min="13819" max="13819" width="12.85546875" style="80" customWidth="1"/>
    <col min="13820" max="13820" width="7.140625" style="80" customWidth="1"/>
    <col min="13821" max="13821" width="12.42578125" style="80" customWidth="1"/>
    <col min="13822" max="13822" width="24" style="80" customWidth="1"/>
    <col min="13823" max="13823" width="10.140625" style="80" customWidth="1"/>
    <col min="13824" max="13824" width="10.28515625" style="80" customWidth="1"/>
    <col min="13825" max="13825" width="7.42578125" style="80" customWidth="1"/>
    <col min="13826" max="13826" width="6.42578125" style="80" customWidth="1"/>
    <col min="13827" max="13828" width="11.42578125" style="80"/>
    <col min="13829" max="13829" width="31.7109375" style="80" customWidth="1"/>
    <col min="13830" max="13830" width="22.85546875" style="80" customWidth="1"/>
    <col min="13831" max="13831" width="20.7109375" style="80" customWidth="1"/>
    <col min="13832" max="14069" width="11.42578125" style="80"/>
    <col min="14070" max="14071" width="5.42578125" style="80" customWidth="1"/>
    <col min="14072" max="14072" width="52" style="80" customWidth="1"/>
    <col min="14073" max="14074" width="13" style="80" customWidth="1"/>
    <col min="14075" max="14075" width="12.85546875" style="80" customWidth="1"/>
    <col min="14076" max="14076" width="7.140625" style="80" customWidth="1"/>
    <col min="14077" max="14077" width="12.42578125" style="80" customWidth="1"/>
    <col min="14078" max="14078" width="24" style="80" customWidth="1"/>
    <col min="14079" max="14079" width="10.140625" style="80" customWidth="1"/>
    <col min="14080" max="14080" width="10.28515625" style="80" customWidth="1"/>
    <col min="14081" max="14081" width="7.42578125" style="80" customWidth="1"/>
    <col min="14082" max="14082" width="6.42578125" style="80" customWidth="1"/>
    <col min="14083" max="14084" width="11.42578125" style="80"/>
    <col min="14085" max="14085" width="31.7109375" style="80" customWidth="1"/>
    <col min="14086" max="14086" width="22.85546875" style="80" customWidth="1"/>
    <col min="14087" max="14087" width="20.7109375" style="80" customWidth="1"/>
    <col min="14088" max="14325" width="11.42578125" style="80"/>
    <col min="14326" max="14327" width="5.42578125" style="80" customWidth="1"/>
    <col min="14328" max="14328" width="52" style="80" customWidth="1"/>
    <col min="14329" max="14330" width="13" style="80" customWidth="1"/>
    <col min="14331" max="14331" width="12.85546875" style="80" customWidth="1"/>
    <col min="14332" max="14332" width="7.140625" style="80" customWidth="1"/>
    <col min="14333" max="14333" width="12.42578125" style="80" customWidth="1"/>
    <col min="14334" max="14334" width="24" style="80" customWidth="1"/>
    <col min="14335" max="14335" width="10.140625" style="80" customWidth="1"/>
    <col min="14336" max="14336" width="10.28515625" style="80" customWidth="1"/>
    <col min="14337" max="14337" width="7.42578125" style="80" customWidth="1"/>
    <col min="14338" max="14338" width="6.42578125" style="80" customWidth="1"/>
    <col min="14339" max="14340" width="11.42578125" style="80"/>
    <col min="14341" max="14341" width="31.7109375" style="80" customWidth="1"/>
    <col min="14342" max="14342" width="22.85546875" style="80" customWidth="1"/>
    <col min="14343" max="14343" width="20.7109375" style="80" customWidth="1"/>
    <col min="14344" max="14581" width="11.42578125" style="80"/>
    <col min="14582" max="14583" width="5.42578125" style="80" customWidth="1"/>
    <col min="14584" max="14584" width="52" style="80" customWidth="1"/>
    <col min="14585" max="14586" width="13" style="80" customWidth="1"/>
    <col min="14587" max="14587" width="12.85546875" style="80" customWidth="1"/>
    <col min="14588" max="14588" width="7.140625" style="80" customWidth="1"/>
    <col min="14589" max="14589" width="12.42578125" style="80" customWidth="1"/>
    <col min="14590" max="14590" width="24" style="80" customWidth="1"/>
    <col min="14591" max="14591" width="10.140625" style="80" customWidth="1"/>
    <col min="14592" max="14592" width="10.28515625" style="80" customWidth="1"/>
    <col min="14593" max="14593" width="7.42578125" style="80" customWidth="1"/>
    <col min="14594" max="14594" width="6.42578125" style="80" customWidth="1"/>
    <col min="14595" max="14596" width="11.42578125" style="80"/>
    <col min="14597" max="14597" width="31.7109375" style="80" customWidth="1"/>
    <col min="14598" max="14598" width="22.85546875" style="80" customWidth="1"/>
    <col min="14599" max="14599" width="20.7109375" style="80" customWidth="1"/>
    <col min="14600" max="14837" width="11.42578125" style="80"/>
    <col min="14838" max="14839" width="5.42578125" style="80" customWidth="1"/>
    <col min="14840" max="14840" width="52" style="80" customWidth="1"/>
    <col min="14841" max="14842" width="13" style="80" customWidth="1"/>
    <col min="14843" max="14843" width="12.85546875" style="80" customWidth="1"/>
    <col min="14844" max="14844" width="7.140625" style="80" customWidth="1"/>
    <col min="14845" max="14845" width="12.42578125" style="80" customWidth="1"/>
    <col min="14846" max="14846" width="24" style="80" customWidth="1"/>
    <col min="14847" max="14847" width="10.140625" style="80" customWidth="1"/>
    <col min="14848" max="14848" width="10.28515625" style="80" customWidth="1"/>
    <col min="14849" max="14849" width="7.42578125" style="80" customWidth="1"/>
    <col min="14850" max="14850" width="6.42578125" style="80" customWidth="1"/>
    <col min="14851" max="14852" width="11.42578125" style="80"/>
    <col min="14853" max="14853" width="31.7109375" style="80" customWidth="1"/>
    <col min="14854" max="14854" width="22.85546875" style="80" customWidth="1"/>
    <col min="14855" max="14855" width="20.7109375" style="80" customWidth="1"/>
    <col min="14856" max="15093" width="11.42578125" style="80"/>
    <col min="15094" max="15095" width="5.42578125" style="80" customWidth="1"/>
    <col min="15096" max="15096" width="52" style="80" customWidth="1"/>
    <col min="15097" max="15098" width="13" style="80" customWidth="1"/>
    <col min="15099" max="15099" width="12.85546875" style="80" customWidth="1"/>
    <col min="15100" max="15100" width="7.140625" style="80" customWidth="1"/>
    <col min="15101" max="15101" width="12.42578125" style="80" customWidth="1"/>
    <col min="15102" max="15102" width="24" style="80" customWidth="1"/>
    <col min="15103" max="15103" width="10.140625" style="80" customWidth="1"/>
    <col min="15104" max="15104" width="10.28515625" style="80" customWidth="1"/>
    <col min="15105" max="15105" width="7.42578125" style="80" customWidth="1"/>
    <col min="15106" max="15106" width="6.42578125" style="80" customWidth="1"/>
    <col min="15107" max="15108" width="11.42578125" style="80"/>
    <col min="15109" max="15109" width="31.7109375" style="80" customWidth="1"/>
    <col min="15110" max="15110" width="22.85546875" style="80" customWidth="1"/>
    <col min="15111" max="15111" width="20.7109375" style="80" customWidth="1"/>
    <col min="15112" max="15349" width="11.42578125" style="80"/>
    <col min="15350" max="15351" width="5.42578125" style="80" customWidth="1"/>
    <col min="15352" max="15352" width="52" style="80" customWidth="1"/>
    <col min="15353" max="15354" width="13" style="80" customWidth="1"/>
    <col min="15355" max="15355" width="12.85546875" style="80" customWidth="1"/>
    <col min="15356" max="15356" width="7.140625" style="80" customWidth="1"/>
    <col min="15357" max="15357" width="12.42578125" style="80" customWidth="1"/>
    <col min="15358" max="15358" width="24" style="80" customWidth="1"/>
    <col min="15359" max="15359" width="10.140625" style="80" customWidth="1"/>
    <col min="15360" max="15360" width="10.28515625" style="80" customWidth="1"/>
    <col min="15361" max="15361" width="7.42578125" style="80" customWidth="1"/>
    <col min="15362" max="15362" width="6.42578125" style="80" customWidth="1"/>
    <col min="15363" max="15364" width="11.42578125" style="80"/>
    <col min="15365" max="15365" width="31.7109375" style="80" customWidth="1"/>
    <col min="15366" max="15366" width="22.85546875" style="80" customWidth="1"/>
    <col min="15367" max="15367" width="20.7109375" style="80" customWidth="1"/>
    <col min="15368" max="15605" width="11.42578125" style="80"/>
    <col min="15606" max="15607" width="5.42578125" style="80" customWidth="1"/>
    <col min="15608" max="15608" width="52" style="80" customWidth="1"/>
    <col min="15609" max="15610" width="13" style="80" customWidth="1"/>
    <col min="15611" max="15611" width="12.85546875" style="80" customWidth="1"/>
    <col min="15612" max="15612" width="7.140625" style="80" customWidth="1"/>
    <col min="15613" max="15613" width="12.42578125" style="80" customWidth="1"/>
    <col min="15614" max="15614" width="24" style="80" customWidth="1"/>
    <col min="15615" max="15615" width="10.140625" style="80" customWidth="1"/>
    <col min="15616" max="15616" width="10.28515625" style="80" customWidth="1"/>
    <col min="15617" max="15617" width="7.42578125" style="80" customWidth="1"/>
    <col min="15618" max="15618" width="6.42578125" style="80" customWidth="1"/>
    <col min="15619" max="15620" width="11.42578125" style="80"/>
    <col min="15621" max="15621" width="31.7109375" style="80" customWidth="1"/>
    <col min="15622" max="15622" width="22.85546875" style="80" customWidth="1"/>
    <col min="15623" max="15623" width="20.7109375" style="80" customWidth="1"/>
    <col min="15624" max="15861" width="11.42578125" style="80"/>
    <col min="15862" max="15863" width="5.42578125" style="80" customWidth="1"/>
    <col min="15864" max="15864" width="52" style="80" customWidth="1"/>
    <col min="15865" max="15866" width="13" style="80" customWidth="1"/>
    <col min="15867" max="15867" width="12.85546875" style="80" customWidth="1"/>
    <col min="15868" max="15868" width="7.140625" style="80" customWidth="1"/>
    <col min="15869" max="15869" width="12.42578125" style="80" customWidth="1"/>
    <col min="15870" max="15870" width="24" style="80" customWidth="1"/>
    <col min="15871" max="15871" width="10.140625" style="80" customWidth="1"/>
    <col min="15872" max="15872" width="10.28515625" style="80" customWidth="1"/>
    <col min="15873" max="15873" width="7.42578125" style="80" customWidth="1"/>
    <col min="15874" max="15874" width="6.42578125" style="80" customWidth="1"/>
    <col min="15875" max="15876" width="11.42578125" style="80"/>
    <col min="15877" max="15877" width="31.7109375" style="80" customWidth="1"/>
    <col min="15878" max="15878" width="22.85546875" style="80" customWidth="1"/>
    <col min="15879" max="15879" width="20.7109375" style="80" customWidth="1"/>
    <col min="15880" max="16117" width="11.42578125" style="80"/>
    <col min="16118" max="16119" width="5.42578125" style="80" customWidth="1"/>
    <col min="16120" max="16120" width="52" style="80" customWidth="1"/>
    <col min="16121" max="16122" width="13" style="80" customWidth="1"/>
    <col min="16123" max="16123" width="12.85546875" style="80" customWidth="1"/>
    <col min="16124" max="16124" width="7.140625" style="80" customWidth="1"/>
    <col min="16125" max="16125" width="12.42578125" style="80" customWidth="1"/>
    <col min="16126" max="16126" width="24" style="80" customWidth="1"/>
    <col min="16127" max="16127" width="10.140625" style="80" customWidth="1"/>
    <col min="16128" max="16128" width="10.28515625" style="80" customWidth="1"/>
    <col min="16129" max="16129" width="7.42578125" style="80" customWidth="1"/>
    <col min="16130" max="16130" width="6.42578125" style="80" customWidth="1"/>
    <col min="16131" max="16132" width="11.42578125" style="80"/>
    <col min="16133" max="16133" width="31.7109375" style="80" customWidth="1"/>
    <col min="16134" max="16134" width="22.85546875" style="80" customWidth="1"/>
    <col min="16135" max="16135" width="20.7109375" style="80" customWidth="1"/>
    <col min="16136" max="16384" width="11.42578125" style="80"/>
  </cols>
  <sheetData>
    <row r="1" spans="1:10" ht="21.75" thickBot="1" x14ac:dyDescent="0.25">
      <c r="A1" s="79" t="s">
        <v>444</v>
      </c>
      <c r="B1" s="78" t="s">
        <v>56</v>
      </c>
      <c r="C1" s="92">
        <v>43840</v>
      </c>
      <c r="D1" s="79" t="s">
        <v>780</v>
      </c>
      <c r="E1" s="431" t="s">
        <v>396</v>
      </c>
      <c r="F1" s="432"/>
      <c r="G1" s="432"/>
      <c r="H1" s="432"/>
      <c r="I1" s="432"/>
      <c r="J1" s="433"/>
    </row>
    <row r="2" spans="1:10" s="106" customFormat="1" ht="37.5" x14ac:dyDescent="0.2">
      <c r="A2" s="134" t="s">
        <v>0</v>
      </c>
      <c r="B2" s="134" t="s">
        <v>260</v>
      </c>
      <c r="C2" s="134" t="s">
        <v>1</v>
      </c>
      <c r="D2" s="135" t="s">
        <v>55</v>
      </c>
      <c r="E2" s="134" t="s">
        <v>58</v>
      </c>
      <c r="F2" s="134" t="s">
        <v>2</v>
      </c>
      <c r="G2" s="136" t="s">
        <v>752</v>
      </c>
      <c r="H2" s="134" t="s">
        <v>3</v>
      </c>
      <c r="I2" s="134" t="s">
        <v>5</v>
      </c>
      <c r="J2" s="82" t="s">
        <v>658</v>
      </c>
    </row>
    <row r="3" spans="1:10" ht="15.75" x14ac:dyDescent="0.25">
      <c r="A3" s="88"/>
      <c r="B3" s="85" t="s">
        <v>246</v>
      </c>
      <c r="C3" s="63" t="s">
        <v>247</v>
      </c>
      <c r="D3" s="52">
        <v>5</v>
      </c>
      <c r="E3" s="63"/>
      <c r="F3" s="63"/>
      <c r="G3" s="137"/>
      <c r="H3" s="89" t="s">
        <v>397</v>
      </c>
      <c r="I3" s="123"/>
      <c r="J3" s="122"/>
    </row>
    <row r="4" spans="1:10" ht="15.75" x14ac:dyDescent="0.25">
      <c r="A4" s="88"/>
      <c r="B4" s="85" t="s">
        <v>248</v>
      </c>
      <c r="C4" s="87" t="s">
        <v>9</v>
      </c>
      <c r="D4" s="52">
        <v>17</v>
      </c>
      <c r="E4" s="87"/>
      <c r="F4" s="87"/>
      <c r="G4" s="137"/>
      <c r="H4" s="87" t="s">
        <v>397</v>
      </c>
      <c r="I4" s="123"/>
      <c r="J4" s="122"/>
    </row>
    <row r="5" spans="1:10" ht="15.75" x14ac:dyDescent="0.25">
      <c r="A5" s="88"/>
      <c r="B5" s="85" t="s">
        <v>680</v>
      </c>
      <c r="C5" s="63" t="s">
        <v>249</v>
      </c>
      <c r="D5" s="52">
        <v>10</v>
      </c>
      <c r="E5" s="63"/>
      <c r="F5" s="63"/>
      <c r="G5" s="137"/>
      <c r="H5" s="89">
        <v>43252</v>
      </c>
      <c r="I5" s="123"/>
      <c r="J5" s="122"/>
    </row>
    <row r="6" spans="1:10" ht="15.75" x14ac:dyDescent="0.25">
      <c r="A6" s="88"/>
      <c r="B6" s="85" t="s">
        <v>680</v>
      </c>
      <c r="C6" s="87" t="s">
        <v>249</v>
      </c>
      <c r="D6" s="180">
        <v>10</v>
      </c>
      <c r="E6" s="87"/>
      <c r="F6" s="87"/>
      <c r="G6" s="137"/>
      <c r="H6" s="90">
        <v>43439</v>
      </c>
      <c r="I6" s="123"/>
      <c r="J6" s="122"/>
    </row>
    <row r="7" spans="1:10" ht="15.75" x14ac:dyDescent="0.25">
      <c r="A7" s="88"/>
      <c r="B7" s="85" t="s">
        <v>51</v>
      </c>
      <c r="C7" s="63" t="s">
        <v>9</v>
      </c>
      <c r="D7" s="52">
        <v>3</v>
      </c>
      <c r="E7" s="63"/>
      <c r="F7" s="57"/>
      <c r="G7" s="137"/>
      <c r="H7" s="89" t="s">
        <v>397</v>
      </c>
      <c r="I7" s="123"/>
      <c r="J7" s="122"/>
    </row>
    <row r="8" spans="1:10" ht="15.75" x14ac:dyDescent="0.25">
      <c r="A8" s="97"/>
      <c r="B8" s="85" t="s">
        <v>51</v>
      </c>
      <c r="C8" s="121" t="s">
        <v>11</v>
      </c>
      <c r="D8" s="55">
        <v>10</v>
      </c>
      <c r="E8" s="254">
        <v>44084</v>
      </c>
      <c r="F8" s="57"/>
      <c r="G8" s="139">
        <v>10</v>
      </c>
      <c r="H8" s="255">
        <v>44256</v>
      </c>
      <c r="I8" s="122"/>
      <c r="J8" s="122"/>
    </row>
    <row r="9" spans="1:10" ht="15.75" x14ac:dyDescent="0.25">
      <c r="A9" s="88"/>
      <c r="B9" s="85" t="s">
        <v>684</v>
      </c>
      <c r="C9" s="87" t="s">
        <v>768</v>
      </c>
      <c r="D9" s="52">
        <v>2.5</v>
      </c>
      <c r="E9" s="87"/>
      <c r="F9" s="87"/>
      <c r="G9" s="137"/>
      <c r="H9" s="87" t="s">
        <v>397</v>
      </c>
      <c r="I9" s="123"/>
      <c r="J9" s="122"/>
    </row>
    <row r="10" spans="1:10" ht="15.75" x14ac:dyDescent="0.25">
      <c r="A10" s="88"/>
      <c r="B10" s="85" t="s">
        <v>679</v>
      </c>
      <c r="C10" s="63" t="s">
        <v>18</v>
      </c>
      <c r="D10" s="52">
        <v>250</v>
      </c>
      <c r="E10" s="63"/>
      <c r="F10" s="63"/>
      <c r="G10" s="137"/>
      <c r="H10" s="89">
        <v>45078</v>
      </c>
      <c r="I10" s="123"/>
      <c r="J10" s="122"/>
    </row>
    <row r="11" spans="1:10" x14ac:dyDescent="0.2">
      <c r="B11" s="140"/>
    </row>
    <row r="12" spans="1:10" x14ac:dyDescent="0.2">
      <c r="B12" s="140"/>
    </row>
    <row r="13" spans="1:10" x14ac:dyDescent="0.2">
      <c r="B13" s="140"/>
    </row>
  </sheetData>
  <sheetProtection sheet="1" objects="1" scenarios="1" formatColumns="0" formatRows="0" sort="0" autoFilter="0"/>
  <mergeCells count="1">
    <mergeCell ref="E1:J1"/>
  </mergeCells>
  <conditionalFormatting sqref="H3:H10">
    <cfRule type="cellIs" dxfId="7" priority="1" operator="lessThan">
      <formula>NOW()</formula>
    </cfRule>
  </conditionalFormatting>
  <hyperlinks>
    <hyperlink ref="A1" location="'Estado general'!A11" display="General" xr:uid="{00000000-0004-0000-0C00-000000000000}"/>
    <hyperlink ref="D1" location="'Insumos a comprar'!A1" display="A comprar" xr:uid="{00000000-0004-0000-0C00-000001000000}"/>
  </hyperlinks>
  <pageMargins left="0.75" right="0.75" top="1" bottom="1" header="0" footer="0"/>
  <pageSetup scale="88" orientation="landscape" verticalDpi="0" r:id="rId1"/>
  <headerFooter alignWithMargins="0"/>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xr:uid="{00000000-0002-0000-0C00-000000000000}">
          <x14:formula1>
            <xm:f>Datos!$C$2:$C$100</xm:f>
          </x14:formula1>
          <xm:sqref>B3:B10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tabColor rgb="FFF14DCE"/>
    <pageSetUpPr fitToPage="1"/>
  </sheetPr>
  <dimension ref="A1:K105"/>
  <sheetViews>
    <sheetView showGridLines="0" zoomScaleNormal="100" workbookViewId="0">
      <selection activeCell="I102" sqref="I102:I105"/>
    </sheetView>
  </sheetViews>
  <sheetFormatPr defaultColWidth="9.140625" defaultRowHeight="15" x14ac:dyDescent="0.25"/>
  <cols>
    <col min="1" max="1" width="9" style="159" bestFit="1" customWidth="1"/>
    <col min="2" max="2" width="44.140625" style="119" bestFit="1" customWidth="1"/>
    <col min="3" max="3" width="13.7109375" style="119" bestFit="1" customWidth="1"/>
    <col min="4" max="5" width="13.7109375" style="119" customWidth="1"/>
    <col min="6" max="6" width="16.5703125" style="119" bestFit="1" customWidth="1"/>
    <col min="7" max="7" width="11.85546875" style="119" bestFit="1" customWidth="1"/>
    <col min="8" max="8" width="20.85546875" style="119" bestFit="1" customWidth="1"/>
    <col min="9" max="9" width="30.7109375" style="119" bestFit="1" customWidth="1"/>
    <col min="10" max="10" width="16.5703125" style="119" bestFit="1" customWidth="1"/>
    <col min="11" max="11" width="16.5703125" style="119" hidden="1" customWidth="1"/>
    <col min="12" max="12" width="18.7109375" style="119" customWidth="1"/>
    <col min="13" max="16384" width="9.140625" style="119"/>
  </cols>
  <sheetData>
    <row r="1" spans="1:11" s="110" customFormat="1" ht="21.75" thickBot="1" x14ac:dyDescent="0.4">
      <c r="A1" s="141" t="s">
        <v>444</v>
      </c>
      <c r="B1" s="78" t="s">
        <v>56</v>
      </c>
      <c r="C1" s="160">
        <v>44497</v>
      </c>
      <c r="D1" s="79" t="s">
        <v>780</v>
      </c>
      <c r="E1" s="443" t="s">
        <v>394</v>
      </c>
      <c r="F1" s="444"/>
      <c r="G1" s="444"/>
      <c r="H1" s="444"/>
      <c r="I1" s="444"/>
      <c r="J1" s="444"/>
      <c r="K1" s="142"/>
    </row>
    <row r="2" spans="1:11" s="145" customFormat="1" ht="37.5" x14ac:dyDescent="0.3">
      <c r="A2" s="134" t="s">
        <v>0</v>
      </c>
      <c r="B2" s="134" t="s">
        <v>260</v>
      </c>
      <c r="C2" s="143" t="s">
        <v>1</v>
      </c>
      <c r="D2" s="135" t="s">
        <v>55</v>
      </c>
      <c r="E2" s="134" t="s">
        <v>58</v>
      </c>
      <c r="F2" s="134" t="s">
        <v>2</v>
      </c>
      <c r="G2" s="136" t="s">
        <v>752</v>
      </c>
      <c r="H2" s="136" t="s">
        <v>3</v>
      </c>
      <c r="I2" s="134" t="s">
        <v>5</v>
      </c>
      <c r="J2" s="82" t="s">
        <v>658</v>
      </c>
      <c r="K2" s="144" t="s">
        <v>657</v>
      </c>
    </row>
    <row r="3" spans="1:11" ht="15.75" x14ac:dyDescent="0.25">
      <c r="A3" s="146">
        <v>1</v>
      </c>
      <c r="B3" s="246" t="s">
        <v>6</v>
      </c>
      <c r="C3" s="147" t="s">
        <v>11</v>
      </c>
      <c r="D3" s="16">
        <v>10</v>
      </c>
      <c r="E3" s="188"/>
      <c r="F3" s="71"/>
      <c r="G3" s="137"/>
      <c r="H3" s="150">
        <v>2017</v>
      </c>
      <c r="I3" s="237"/>
      <c r="J3" s="236"/>
      <c r="K3" s="149" t="str">
        <f ca="1">MID(CELL("filename",A1),FIND("]",CELL("filename",A1))+1,255)</f>
        <v>Solidos mas usados</v>
      </c>
    </row>
    <row r="4" spans="1:11" ht="15.75" x14ac:dyDescent="0.25">
      <c r="A4" s="146">
        <v>1</v>
      </c>
      <c r="B4" s="246" t="s">
        <v>6</v>
      </c>
      <c r="C4" s="147" t="s">
        <v>15</v>
      </c>
      <c r="D4" s="16">
        <v>7</v>
      </c>
      <c r="E4" s="188"/>
      <c r="F4" s="71"/>
      <c r="G4" s="137"/>
      <c r="H4" s="150">
        <v>44772</v>
      </c>
      <c r="I4" s="237"/>
      <c r="J4" s="236"/>
      <c r="K4" s="149" t="str">
        <f ca="1">MID(CELL("filename",A2),FIND("]",CELL("filename",A2))+1,255)</f>
        <v>Solidos mas usados</v>
      </c>
    </row>
    <row r="5" spans="1:11" ht="15.75" x14ac:dyDescent="0.25">
      <c r="A5" s="146">
        <v>2</v>
      </c>
      <c r="B5" s="246" t="s">
        <v>8</v>
      </c>
      <c r="C5" s="147" t="s">
        <v>9</v>
      </c>
      <c r="D5" s="16">
        <v>100</v>
      </c>
      <c r="E5" s="188"/>
      <c r="F5" s="71"/>
      <c r="G5" s="137"/>
      <c r="H5" s="150" t="s">
        <v>397</v>
      </c>
      <c r="I5" s="237"/>
      <c r="J5" s="236"/>
      <c r="K5" s="149" t="str">
        <f ca="1">MID(CELL("filename",A4),FIND("]",CELL("filename",A4))+1,255)</f>
        <v>Solidos mas usados</v>
      </c>
    </row>
    <row r="6" spans="1:11" ht="15.75" x14ac:dyDescent="0.25">
      <c r="A6" s="146">
        <v>3</v>
      </c>
      <c r="B6" s="246" t="s">
        <v>10</v>
      </c>
      <c r="C6" s="147"/>
      <c r="D6" s="16">
        <v>200</v>
      </c>
      <c r="E6" s="188"/>
      <c r="F6" s="71"/>
      <c r="G6" s="137"/>
      <c r="H6" s="150" t="s">
        <v>397</v>
      </c>
      <c r="I6" s="237"/>
      <c r="J6" s="236"/>
      <c r="K6" s="149" t="str">
        <f ca="1">MID(CELL("filename",A5),FIND("]",CELL("filename",A5))+1,255)</f>
        <v>Solidos mas usados</v>
      </c>
    </row>
    <row r="7" spans="1:11" ht="15.75" x14ac:dyDescent="0.25">
      <c r="A7" s="151">
        <v>4</v>
      </c>
      <c r="B7" s="246" t="s">
        <v>12</v>
      </c>
      <c r="C7" s="147"/>
      <c r="D7" s="16">
        <v>200</v>
      </c>
      <c r="E7" s="150"/>
      <c r="F7" s="189"/>
      <c r="G7" s="137"/>
      <c r="H7" s="150" t="s">
        <v>397</v>
      </c>
      <c r="I7" s="237"/>
      <c r="J7" s="236"/>
      <c r="K7" s="149" t="str">
        <f ca="1">MID(CELL("filename",A6),FIND("]",CELL("filename",A6))+1,255)</f>
        <v>Solidos mas usados</v>
      </c>
    </row>
    <row r="8" spans="1:11" ht="15.75" hidden="1" x14ac:dyDescent="0.25">
      <c r="A8" s="146">
        <v>5</v>
      </c>
      <c r="B8" s="246" t="s">
        <v>13</v>
      </c>
      <c r="C8" s="147" t="s">
        <v>11</v>
      </c>
      <c r="D8" s="16"/>
      <c r="E8" s="188"/>
      <c r="F8" s="71"/>
      <c r="G8" s="137"/>
      <c r="H8" s="150">
        <v>42156</v>
      </c>
      <c r="I8" s="237" t="s">
        <v>53</v>
      </c>
      <c r="J8" s="236">
        <v>44159</v>
      </c>
      <c r="K8" s="149" t="str">
        <f ca="1">MID(CELL("filename",A7),FIND("]",CELL("filename",A7))+1,255)</f>
        <v>Solidos mas usados</v>
      </c>
    </row>
    <row r="9" spans="1:11" ht="15.75" x14ac:dyDescent="0.25">
      <c r="A9" s="146">
        <v>5</v>
      </c>
      <c r="B9" s="246" t="s">
        <v>13</v>
      </c>
      <c r="C9" s="147" t="s">
        <v>755</v>
      </c>
      <c r="D9" s="16">
        <v>950</v>
      </c>
      <c r="E9" s="188"/>
      <c r="F9" s="71"/>
      <c r="G9" s="137"/>
      <c r="H9" s="150" t="s">
        <v>397</v>
      </c>
      <c r="I9" s="237"/>
      <c r="J9" s="236"/>
      <c r="K9" s="149" t="e">
        <f ca="1">MID(CELL("filename",#REF!),FIND("]",CELL("filename",#REF!))+1,255)</f>
        <v>#REF!</v>
      </c>
    </row>
    <row r="10" spans="1:11" ht="15.75" x14ac:dyDescent="0.25">
      <c r="A10" s="146">
        <v>5</v>
      </c>
      <c r="B10" s="246" t="s">
        <v>13</v>
      </c>
      <c r="C10" s="147" t="s">
        <v>28</v>
      </c>
      <c r="D10" s="16">
        <v>1450</v>
      </c>
      <c r="E10" s="188"/>
      <c r="F10" s="71"/>
      <c r="G10" s="137"/>
      <c r="H10" s="150" t="s">
        <v>397</v>
      </c>
      <c r="I10" s="237"/>
      <c r="J10" s="236"/>
      <c r="K10" s="149" t="str">
        <f ca="1">MID(CELL("filename",A8),FIND("]",CELL("filename",A8))+1,255)</f>
        <v>Solidos mas usados</v>
      </c>
    </row>
    <row r="11" spans="1:11" ht="15.75" hidden="1" x14ac:dyDescent="0.25">
      <c r="A11" s="146">
        <v>6</v>
      </c>
      <c r="B11" s="246" t="s">
        <v>14</v>
      </c>
      <c r="C11" s="147" t="s">
        <v>15</v>
      </c>
      <c r="D11" s="16">
        <v>0</v>
      </c>
      <c r="E11" s="152"/>
      <c r="F11" s="190">
        <v>12052018</v>
      </c>
      <c r="G11" s="137"/>
      <c r="H11" s="150">
        <v>45290</v>
      </c>
      <c r="I11" s="237"/>
      <c r="J11" s="236">
        <v>44049</v>
      </c>
      <c r="K11" s="149" t="str">
        <f ca="1">MID(CELL("filename",A9),FIND("]",CELL("filename",A9))+1,255)</f>
        <v>Solidos mas usados</v>
      </c>
    </row>
    <row r="12" spans="1:11" ht="15.75" x14ac:dyDescent="0.25">
      <c r="A12" s="146">
        <v>6</v>
      </c>
      <c r="B12" s="246" t="s">
        <v>14</v>
      </c>
      <c r="C12" s="147" t="s">
        <v>15</v>
      </c>
      <c r="D12" s="16">
        <v>750</v>
      </c>
      <c r="E12" s="152"/>
      <c r="F12" s="190"/>
      <c r="G12" s="137">
        <v>1000</v>
      </c>
      <c r="H12" s="150">
        <v>45290</v>
      </c>
      <c r="I12" s="237"/>
      <c r="J12" s="236"/>
      <c r="K12" s="149" t="str">
        <f ca="1">MID(CELL("filename",A10),FIND("]",CELL("filename",A10))+1,255)</f>
        <v>Solidos mas usados</v>
      </c>
    </row>
    <row r="13" spans="1:11" ht="15.75" x14ac:dyDescent="0.25">
      <c r="A13" s="303">
        <v>6</v>
      </c>
      <c r="B13" s="246" t="s">
        <v>14</v>
      </c>
      <c r="C13" s="304" t="s">
        <v>15</v>
      </c>
      <c r="D13" s="305">
        <v>500</v>
      </c>
      <c r="E13" s="306">
        <v>44179</v>
      </c>
      <c r="F13" s="307"/>
      <c r="G13" s="308">
        <v>500</v>
      </c>
      <c r="H13" s="306">
        <v>45290</v>
      </c>
      <c r="I13" s="309"/>
      <c r="J13" s="310"/>
      <c r="K13" s="311"/>
    </row>
    <row r="14" spans="1:11" ht="15.75" x14ac:dyDescent="0.25">
      <c r="A14" s="146" t="s">
        <v>49</v>
      </c>
      <c r="B14" s="246" t="s">
        <v>50</v>
      </c>
      <c r="C14" s="147" t="s">
        <v>15</v>
      </c>
      <c r="D14" s="17">
        <v>1000</v>
      </c>
      <c r="E14" s="155">
        <v>43993</v>
      </c>
      <c r="F14" s="191"/>
      <c r="G14" s="158">
        <v>1000</v>
      </c>
      <c r="H14" s="155">
        <v>45595</v>
      </c>
      <c r="I14" s="239"/>
      <c r="J14" s="236"/>
      <c r="K14" s="148"/>
    </row>
    <row r="15" spans="1:11" ht="15.75" x14ac:dyDescent="0.25">
      <c r="A15" s="345"/>
      <c r="B15" s="246" t="s">
        <v>1057</v>
      </c>
      <c r="C15" s="346" t="s">
        <v>11</v>
      </c>
      <c r="D15" s="347">
        <v>250</v>
      </c>
      <c r="E15" s="348">
        <v>44222</v>
      </c>
      <c r="F15" s="349"/>
      <c r="G15" s="350">
        <v>250</v>
      </c>
      <c r="H15" s="348">
        <v>45992</v>
      </c>
      <c r="I15" s="351"/>
      <c r="J15" s="352"/>
      <c r="K15" s="353"/>
    </row>
    <row r="16" spans="1:11" ht="15.75" x14ac:dyDescent="0.25">
      <c r="A16" s="146">
        <v>114</v>
      </c>
      <c r="B16" s="246" t="s">
        <v>48</v>
      </c>
      <c r="C16" s="147" t="s">
        <v>11</v>
      </c>
      <c r="D16" s="16">
        <v>200</v>
      </c>
      <c r="E16" s="152"/>
      <c r="F16" s="190"/>
      <c r="G16" s="137"/>
      <c r="H16" s="150">
        <v>45017</v>
      </c>
      <c r="I16" s="238"/>
      <c r="J16" s="236"/>
      <c r="K16" s="149" t="e">
        <f ca="1">MID(CELL("filename",#REF!),FIND("]",CELL("filename",#REF!))+1,255)</f>
        <v>#REF!</v>
      </c>
    </row>
    <row r="17" spans="1:11" ht="15.75" x14ac:dyDescent="0.25">
      <c r="A17" s="146">
        <v>114</v>
      </c>
      <c r="B17" s="246" t="s">
        <v>48</v>
      </c>
      <c r="C17" s="147" t="s">
        <v>11</v>
      </c>
      <c r="D17" s="16">
        <v>250</v>
      </c>
      <c r="E17" s="152"/>
      <c r="F17" s="190"/>
      <c r="G17" s="137"/>
      <c r="H17" s="150">
        <v>45017</v>
      </c>
      <c r="I17" s="238"/>
      <c r="J17" s="236"/>
      <c r="K17" s="357"/>
    </row>
    <row r="18" spans="1:11" ht="15.75" hidden="1" x14ac:dyDescent="0.25">
      <c r="A18" s="146">
        <v>11</v>
      </c>
      <c r="B18" s="246" t="s">
        <v>753</v>
      </c>
      <c r="C18" s="147" t="s">
        <v>18</v>
      </c>
      <c r="D18" s="16">
        <v>0</v>
      </c>
      <c r="E18" s="152"/>
      <c r="F18" s="190">
        <v>70506</v>
      </c>
      <c r="G18" s="137"/>
      <c r="H18" s="153" t="s">
        <v>397</v>
      </c>
      <c r="I18" s="238"/>
      <c r="J18" s="236">
        <v>43959</v>
      </c>
      <c r="K18" s="149" t="e">
        <f ca="1">MID(CELL("filename",#REF!),FIND("]",CELL("filename",#REF!))+1,255)</f>
        <v>#REF!</v>
      </c>
    </row>
    <row r="19" spans="1:11" ht="15.75" x14ac:dyDescent="0.25">
      <c r="A19" s="146">
        <v>7</v>
      </c>
      <c r="B19" s="246" t="s">
        <v>462</v>
      </c>
      <c r="C19" s="147" t="s">
        <v>15</v>
      </c>
      <c r="D19" s="16">
        <v>200</v>
      </c>
      <c r="E19" s="152"/>
      <c r="F19" s="190"/>
      <c r="G19" s="137"/>
      <c r="H19" s="150">
        <v>44073</v>
      </c>
      <c r="I19" s="237"/>
      <c r="J19" s="236"/>
      <c r="K19" s="149" t="str">
        <f ca="1">MID(CELL("filename",A17),FIND("]",CELL("filename",A17))+1,255)</f>
        <v>Solidos mas usados</v>
      </c>
    </row>
    <row r="20" spans="1:11" ht="15.75" x14ac:dyDescent="0.25">
      <c r="A20" s="245">
        <v>7</v>
      </c>
      <c r="B20" s="246" t="s">
        <v>462</v>
      </c>
      <c r="C20" s="247" t="s">
        <v>15</v>
      </c>
      <c r="D20" s="248">
        <v>250</v>
      </c>
      <c r="E20" s="256">
        <v>44082</v>
      </c>
      <c r="F20" s="249"/>
      <c r="G20" s="250">
        <v>250</v>
      </c>
      <c r="H20" s="256">
        <v>45015</v>
      </c>
      <c r="I20" s="251"/>
      <c r="J20" s="257"/>
      <c r="K20" s="252"/>
    </row>
    <row r="21" spans="1:11" ht="15.75" x14ac:dyDescent="0.25">
      <c r="A21" s="146">
        <v>8</v>
      </c>
      <c r="B21" s="246" t="s">
        <v>16</v>
      </c>
      <c r="C21" s="147" t="s">
        <v>756</v>
      </c>
      <c r="D21" s="16">
        <v>10</v>
      </c>
      <c r="E21" s="152"/>
      <c r="F21" s="190"/>
      <c r="G21" s="137"/>
      <c r="H21" s="150" t="s">
        <v>397</v>
      </c>
      <c r="I21" s="237"/>
      <c r="J21" s="236"/>
      <c r="K21" s="149" t="str">
        <f ca="1">MID(CELL("filename",A20),FIND("]",CELL("filename",A20))+1,255)</f>
        <v>Solidos mas usados</v>
      </c>
    </row>
    <row r="22" spans="1:11" ht="15.75" x14ac:dyDescent="0.25">
      <c r="A22" s="146"/>
      <c r="B22" s="246" t="s">
        <v>404</v>
      </c>
      <c r="C22" s="147" t="s">
        <v>11</v>
      </c>
      <c r="D22" s="16">
        <v>25</v>
      </c>
      <c r="E22" s="153">
        <v>43973</v>
      </c>
      <c r="F22" s="190"/>
      <c r="G22" s="137"/>
      <c r="H22" s="150">
        <v>45139</v>
      </c>
      <c r="I22" s="242"/>
      <c r="J22" s="236"/>
      <c r="K22" s="157" t="str">
        <f ca="1">MID(CELL("filename",A20),FIND("]",CELL("filename",A20))+1,255)</f>
        <v>Solidos mas usados</v>
      </c>
    </row>
    <row r="23" spans="1:11" ht="15.75" x14ac:dyDescent="0.25">
      <c r="A23" s="146">
        <v>9</v>
      </c>
      <c r="B23" s="246" t="s">
        <v>17</v>
      </c>
      <c r="C23" s="147" t="s">
        <v>18</v>
      </c>
      <c r="D23" s="16">
        <v>100</v>
      </c>
      <c r="E23" s="150"/>
      <c r="F23" s="189"/>
      <c r="G23" s="137"/>
      <c r="H23" s="150" t="s">
        <v>397</v>
      </c>
      <c r="I23" s="238"/>
      <c r="J23" s="236"/>
      <c r="K23" s="149" t="str">
        <f ca="1">MID(CELL("filename",A22),FIND("]",CELL("filename",A22))+1,255)</f>
        <v>Solidos mas usados</v>
      </c>
    </row>
    <row r="24" spans="1:11" ht="15.75" x14ac:dyDescent="0.25">
      <c r="A24" s="154">
        <v>9</v>
      </c>
      <c r="B24" s="246" t="s">
        <v>17</v>
      </c>
      <c r="C24" s="147" t="s">
        <v>18</v>
      </c>
      <c r="D24" s="17">
        <v>1000</v>
      </c>
      <c r="E24" s="187">
        <v>43993</v>
      </c>
      <c r="F24" s="147"/>
      <c r="G24" s="158">
        <v>1000</v>
      </c>
      <c r="H24" s="155" t="s">
        <v>397</v>
      </c>
      <c r="I24" s="239"/>
      <c r="J24" s="236"/>
      <c r="K24" s="148"/>
    </row>
    <row r="25" spans="1:11" ht="15.75" x14ac:dyDescent="0.25">
      <c r="A25" s="146">
        <v>10</v>
      </c>
      <c r="B25" s="246" t="s">
        <v>19</v>
      </c>
      <c r="C25" s="147" t="s">
        <v>757</v>
      </c>
      <c r="D25" s="16">
        <v>200</v>
      </c>
      <c r="E25" s="150"/>
      <c r="F25" s="189"/>
      <c r="G25" s="137"/>
      <c r="H25" s="150" t="s">
        <v>397</v>
      </c>
      <c r="I25" s="237"/>
      <c r="J25" s="236"/>
      <c r="K25" s="149" t="str">
        <f ca="1">MID(CELL("filename",A24),FIND("]",CELL("filename",A24))+1,255)</f>
        <v>Solidos mas usados</v>
      </c>
    </row>
    <row r="26" spans="1:11" ht="15.75" x14ac:dyDescent="0.25">
      <c r="A26" s="146">
        <v>12</v>
      </c>
      <c r="B26" s="246" t="s">
        <v>20</v>
      </c>
      <c r="C26" s="147" t="s">
        <v>18</v>
      </c>
      <c r="D26" s="16">
        <v>375</v>
      </c>
      <c r="E26" s="150"/>
      <c r="F26" s="189"/>
      <c r="G26" s="137"/>
      <c r="H26" s="150" t="s">
        <v>397</v>
      </c>
      <c r="I26" s="240"/>
      <c r="J26" s="236"/>
      <c r="K26" s="149" t="e">
        <f ca="1">MID(CELL("filename",#REF!),FIND("]",CELL("filename",#REF!))+1,255)</f>
        <v>#REF!</v>
      </c>
    </row>
    <row r="27" spans="1:11" ht="15.75" x14ac:dyDescent="0.25">
      <c r="A27" s="154">
        <v>11</v>
      </c>
      <c r="B27" s="246" t="s">
        <v>753</v>
      </c>
      <c r="C27" s="147" t="s">
        <v>18</v>
      </c>
      <c r="D27" s="17">
        <v>175</v>
      </c>
      <c r="E27" s="155">
        <v>43993</v>
      </c>
      <c r="F27" s="191"/>
      <c r="G27" s="158">
        <v>500</v>
      </c>
      <c r="H27" s="155" t="s">
        <v>397</v>
      </c>
      <c r="I27" s="239"/>
      <c r="J27" s="236"/>
      <c r="K27" s="148"/>
    </row>
    <row r="28" spans="1:11" ht="15.75" hidden="1" x14ac:dyDescent="0.25">
      <c r="A28" s="146">
        <v>18</v>
      </c>
      <c r="B28" s="246" t="s">
        <v>27</v>
      </c>
      <c r="C28" s="147" t="s">
        <v>758</v>
      </c>
      <c r="D28" s="16">
        <v>0</v>
      </c>
      <c r="E28" s="152"/>
      <c r="F28" s="190"/>
      <c r="G28" s="137"/>
      <c r="H28" s="153" t="s">
        <v>397</v>
      </c>
      <c r="I28" s="237"/>
      <c r="J28" s="236">
        <v>44049</v>
      </c>
      <c r="K28" s="149" t="e">
        <f ca="1">MID(CELL("filename",#REF!),FIND("]",CELL("filename",#REF!))+1,255)</f>
        <v>#REF!</v>
      </c>
    </row>
    <row r="29" spans="1:11" ht="15.75" x14ac:dyDescent="0.25">
      <c r="A29" s="358">
        <v>11</v>
      </c>
      <c r="B29" s="354" t="s">
        <v>753</v>
      </c>
      <c r="C29" s="147" t="s">
        <v>18</v>
      </c>
      <c r="D29" s="17">
        <v>100</v>
      </c>
      <c r="E29" s="155">
        <v>44326</v>
      </c>
      <c r="F29" s="191"/>
      <c r="G29" s="158">
        <v>100</v>
      </c>
      <c r="H29" s="155" t="s">
        <v>397</v>
      </c>
      <c r="I29" s="363"/>
      <c r="J29" s="379"/>
      <c r="K29" s="364"/>
    </row>
    <row r="30" spans="1:11" ht="15.75" x14ac:dyDescent="0.25">
      <c r="A30" s="146">
        <v>13</v>
      </c>
      <c r="B30" s="246" t="s">
        <v>21</v>
      </c>
      <c r="C30" s="147" t="s">
        <v>18</v>
      </c>
      <c r="D30" s="16">
        <v>100</v>
      </c>
      <c r="E30" s="150"/>
      <c r="F30" s="189"/>
      <c r="G30" s="137"/>
      <c r="H30" s="150" t="s">
        <v>397</v>
      </c>
      <c r="I30" s="237"/>
      <c r="J30" s="236"/>
      <c r="K30" s="149" t="str">
        <f ca="1">MID(CELL("filename",A29),FIND("]",CELL("filename",A29))+1,255)</f>
        <v>Solidos mas usados</v>
      </c>
    </row>
    <row r="31" spans="1:11" ht="15.75" x14ac:dyDescent="0.25">
      <c r="A31" s="146">
        <v>13</v>
      </c>
      <c r="B31" s="246" t="s">
        <v>21</v>
      </c>
      <c r="C31" s="147" t="s">
        <v>9</v>
      </c>
      <c r="D31" s="16">
        <v>250</v>
      </c>
      <c r="E31" s="152">
        <v>43902</v>
      </c>
      <c r="F31" s="190"/>
      <c r="G31" s="137"/>
      <c r="H31" s="153">
        <v>44895</v>
      </c>
      <c r="I31" s="237"/>
      <c r="J31" s="236"/>
      <c r="K31" s="149" t="e">
        <f ca="1">MID(CELL("filename",#REF!),FIND("]",CELL("filename",#REF!))+1,255)</f>
        <v>#REF!</v>
      </c>
    </row>
    <row r="32" spans="1:11" ht="15.75" x14ac:dyDescent="0.25">
      <c r="A32" s="146">
        <v>14</v>
      </c>
      <c r="B32" s="246" t="s">
        <v>22</v>
      </c>
      <c r="C32" s="147" t="s">
        <v>18</v>
      </c>
      <c r="D32" s="16">
        <v>50</v>
      </c>
      <c r="E32" s="150"/>
      <c r="F32" s="189"/>
      <c r="G32" s="137"/>
      <c r="H32" s="150" t="s">
        <v>397</v>
      </c>
      <c r="I32" s="240"/>
      <c r="J32" s="236"/>
      <c r="K32" s="149" t="str">
        <f ca="1">MID(CELL("filename",A30),FIND("]",CELL("filename",A30))+1,255)</f>
        <v>Solidos mas usados</v>
      </c>
    </row>
    <row r="33" spans="1:11" ht="15.75" x14ac:dyDescent="0.25">
      <c r="A33" s="303">
        <v>14</v>
      </c>
      <c r="B33" s="246" t="s">
        <v>22</v>
      </c>
      <c r="C33" s="304" t="s">
        <v>15</v>
      </c>
      <c r="D33" s="305">
        <v>1000</v>
      </c>
      <c r="E33" s="306">
        <v>44179</v>
      </c>
      <c r="F33" s="307"/>
      <c r="G33" s="308">
        <v>1000</v>
      </c>
      <c r="H33" s="306">
        <v>45960</v>
      </c>
      <c r="I33" s="309"/>
      <c r="J33" s="310"/>
      <c r="K33" s="311"/>
    </row>
    <row r="34" spans="1:11" ht="15.75" x14ac:dyDescent="0.25">
      <c r="A34" s="146">
        <v>15</v>
      </c>
      <c r="B34" s="246" t="s">
        <v>23</v>
      </c>
      <c r="C34" s="147" t="s">
        <v>15</v>
      </c>
      <c r="D34" s="16">
        <v>20</v>
      </c>
      <c r="E34" s="150"/>
      <c r="F34" s="189"/>
      <c r="G34" s="137"/>
      <c r="H34" s="150">
        <v>44346</v>
      </c>
      <c r="I34" s="237"/>
      <c r="J34" s="236"/>
      <c r="K34" s="149" t="str">
        <f ca="1">MID(CELL("filename",A33),FIND("]",CELL("filename",A33))+1,255)</f>
        <v>Solidos mas usados</v>
      </c>
    </row>
    <row r="35" spans="1:11" ht="15.75" x14ac:dyDescent="0.25">
      <c r="A35" s="245">
        <v>15</v>
      </c>
      <c r="B35" s="246" t="s">
        <v>23</v>
      </c>
      <c r="C35" s="247" t="s">
        <v>15</v>
      </c>
      <c r="D35" s="248">
        <v>500</v>
      </c>
      <c r="E35" s="256">
        <v>44082</v>
      </c>
      <c r="F35" s="249"/>
      <c r="G35" s="250">
        <v>500</v>
      </c>
      <c r="H35" s="256">
        <v>44956</v>
      </c>
      <c r="I35" s="251"/>
      <c r="J35" s="257"/>
      <c r="K35" s="252"/>
    </row>
    <row r="36" spans="1:11" ht="15.75" x14ac:dyDescent="0.25">
      <c r="A36" s="146">
        <v>16</v>
      </c>
      <c r="B36" s="246" t="s">
        <v>24</v>
      </c>
      <c r="C36" s="147"/>
      <c r="D36" s="16">
        <v>20</v>
      </c>
      <c r="E36" s="150"/>
      <c r="F36" s="189"/>
      <c r="G36" s="137"/>
      <c r="H36" s="150" t="s">
        <v>397</v>
      </c>
      <c r="I36" s="237"/>
      <c r="J36" s="236"/>
      <c r="K36" s="149" t="str">
        <f ca="1">MID(CELL("filename",A35),FIND("]",CELL("filename",A35))+1,255)</f>
        <v>Solidos mas usados</v>
      </c>
    </row>
    <row r="37" spans="1:11" ht="15.75" x14ac:dyDescent="0.25">
      <c r="A37" s="245">
        <v>16</v>
      </c>
      <c r="B37" s="246" t="s">
        <v>24</v>
      </c>
      <c r="C37" s="247" t="s">
        <v>15</v>
      </c>
      <c r="D37" s="248">
        <v>25</v>
      </c>
      <c r="E37" s="256">
        <v>44082</v>
      </c>
      <c r="F37" s="249"/>
      <c r="G37" s="250">
        <v>25</v>
      </c>
      <c r="H37" s="256">
        <v>45107</v>
      </c>
      <c r="I37" s="251"/>
      <c r="J37" s="257"/>
      <c r="K37" s="252"/>
    </row>
    <row r="38" spans="1:11" ht="15.75" x14ac:dyDescent="0.25">
      <c r="A38" s="401">
        <v>16</v>
      </c>
      <c r="B38" s="402" t="s">
        <v>24</v>
      </c>
      <c r="C38" s="403" t="s">
        <v>15</v>
      </c>
      <c r="D38" s="404">
        <v>25</v>
      </c>
      <c r="E38" s="405">
        <v>44369</v>
      </c>
      <c r="F38" s="406"/>
      <c r="G38" s="407">
        <v>25</v>
      </c>
      <c r="H38" s="405">
        <v>45107</v>
      </c>
      <c r="I38" s="408"/>
      <c r="J38" s="409"/>
      <c r="K38" s="410"/>
    </row>
    <row r="39" spans="1:11" ht="15.75" x14ac:dyDescent="0.25">
      <c r="A39" s="146">
        <v>17</v>
      </c>
      <c r="B39" s="246" t="s">
        <v>25</v>
      </c>
      <c r="C39" s="147" t="s">
        <v>18</v>
      </c>
      <c r="D39" s="16">
        <v>100</v>
      </c>
      <c r="E39" s="150"/>
      <c r="F39" s="189"/>
      <c r="G39" s="137"/>
      <c r="H39" s="150" t="s">
        <v>26</v>
      </c>
      <c r="I39" s="237"/>
      <c r="J39" s="236"/>
      <c r="K39" s="149" t="str">
        <f ca="1">MID(CELL("filename",A38),FIND("]",CELL("filename",A38))+1,255)</f>
        <v>Solidos mas usados</v>
      </c>
    </row>
    <row r="40" spans="1:11" ht="15.75" x14ac:dyDescent="0.25">
      <c r="A40" s="245">
        <v>17</v>
      </c>
      <c r="B40" s="246" t="s">
        <v>25</v>
      </c>
      <c r="C40" s="247" t="s">
        <v>11</v>
      </c>
      <c r="D40" s="248">
        <v>250</v>
      </c>
      <c r="E40" s="256">
        <v>44084</v>
      </c>
      <c r="F40" s="249"/>
      <c r="G40" s="250">
        <v>250</v>
      </c>
      <c r="H40" s="256">
        <v>45658</v>
      </c>
      <c r="I40" s="251"/>
      <c r="J40" s="257"/>
      <c r="K40" s="252"/>
    </row>
    <row r="41" spans="1:11" ht="15.75" hidden="1" x14ac:dyDescent="0.25">
      <c r="A41" s="146">
        <v>25</v>
      </c>
      <c r="B41" s="246" t="s">
        <v>35</v>
      </c>
      <c r="C41" s="147" t="s">
        <v>18</v>
      </c>
      <c r="D41" s="16"/>
      <c r="E41" s="152"/>
      <c r="F41" s="190"/>
      <c r="G41" s="137"/>
      <c r="H41" s="153" t="s">
        <v>397</v>
      </c>
      <c r="I41" s="237"/>
      <c r="J41" s="236">
        <v>44159</v>
      </c>
      <c r="K41" s="149" t="str">
        <f ca="1">MID(CELL("filename",A39),FIND("]",CELL("filename",A39))+1,255)</f>
        <v>Solidos mas usados</v>
      </c>
    </row>
    <row r="42" spans="1:11" ht="15.75" x14ac:dyDescent="0.25">
      <c r="A42" s="146">
        <v>18</v>
      </c>
      <c r="B42" s="246" t="s">
        <v>27</v>
      </c>
      <c r="C42" s="147" t="s">
        <v>28</v>
      </c>
      <c r="D42" s="16">
        <v>900</v>
      </c>
      <c r="E42" s="150"/>
      <c r="F42" s="189"/>
      <c r="G42" s="137"/>
      <c r="H42" s="150">
        <v>45689</v>
      </c>
      <c r="I42" s="237"/>
      <c r="J42" s="236"/>
      <c r="K42" s="149" t="str">
        <f ca="1">MID(CELL("filename",A41),FIND("]",CELL("filename",A41))+1,255)</f>
        <v>Solidos mas usados</v>
      </c>
    </row>
    <row r="43" spans="1:11" ht="15.75" hidden="1" x14ac:dyDescent="0.25">
      <c r="A43" s="146">
        <v>26</v>
      </c>
      <c r="B43" s="246" t="s">
        <v>36</v>
      </c>
      <c r="C43" s="147" t="s">
        <v>756</v>
      </c>
      <c r="D43" s="16">
        <v>0</v>
      </c>
      <c r="E43" s="150"/>
      <c r="F43" s="189"/>
      <c r="G43" s="137"/>
      <c r="H43" s="150" t="s">
        <v>397</v>
      </c>
      <c r="I43" s="237"/>
      <c r="J43" s="236">
        <v>44159</v>
      </c>
      <c r="K43" s="149" t="str">
        <f ca="1">MID(CELL("filename",A41),FIND("]",CELL("filename",A41))+1,255)</f>
        <v>Solidos mas usados</v>
      </c>
    </row>
    <row r="44" spans="1:11" ht="15.75" x14ac:dyDescent="0.25">
      <c r="A44" s="146">
        <v>19</v>
      </c>
      <c r="B44" s="246" t="s">
        <v>29</v>
      </c>
      <c r="C44" s="147" t="s">
        <v>18</v>
      </c>
      <c r="D44" s="16">
        <v>450</v>
      </c>
      <c r="E44" s="150"/>
      <c r="F44" s="189"/>
      <c r="G44" s="137"/>
      <c r="H44" s="150" t="s">
        <v>397</v>
      </c>
      <c r="I44" s="237"/>
      <c r="J44" s="236"/>
      <c r="K44" s="149" t="str">
        <f ca="1">MID(CELL("filename",A42),FIND("]",CELL("filename",A42))+1,255)</f>
        <v>Solidos mas usados</v>
      </c>
    </row>
    <row r="45" spans="1:11" ht="15.75" x14ac:dyDescent="0.25">
      <c r="A45" s="146">
        <v>20</v>
      </c>
      <c r="B45" s="246" t="s">
        <v>30</v>
      </c>
      <c r="C45" s="147" t="s">
        <v>11</v>
      </c>
      <c r="D45" s="16">
        <v>10</v>
      </c>
      <c r="E45" s="150"/>
      <c r="F45" s="189"/>
      <c r="G45" s="137"/>
      <c r="H45" s="150" t="s">
        <v>397</v>
      </c>
      <c r="I45" s="237"/>
      <c r="J45" s="236"/>
      <c r="K45" s="149" t="str">
        <f ca="1">MID(CELL("filename",A44),FIND("]",CELL("filename",A44))+1,255)</f>
        <v>Solidos mas usados</v>
      </c>
    </row>
    <row r="46" spans="1:11" ht="15.75" x14ac:dyDescent="0.25">
      <c r="A46" s="146">
        <v>21</v>
      </c>
      <c r="B46" s="246" t="s">
        <v>31</v>
      </c>
      <c r="C46" s="147" t="s">
        <v>15</v>
      </c>
      <c r="D46" s="16">
        <v>20</v>
      </c>
      <c r="E46" s="150"/>
      <c r="F46" s="189"/>
      <c r="G46" s="137"/>
      <c r="H46" s="150">
        <v>45534</v>
      </c>
      <c r="I46" s="237"/>
      <c r="J46" s="236"/>
      <c r="K46" s="149" t="str">
        <f ca="1">MID(CELL("filename",A45),FIND("]",CELL("filename",A45))+1,255)</f>
        <v>Solidos mas usados</v>
      </c>
    </row>
    <row r="47" spans="1:11" ht="15.75" x14ac:dyDescent="0.25">
      <c r="A47" s="146"/>
      <c r="B47" s="246" t="s">
        <v>906</v>
      </c>
      <c r="C47" s="147" t="s">
        <v>15</v>
      </c>
      <c r="D47" s="17">
        <v>100</v>
      </c>
      <c r="E47" s="155">
        <v>43993</v>
      </c>
      <c r="F47" s="191"/>
      <c r="G47" s="158">
        <v>100</v>
      </c>
      <c r="H47" s="155">
        <v>45412</v>
      </c>
      <c r="I47" s="239"/>
      <c r="J47" s="236"/>
      <c r="K47" s="148"/>
    </row>
    <row r="48" spans="1:11" ht="15.75" x14ac:dyDescent="0.25">
      <c r="A48" s="146">
        <v>22</v>
      </c>
      <c r="B48" s="246" t="s">
        <v>32</v>
      </c>
      <c r="C48" s="147" t="s">
        <v>408</v>
      </c>
      <c r="D48" s="16">
        <v>5</v>
      </c>
      <c r="E48" s="152"/>
      <c r="F48" s="190"/>
      <c r="G48" s="137"/>
      <c r="H48" s="153" t="s">
        <v>57</v>
      </c>
      <c r="I48" s="237"/>
      <c r="J48" s="236"/>
      <c r="K48" s="149" t="e">
        <f ca="1">MID(CELL("filename",#REF!),FIND("]",CELL("filename",#REF!))+1,255)</f>
        <v>#REF!</v>
      </c>
    </row>
    <row r="49" spans="1:11" ht="15.75" x14ac:dyDescent="0.25">
      <c r="A49" s="146">
        <v>23</v>
      </c>
      <c r="B49" s="246" t="s">
        <v>33</v>
      </c>
      <c r="C49" s="147" t="s">
        <v>11</v>
      </c>
      <c r="D49" s="16">
        <v>4</v>
      </c>
      <c r="E49" s="150"/>
      <c r="F49" s="189"/>
      <c r="G49" s="137"/>
      <c r="H49" s="150" t="s">
        <v>397</v>
      </c>
      <c r="I49" s="237"/>
      <c r="J49" s="236"/>
      <c r="K49" s="149" t="e">
        <f ca="1">MID(CELL("filename",#REF!),FIND("]",CELL("filename",#REF!))+1,255)</f>
        <v>#REF!</v>
      </c>
    </row>
    <row r="50" spans="1:11" ht="15.75" x14ac:dyDescent="0.25">
      <c r="A50" s="358">
        <v>23</v>
      </c>
      <c r="B50" s="354" t="s">
        <v>33</v>
      </c>
      <c r="C50" s="355" t="s">
        <v>15</v>
      </c>
      <c r="D50" s="359">
        <v>25</v>
      </c>
      <c r="E50" s="360">
        <v>44179</v>
      </c>
      <c r="F50" s="361"/>
      <c r="G50" s="362"/>
      <c r="H50" s="360">
        <v>45381</v>
      </c>
      <c r="I50" s="363"/>
      <c r="J50" s="356"/>
      <c r="K50" s="364"/>
    </row>
    <row r="51" spans="1:11" ht="15.75" x14ac:dyDescent="0.25">
      <c r="A51" s="146">
        <v>24</v>
      </c>
      <c r="B51" s="246" t="s">
        <v>34</v>
      </c>
      <c r="C51" s="147" t="s">
        <v>11</v>
      </c>
      <c r="D51" s="16">
        <v>3</v>
      </c>
      <c r="E51" s="150"/>
      <c r="F51" s="189"/>
      <c r="G51" s="137"/>
      <c r="H51" s="150" t="s">
        <v>397</v>
      </c>
      <c r="I51" s="237"/>
      <c r="J51" s="236"/>
      <c r="K51" s="149" t="str">
        <f ca="1">MID(CELL("filename",A50),FIND("]",CELL("filename",A50))+1,255)</f>
        <v>Solidos mas usados</v>
      </c>
    </row>
    <row r="52" spans="1:11" ht="15.75" x14ac:dyDescent="0.25">
      <c r="A52" s="146">
        <v>24</v>
      </c>
      <c r="B52" s="246" t="s">
        <v>34</v>
      </c>
      <c r="C52" s="147" t="s">
        <v>15</v>
      </c>
      <c r="D52" s="16">
        <v>250</v>
      </c>
      <c r="E52" s="152"/>
      <c r="F52" s="190"/>
      <c r="G52" s="137"/>
      <c r="H52" s="153">
        <v>44530</v>
      </c>
      <c r="I52" s="237"/>
      <c r="J52" s="236"/>
      <c r="K52" s="149" t="e">
        <f ca="1">MID(CELL("filename",#REF!),FIND("]",CELL("filename",#REF!))+1,255)</f>
        <v>#REF!</v>
      </c>
    </row>
    <row r="53" spans="1:11" ht="15.75" x14ac:dyDescent="0.25">
      <c r="A53" s="146">
        <v>25</v>
      </c>
      <c r="B53" s="246" t="s">
        <v>35</v>
      </c>
      <c r="C53" s="147" t="s">
        <v>15</v>
      </c>
      <c r="D53" s="16">
        <v>15</v>
      </c>
      <c r="E53" s="152"/>
      <c r="F53" s="190"/>
      <c r="G53" s="137"/>
      <c r="H53" s="153">
        <v>45168</v>
      </c>
      <c r="I53" s="237"/>
      <c r="J53" s="236"/>
      <c r="K53" s="149" t="str">
        <f ca="1">MID(CELL("filename",A51),FIND("]",CELL("filename",A51))+1,255)</f>
        <v>Solidos mas usados</v>
      </c>
    </row>
    <row r="54" spans="1:11" ht="15.75" x14ac:dyDescent="0.25">
      <c r="A54" s="154">
        <v>25</v>
      </c>
      <c r="B54" s="246" t="s">
        <v>35</v>
      </c>
      <c r="C54" s="147" t="s">
        <v>15</v>
      </c>
      <c r="D54" s="17">
        <v>100</v>
      </c>
      <c r="E54" s="155">
        <v>43993</v>
      </c>
      <c r="F54" s="191"/>
      <c r="G54" s="158">
        <v>100</v>
      </c>
      <c r="H54" s="155">
        <v>45746</v>
      </c>
      <c r="I54" s="239"/>
      <c r="J54" s="236"/>
      <c r="K54" s="148"/>
    </row>
    <row r="55" spans="1:11" ht="15.75" x14ac:dyDescent="0.25">
      <c r="A55" s="146">
        <v>26</v>
      </c>
      <c r="B55" s="246" t="s">
        <v>36</v>
      </c>
      <c r="C55" s="147" t="s">
        <v>18</v>
      </c>
      <c r="D55" s="16">
        <v>20</v>
      </c>
      <c r="E55" s="152"/>
      <c r="F55" s="190"/>
      <c r="G55" s="137"/>
      <c r="H55" s="153" t="s">
        <v>397</v>
      </c>
      <c r="I55" s="237"/>
      <c r="J55" s="236"/>
      <c r="K55" s="149" t="str">
        <f ca="1">MID(CELL("filename",A53),FIND("]",CELL("filename",A53))+1,255)</f>
        <v>Solidos mas usados</v>
      </c>
    </row>
    <row r="56" spans="1:11" ht="15.75" x14ac:dyDescent="0.25">
      <c r="A56" s="146">
        <v>27</v>
      </c>
      <c r="B56" s="246" t="s">
        <v>37</v>
      </c>
      <c r="C56" s="147" t="s">
        <v>18</v>
      </c>
      <c r="D56" s="16">
        <v>50</v>
      </c>
      <c r="E56" s="150"/>
      <c r="F56" s="189"/>
      <c r="G56" s="137"/>
      <c r="H56" s="150" t="s">
        <v>397</v>
      </c>
      <c r="I56" s="237"/>
      <c r="J56" s="236"/>
      <c r="K56" s="149" t="str">
        <f ca="1">MID(CELL("filename",A54),FIND("]",CELL("filename",A54))+1,255)</f>
        <v>Solidos mas usados</v>
      </c>
    </row>
    <row r="57" spans="1:11" ht="15.75" x14ac:dyDescent="0.25">
      <c r="A57" s="245">
        <v>27</v>
      </c>
      <c r="B57" s="246" t="s">
        <v>37</v>
      </c>
      <c r="C57" s="247" t="s">
        <v>15</v>
      </c>
      <c r="D57" s="248">
        <v>100</v>
      </c>
      <c r="E57" s="256">
        <v>44082</v>
      </c>
      <c r="F57" s="249"/>
      <c r="G57" s="250">
        <v>100</v>
      </c>
      <c r="H57" s="256">
        <v>45503</v>
      </c>
      <c r="I57" s="251"/>
      <c r="J57" s="257"/>
      <c r="K57" s="252"/>
    </row>
    <row r="58" spans="1:11" ht="15.75" x14ac:dyDescent="0.25">
      <c r="A58" s="303">
        <v>27</v>
      </c>
      <c r="B58" s="246" t="s">
        <v>37</v>
      </c>
      <c r="C58" s="304" t="s">
        <v>15</v>
      </c>
      <c r="D58" s="305">
        <v>250</v>
      </c>
      <c r="E58" s="306">
        <v>44175</v>
      </c>
      <c r="F58" s="307"/>
      <c r="G58" s="308">
        <v>250</v>
      </c>
      <c r="H58" s="306">
        <v>45503</v>
      </c>
      <c r="I58" s="309"/>
      <c r="J58" s="310"/>
      <c r="K58" s="311"/>
    </row>
    <row r="59" spans="1:11" ht="15.75" x14ac:dyDescent="0.25">
      <c r="A59" s="146">
        <v>28</v>
      </c>
      <c r="B59" s="246" t="s">
        <v>38</v>
      </c>
      <c r="C59" s="147" t="s">
        <v>18</v>
      </c>
      <c r="D59" s="16">
        <v>500</v>
      </c>
      <c r="E59" s="150"/>
      <c r="F59" s="189"/>
      <c r="G59" s="137"/>
      <c r="H59" s="150" t="s">
        <v>397</v>
      </c>
      <c r="I59" s="237"/>
      <c r="J59" s="236"/>
      <c r="K59" s="149" t="str">
        <f ca="1">MID(CELL("filename",A58),FIND("]",CELL("filename",A58))+1,255)</f>
        <v>Solidos mas usados</v>
      </c>
    </row>
    <row r="60" spans="1:11" ht="15.75" x14ac:dyDescent="0.25">
      <c r="A60" s="146">
        <v>29</v>
      </c>
      <c r="B60" s="246" t="s">
        <v>39</v>
      </c>
      <c r="C60" s="147" t="s">
        <v>15</v>
      </c>
      <c r="D60" s="16">
        <v>50</v>
      </c>
      <c r="E60" s="150"/>
      <c r="F60" s="189"/>
      <c r="G60" s="137"/>
      <c r="H60" s="150">
        <v>45229</v>
      </c>
      <c r="I60" s="237"/>
      <c r="J60" s="236"/>
      <c r="K60" s="149" t="str">
        <f ca="1">MID(CELL("filename",A59),FIND("]",CELL("filename",A59))+1,255)</f>
        <v>Solidos mas usados</v>
      </c>
    </row>
    <row r="61" spans="1:11" ht="15.75" x14ac:dyDescent="0.25">
      <c r="A61" s="303">
        <v>29</v>
      </c>
      <c r="B61" s="246" t="s">
        <v>39</v>
      </c>
      <c r="C61" s="304" t="s">
        <v>15</v>
      </c>
      <c r="D61" s="305">
        <v>250</v>
      </c>
      <c r="E61" s="306">
        <v>44175</v>
      </c>
      <c r="F61" s="307"/>
      <c r="G61" s="308">
        <v>250</v>
      </c>
      <c r="H61" s="306">
        <v>45229</v>
      </c>
      <c r="I61" s="309"/>
      <c r="J61" s="310"/>
      <c r="K61" s="311"/>
    </row>
    <row r="62" spans="1:11" ht="15.75" hidden="1" x14ac:dyDescent="0.25">
      <c r="A62" s="146">
        <v>39</v>
      </c>
      <c r="B62" s="246" t="s">
        <v>668</v>
      </c>
      <c r="C62" s="147" t="s">
        <v>18</v>
      </c>
      <c r="D62" s="16"/>
      <c r="E62" s="150"/>
      <c r="F62" s="189"/>
      <c r="G62" s="137"/>
      <c r="H62" s="150" t="s">
        <v>397</v>
      </c>
      <c r="I62" s="237"/>
      <c r="J62" s="236">
        <v>44159</v>
      </c>
      <c r="K62" s="149" t="str">
        <f ca="1">MID(CELL("filename",A61),FIND("]",CELL("filename",A61))+1,255)</f>
        <v>Solidos mas usados</v>
      </c>
    </row>
    <row r="63" spans="1:11" ht="15.75" x14ac:dyDescent="0.25">
      <c r="A63" s="146">
        <v>30</v>
      </c>
      <c r="B63" s="246" t="s">
        <v>40</v>
      </c>
      <c r="C63" s="147" t="s">
        <v>41</v>
      </c>
      <c r="D63" s="16">
        <v>300</v>
      </c>
      <c r="E63" s="150"/>
      <c r="F63" s="189"/>
      <c r="G63" s="137"/>
      <c r="H63" s="152" t="s">
        <v>397</v>
      </c>
      <c r="I63" s="241"/>
      <c r="J63" s="236"/>
      <c r="K63" s="149" t="str">
        <f ca="1">MID(CELL("filename",A62),FIND("]",CELL("filename",A62))+1,255)</f>
        <v>Solidos mas usados</v>
      </c>
    </row>
    <row r="64" spans="1:11" ht="15.75" x14ac:dyDescent="0.25">
      <c r="A64" s="146">
        <v>30</v>
      </c>
      <c r="B64" s="246" t="s">
        <v>40</v>
      </c>
      <c r="C64" s="147" t="s">
        <v>9</v>
      </c>
      <c r="D64" s="16">
        <v>40</v>
      </c>
      <c r="E64" s="152"/>
      <c r="F64" s="190"/>
      <c r="G64" s="137">
        <v>250</v>
      </c>
      <c r="H64" s="153" t="s">
        <v>397</v>
      </c>
      <c r="I64" s="237"/>
      <c r="J64" s="236"/>
      <c r="K64" s="149" t="e">
        <f ca="1">MID(CELL("filename",#REF!),FIND("]",CELL("filename",#REF!))+1,255)</f>
        <v>#REF!</v>
      </c>
    </row>
    <row r="65" spans="1:11" ht="31.5" hidden="1" x14ac:dyDescent="0.25">
      <c r="A65" s="146">
        <v>36</v>
      </c>
      <c r="B65" s="246" t="s">
        <v>46</v>
      </c>
      <c r="C65" s="147" t="s">
        <v>15</v>
      </c>
      <c r="D65" s="16"/>
      <c r="E65" s="152"/>
      <c r="F65" s="190"/>
      <c r="G65" s="137"/>
      <c r="H65" s="153">
        <v>44530</v>
      </c>
      <c r="I65" s="237" t="s">
        <v>1029</v>
      </c>
      <c r="J65" s="236">
        <v>44256</v>
      </c>
      <c r="K65" s="149" t="str">
        <f ca="1">MID(CELL("filename",A64),FIND("]",CELL("filename",A64))+1,255)</f>
        <v>Solidos mas usados</v>
      </c>
    </row>
    <row r="66" spans="1:11" ht="15.75" x14ac:dyDescent="0.25">
      <c r="A66" s="146">
        <v>32</v>
      </c>
      <c r="B66" s="246" t="s">
        <v>42</v>
      </c>
      <c r="C66" s="147" t="s">
        <v>15</v>
      </c>
      <c r="D66" s="16">
        <v>250</v>
      </c>
      <c r="E66" s="150"/>
      <c r="F66" s="189"/>
      <c r="G66" s="137">
        <v>250</v>
      </c>
      <c r="H66" s="150">
        <v>44499</v>
      </c>
      <c r="I66" s="237"/>
      <c r="J66" s="236"/>
      <c r="K66" s="149" t="str">
        <f ca="1">MID(CELL("filename",A64),FIND("]",CELL("filename",A64))+1,255)</f>
        <v>Solidos mas usados</v>
      </c>
    </row>
    <row r="67" spans="1:11" ht="15.75" x14ac:dyDescent="0.25">
      <c r="A67" s="146">
        <v>32</v>
      </c>
      <c r="B67" s="246" t="s">
        <v>42</v>
      </c>
      <c r="C67" s="147" t="s">
        <v>18</v>
      </c>
      <c r="D67" s="16">
        <v>400</v>
      </c>
      <c r="E67" s="152"/>
      <c r="F67" s="190"/>
      <c r="G67" s="137"/>
      <c r="H67" s="153" t="s">
        <v>397</v>
      </c>
      <c r="I67" s="237"/>
      <c r="J67" s="236"/>
      <c r="K67" s="149" t="str">
        <f ca="1">MID(CELL("filename",A65),FIND("]",CELL("filename",A65))+1,255)</f>
        <v>Solidos mas usados</v>
      </c>
    </row>
    <row r="68" spans="1:11" ht="15.75" x14ac:dyDescent="0.25">
      <c r="A68" s="146">
        <v>33</v>
      </c>
      <c r="B68" s="246" t="s">
        <v>43</v>
      </c>
      <c r="C68" s="147" t="s">
        <v>18</v>
      </c>
      <c r="D68" s="16">
        <v>150</v>
      </c>
      <c r="E68" s="150"/>
      <c r="F68" s="189"/>
      <c r="G68" s="137"/>
      <c r="H68" s="150" t="s">
        <v>397</v>
      </c>
      <c r="I68" s="237"/>
      <c r="J68" s="236"/>
      <c r="K68" s="149" t="str">
        <f ca="1">MID(CELL("filename",A66),FIND("]",CELL("filename",A66))+1,255)</f>
        <v>Solidos mas usados</v>
      </c>
    </row>
    <row r="69" spans="1:11" ht="15.75" x14ac:dyDescent="0.25">
      <c r="A69" s="154">
        <v>33</v>
      </c>
      <c r="B69" s="246" t="s">
        <v>43</v>
      </c>
      <c r="C69" s="147" t="s">
        <v>15</v>
      </c>
      <c r="D69" s="17">
        <v>500</v>
      </c>
      <c r="E69" s="155">
        <v>43993</v>
      </c>
      <c r="F69" s="191"/>
      <c r="G69" s="158">
        <v>500</v>
      </c>
      <c r="H69" s="155">
        <v>45595</v>
      </c>
      <c r="I69" s="239"/>
      <c r="J69" s="236"/>
      <c r="K69" s="148"/>
    </row>
    <row r="70" spans="1:11" ht="15.75" x14ac:dyDescent="0.25">
      <c r="A70" s="146">
        <v>43</v>
      </c>
      <c r="B70" s="246" t="s">
        <v>588</v>
      </c>
      <c r="C70" s="147" t="s">
        <v>15</v>
      </c>
      <c r="D70" s="16">
        <v>450</v>
      </c>
      <c r="E70" s="152"/>
      <c r="F70" s="190"/>
      <c r="G70" s="137">
        <v>500</v>
      </c>
      <c r="H70" s="153">
        <v>44134</v>
      </c>
      <c r="I70" s="238"/>
      <c r="J70" s="236"/>
      <c r="K70" s="149" t="e">
        <f ca="1">MID(CELL("filename",#REF!),FIND("]",CELL("filename",#REF!))+1,255)</f>
        <v>#REF!</v>
      </c>
    </row>
    <row r="71" spans="1:11" ht="15.75" x14ac:dyDescent="0.25">
      <c r="A71" s="154">
        <v>43</v>
      </c>
      <c r="B71" s="246" t="s">
        <v>588</v>
      </c>
      <c r="C71" s="147" t="s">
        <v>15</v>
      </c>
      <c r="D71" s="16">
        <v>100</v>
      </c>
      <c r="E71" s="90">
        <v>43879</v>
      </c>
      <c r="F71" s="147"/>
      <c r="G71" s="137"/>
      <c r="H71" s="155">
        <v>45321</v>
      </c>
      <c r="I71" s="15"/>
      <c r="J71" s="236"/>
      <c r="K71" s="148" t="str">
        <f ca="1">MID(CELL("filename",A69),FIND("]",CELL("filename",A69))+1,255)</f>
        <v>Solidos mas usados</v>
      </c>
    </row>
    <row r="72" spans="1:11" ht="15.75" x14ac:dyDescent="0.25">
      <c r="A72" s="146">
        <v>34</v>
      </c>
      <c r="B72" s="246" t="s">
        <v>44</v>
      </c>
      <c r="C72" s="147" t="s">
        <v>15</v>
      </c>
      <c r="D72" s="16">
        <v>100</v>
      </c>
      <c r="E72" s="256">
        <v>44082</v>
      </c>
      <c r="F72" s="249"/>
      <c r="G72" s="137"/>
      <c r="H72" s="152" t="s">
        <v>397</v>
      </c>
      <c r="I72" s="237"/>
      <c r="J72" s="236"/>
      <c r="K72" s="149" t="str">
        <f ca="1">MID(CELL("filename",A71),FIND("]",CELL("filename",A71))+1,255)</f>
        <v>Solidos mas usados</v>
      </c>
    </row>
    <row r="73" spans="1:11" ht="15.75" x14ac:dyDescent="0.25">
      <c r="A73" s="245">
        <v>34</v>
      </c>
      <c r="B73" s="246" t="s">
        <v>44</v>
      </c>
      <c r="C73" s="147" t="s">
        <v>9</v>
      </c>
      <c r="D73" s="248">
        <v>30</v>
      </c>
      <c r="E73" s="256">
        <v>43879</v>
      </c>
      <c r="F73" s="249"/>
      <c r="G73" s="250">
        <v>50</v>
      </c>
      <c r="H73" s="256">
        <v>45168</v>
      </c>
      <c r="I73" s="251"/>
      <c r="J73" s="257"/>
      <c r="K73" s="252"/>
    </row>
    <row r="74" spans="1:11" ht="15.75" x14ac:dyDescent="0.25">
      <c r="A74" s="303">
        <v>34</v>
      </c>
      <c r="B74" s="246" t="s">
        <v>44</v>
      </c>
      <c r="C74" s="304" t="s">
        <v>15</v>
      </c>
      <c r="D74" s="305">
        <v>250</v>
      </c>
      <c r="E74" s="306">
        <v>44175</v>
      </c>
      <c r="F74" s="307"/>
      <c r="G74" s="308">
        <v>250</v>
      </c>
      <c r="H74" s="306">
        <v>45168</v>
      </c>
      <c r="I74" s="309"/>
      <c r="J74" s="310"/>
      <c r="K74" s="311"/>
    </row>
    <row r="75" spans="1:11" ht="15.75" hidden="1" x14ac:dyDescent="0.25">
      <c r="A75" s="146" t="s">
        <v>49</v>
      </c>
      <c r="B75" s="246" t="s">
        <v>50</v>
      </c>
      <c r="C75" s="147" t="s">
        <v>18</v>
      </c>
      <c r="D75" s="16"/>
      <c r="E75" s="152"/>
      <c r="F75" s="190"/>
      <c r="G75" s="137"/>
      <c r="H75" s="150" t="s">
        <v>397</v>
      </c>
      <c r="I75" s="237"/>
      <c r="J75" s="236" t="s">
        <v>1050</v>
      </c>
      <c r="K75" s="149" t="str">
        <f ca="1">MID(CELL("filename",A74),FIND("]",CELL("filename",A74))+1,255)</f>
        <v>Solidos mas usados</v>
      </c>
    </row>
    <row r="76" spans="1:11" ht="15.75" hidden="1" x14ac:dyDescent="0.25">
      <c r="A76" s="146">
        <v>42</v>
      </c>
      <c r="B76" s="246" t="s">
        <v>671</v>
      </c>
      <c r="C76" s="147" t="s">
        <v>11</v>
      </c>
      <c r="D76" s="16">
        <v>0</v>
      </c>
      <c r="E76" s="150"/>
      <c r="F76" s="189"/>
      <c r="G76" s="137"/>
      <c r="H76" s="150" t="s">
        <v>397</v>
      </c>
      <c r="I76" s="237"/>
      <c r="J76" s="236">
        <v>44256</v>
      </c>
      <c r="K76" s="149" t="str">
        <f ca="1">MID(CELL("filename",A75),FIND("]",CELL("filename",A75))+1,255)</f>
        <v>Solidos mas usados</v>
      </c>
    </row>
    <row r="77" spans="1:11" ht="15.75" x14ac:dyDescent="0.25">
      <c r="A77" s="146">
        <v>35</v>
      </c>
      <c r="B77" s="246" t="s">
        <v>45</v>
      </c>
      <c r="C77" s="147" t="s">
        <v>15</v>
      </c>
      <c r="D77" s="16">
        <v>75</v>
      </c>
      <c r="E77" s="152"/>
      <c r="F77" s="190"/>
      <c r="G77" s="137">
        <v>1000</v>
      </c>
      <c r="H77" s="153">
        <v>44681</v>
      </c>
      <c r="I77" s="237"/>
      <c r="J77" s="236"/>
      <c r="K77" s="149" t="e">
        <f ca="1">MID(CELL("filename",#REF!),FIND("]",CELL("filename",#REF!))+1,255)</f>
        <v>#REF!</v>
      </c>
    </row>
    <row r="78" spans="1:11" ht="15.75" x14ac:dyDescent="0.25">
      <c r="A78" s="380">
        <v>35</v>
      </c>
      <c r="B78" s="354" t="s">
        <v>45</v>
      </c>
      <c r="C78" s="355" t="s">
        <v>18</v>
      </c>
      <c r="D78" s="381">
        <v>100</v>
      </c>
      <c r="E78" s="382">
        <v>44326</v>
      </c>
      <c r="F78" s="383"/>
      <c r="G78" s="384">
        <v>100</v>
      </c>
      <c r="H78" s="382" t="s">
        <v>397</v>
      </c>
      <c r="I78" s="385"/>
      <c r="J78" s="379"/>
      <c r="K78" s="364"/>
    </row>
    <row r="79" spans="1:11" ht="15.75" x14ac:dyDescent="0.25">
      <c r="A79" s="146">
        <v>36</v>
      </c>
      <c r="B79" s="246" t="s">
        <v>46</v>
      </c>
      <c r="C79" s="147" t="s">
        <v>15</v>
      </c>
      <c r="D79" s="16">
        <v>100</v>
      </c>
      <c r="E79" s="152">
        <v>44299</v>
      </c>
      <c r="F79" s="190"/>
      <c r="G79" s="137">
        <v>100</v>
      </c>
      <c r="H79" s="153">
        <v>45807</v>
      </c>
      <c r="I79" s="237"/>
      <c r="J79" s="236"/>
      <c r="K79" s="149"/>
    </row>
    <row r="80" spans="1:11" ht="15.75" x14ac:dyDescent="0.25">
      <c r="A80" s="156">
        <v>105</v>
      </c>
      <c r="B80" s="246" t="s">
        <v>52</v>
      </c>
      <c r="C80" s="147" t="s">
        <v>15</v>
      </c>
      <c r="D80" s="16">
        <v>45</v>
      </c>
      <c r="E80" s="153">
        <v>43879</v>
      </c>
      <c r="F80" s="190"/>
      <c r="G80" s="137">
        <v>50</v>
      </c>
      <c r="H80" s="152">
        <v>43860</v>
      </c>
      <c r="I80" s="237"/>
      <c r="J80" s="236"/>
      <c r="K80" s="149" t="str">
        <f ca="1">MID(CELL("filename",A79),FIND("]",CELL("filename",A79))+1,255)</f>
        <v>Solidos mas usados</v>
      </c>
    </row>
    <row r="81" spans="1:11" ht="15.75" x14ac:dyDescent="0.25">
      <c r="A81" s="245">
        <v>105</v>
      </c>
      <c r="B81" s="246" t="s">
        <v>52</v>
      </c>
      <c r="C81" s="247" t="s">
        <v>15</v>
      </c>
      <c r="D81" s="248">
        <v>100</v>
      </c>
      <c r="E81" s="256">
        <v>44082</v>
      </c>
      <c r="F81" s="249"/>
      <c r="G81" s="250">
        <v>50</v>
      </c>
      <c r="H81" s="256">
        <v>45473</v>
      </c>
      <c r="I81" s="251"/>
      <c r="J81" s="257"/>
      <c r="K81" s="252"/>
    </row>
    <row r="82" spans="1:11" ht="15.75" x14ac:dyDescent="0.25">
      <c r="A82" s="146">
        <v>37</v>
      </c>
      <c r="B82" s="246" t="s">
        <v>666</v>
      </c>
      <c r="C82" s="147" t="s">
        <v>18</v>
      </c>
      <c r="D82" s="16">
        <v>800</v>
      </c>
      <c r="E82" s="150"/>
      <c r="F82" s="189"/>
      <c r="G82" s="137"/>
      <c r="H82" s="150" t="s">
        <v>397</v>
      </c>
      <c r="I82" s="237"/>
      <c r="J82" s="236"/>
      <c r="K82" s="149" t="e">
        <f ca="1">MID(CELL("filename",#REF!),FIND("]",CELL("filename",#REF!))+1,255)</f>
        <v>#REF!</v>
      </c>
    </row>
    <row r="83" spans="1:11" ht="15.75" x14ac:dyDescent="0.25">
      <c r="A83" s="146">
        <v>44</v>
      </c>
      <c r="B83" s="246" t="s">
        <v>47</v>
      </c>
      <c r="C83" s="147" t="s">
        <v>15</v>
      </c>
      <c r="D83" s="16">
        <v>25</v>
      </c>
      <c r="E83" s="152"/>
      <c r="F83" s="190"/>
      <c r="G83" s="137"/>
      <c r="H83" s="153">
        <v>45412</v>
      </c>
      <c r="I83" s="237"/>
      <c r="J83" s="236"/>
      <c r="K83" s="149" t="str">
        <f ca="1">MID(CELL("filename",A82),FIND("]",CELL("filename",A82))+1,255)</f>
        <v>Solidos mas usados</v>
      </c>
    </row>
    <row r="84" spans="1:11" ht="15.75" x14ac:dyDescent="0.25">
      <c r="A84" s="245">
        <v>44</v>
      </c>
      <c r="B84" s="246" t="s">
        <v>47</v>
      </c>
      <c r="C84" s="247" t="s">
        <v>15</v>
      </c>
      <c r="D84" s="248">
        <v>50</v>
      </c>
      <c r="E84" s="256">
        <v>44082</v>
      </c>
      <c r="F84" s="249"/>
      <c r="G84" s="250">
        <v>50</v>
      </c>
      <c r="H84" s="256">
        <v>45412</v>
      </c>
      <c r="I84" s="251"/>
      <c r="J84" s="257"/>
      <c r="K84" s="252"/>
    </row>
    <row r="85" spans="1:11" ht="15.75" x14ac:dyDescent="0.25">
      <c r="A85" s="303">
        <v>44</v>
      </c>
      <c r="B85" s="246" t="s">
        <v>47</v>
      </c>
      <c r="C85" s="304" t="s">
        <v>15</v>
      </c>
      <c r="D85" s="305">
        <v>90</v>
      </c>
      <c r="E85" s="306">
        <v>44175</v>
      </c>
      <c r="F85" s="307"/>
      <c r="G85" s="308">
        <v>100</v>
      </c>
      <c r="H85" s="306">
        <v>45412</v>
      </c>
      <c r="I85" s="309"/>
      <c r="J85" s="310"/>
      <c r="K85" s="311"/>
    </row>
    <row r="86" spans="1:11" ht="15.75" x14ac:dyDescent="0.25">
      <c r="A86" s="411">
        <v>44</v>
      </c>
      <c r="B86" s="402" t="s">
        <v>47</v>
      </c>
      <c r="C86" s="403" t="s">
        <v>15</v>
      </c>
      <c r="D86" s="404">
        <v>50</v>
      </c>
      <c r="E86" s="405">
        <v>44369</v>
      </c>
      <c r="F86" s="406"/>
      <c r="G86" s="407">
        <v>50</v>
      </c>
      <c r="H86" s="405">
        <v>45412</v>
      </c>
      <c r="I86" s="408"/>
      <c r="J86" s="409"/>
      <c r="K86" s="410"/>
    </row>
    <row r="87" spans="1:11" ht="15.75" x14ac:dyDescent="0.25">
      <c r="A87" s="146">
        <v>38</v>
      </c>
      <c r="B87" s="246" t="s">
        <v>667</v>
      </c>
      <c r="C87" s="147" t="s">
        <v>9</v>
      </c>
      <c r="D87" s="16">
        <v>50</v>
      </c>
      <c r="E87" s="150"/>
      <c r="F87" s="189"/>
      <c r="G87" s="137"/>
      <c r="H87" s="150">
        <v>44620</v>
      </c>
      <c r="I87" s="237"/>
      <c r="J87" s="236"/>
      <c r="K87" s="149" t="str">
        <f ca="1">MID(CELL("filename",A86),FIND("]",CELL("filename",A86))+1,255)</f>
        <v>Solidos mas usados</v>
      </c>
    </row>
    <row r="88" spans="1:11" ht="15.75" hidden="1" x14ac:dyDescent="0.25">
      <c r="A88" s="146"/>
      <c r="B88" s="246" t="s">
        <v>673</v>
      </c>
      <c r="C88" s="147" t="s">
        <v>15</v>
      </c>
      <c r="D88" s="16">
        <v>0</v>
      </c>
      <c r="E88" s="150"/>
      <c r="F88" s="189"/>
      <c r="G88" s="137"/>
      <c r="H88" s="150">
        <v>44012</v>
      </c>
      <c r="I88" s="237"/>
      <c r="J88" s="236">
        <v>44159</v>
      </c>
      <c r="K88" s="149" t="e">
        <f ca="1">MID(CELL("filename",#REF!),FIND("]",CELL("filename",#REF!))+1,255)</f>
        <v>#REF!</v>
      </c>
    </row>
    <row r="89" spans="1:11" ht="15.75" x14ac:dyDescent="0.25">
      <c r="A89" s="245">
        <v>38</v>
      </c>
      <c r="B89" s="246" t="s">
        <v>667</v>
      </c>
      <c r="C89" s="247" t="s">
        <v>15</v>
      </c>
      <c r="D89" s="248">
        <v>500</v>
      </c>
      <c r="E89" s="256">
        <v>44082</v>
      </c>
      <c r="F89" s="249"/>
      <c r="G89" s="250">
        <v>250</v>
      </c>
      <c r="H89" s="256">
        <v>45076</v>
      </c>
      <c r="I89" s="251"/>
      <c r="J89" s="257"/>
      <c r="K89" s="252"/>
    </row>
    <row r="90" spans="1:11" ht="15.75" x14ac:dyDescent="0.25">
      <c r="A90" s="146"/>
      <c r="B90" s="246" t="s">
        <v>672</v>
      </c>
      <c r="C90" s="147" t="s">
        <v>11</v>
      </c>
      <c r="D90" s="16">
        <v>2300</v>
      </c>
      <c r="E90" s="150"/>
      <c r="F90" s="189"/>
      <c r="G90" s="137"/>
      <c r="H90" s="150">
        <v>44378</v>
      </c>
      <c r="I90" s="237"/>
      <c r="J90" s="236"/>
      <c r="K90" s="149" t="e">
        <f ca="1">MID(CELL("filename",#REF!),FIND("]",CELL("filename",#REF!))+1,255)</f>
        <v>#REF!</v>
      </c>
    </row>
    <row r="91" spans="1:11" ht="15.75" x14ac:dyDescent="0.25">
      <c r="A91" s="146"/>
      <c r="B91" s="246" t="s">
        <v>672</v>
      </c>
      <c r="C91" s="147" t="s">
        <v>18</v>
      </c>
      <c r="D91" s="16">
        <v>1000</v>
      </c>
      <c r="E91" s="152"/>
      <c r="F91" s="190"/>
      <c r="G91" s="137"/>
      <c r="H91" s="153" t="s">
        <v>397</v>
      </c>
      <c r="I91" s="237"/>
      <c r="J91" s="236"/>
      <c r="K91" s="149" t="e">
        <f ca="1">MID(CELL("filename",#REF!),FIND("]",CELL("filename",#REF!))+1,255)</f>
        <v>#REF!</v>
      </c>
    </row>
    <row r="92" spans="1:11" ht="15.75" x14ac:dyDescent="0.25">
      <c r="A92" s="154">
        <v>39</v>
      </c>
      <c r="B92" s="246" t="s">
        <v>668</v>
      </c>
      <c r="C92" s="147" t="s">
        <v>15</v>
      </c>
      <c r="D92" s="17">
        <v>80</v>
      </c>
      <c r="E92" s="155">
        <v>43993</v>
      </c>
      <c r="F92" s="191"/>
      <c r="G92" s="158">
        <v>500</v>
      </c>
      <c r="H92" s="155">
        <v>45076</v>
      </c>
      <c r="I92" s="239"/>
      <c r="J92" s="236"/>
      <c r="K92" s="148"/>
    </row>
    <row r="93" spans="1:11" ht="15.75" x14ac:dyDescent="0.25">
      <c r="A93" s="401">
        <v>39</v>
      </c>
      <c r="B93" s="402" t="s">
        <v>668</v>
      </c>
      <c r="C93" s="403" t="s">
        <v>18</v>
      </c>
      <c r="D93" s="404">
        <v>250</v>
      </c>
      <c r="E93" s="405">
        <v>44369</v>
      </c>
      <c r="F93" s="406"/>
      <c r="G93" s="407">
        <v>250</v>
      </c>
      <c r="H93" s="150" t="s">
        <v>397</v>
      </c>
      <c r="I93" s="408"/>
      <c r="J93" s="409"/>
      <c r="K93" s="410"/>
    </row>
    <row r="94" spans="1:11" ht="15.75" x14ac:dyDescent="0.25">
      <c r="A94" s="401">
        <v>39</v>
      </c>
      <c r="B94" s="402" t="s">
        <v>668</v>
      </c>
      <c r="C94" s="403" t="s">
        <v>18</v>
      </c>
      <c r="D94" s="404">
        <v>250</v>
      </c>
      <c r="E94" s="405">
        <v>44369</v>
      </c>
      <c r="F94" s="406"/>
      <c r="G94" s="407">
        <v>250</v>
      </c>
      <c r="H94" s="150" t="s">
        <v>397</v>
      </c>
      <c r="I94" s="408"/>
      <c r="J94" s="409"/>
      <c r="K94" s="410"/>
    </row>
    <row r="95" spans="1:11" ht="15.75" x14ac:dyDescent="0.25">
      <c r="A95" s="146"/>
      <c r="B95" s="246" t="s">
        <v>587</v>
      </c>
      <c r="C95" s="147" t="s">
        <v>15</v>
      </c>
      <c r="D95" s="16">
        <v>300</v>
      </c>
      <c r="E95" s="150"/>
      <c r="F95" s="189"/>
      <c r="G95" s="137"/>
      <c r="H95" s="150">
        <v>45321</v>
      </c>
      <c r="I95" s="237"/>
      <c r="J95" s="236"/>
      <c r="K95" s="149" t="str">
        <f ca="1">MID(CELL("filename",A93),FIND("]",CELL("filename",A93))+1,255)</f>
        <v>Solidos mas usados</v>
      </c>
    </row>
    <row r="96" spans="1:11" ht="15.75" x14ac:dyDescent="0.25">
      <c r="A96" s="146"/>
      <c r="B96" s="246" t="s">
        <v>587</v>
      </c>
      <c r="C96" s="147" t="s">
        <v>18</v>
      </c>
      <c r="D96" s="16">
        <v>1300</v>
      </c>
      <c r="E96" s="152"/>
      <c r="F96" s="190"/>
      <c r="G96" s="137"/>
      <c r="H96" s="153">
        <v>44682</v>
      </c>
      <c r="I96" s="237"/>
      <c r="J96" s="236"/>
      <c r="K96" s="149" t="str">
        <f ca="1">MID(CELL("filename",A94),FIND("]",CELL("filename",A94))+1,255)</f>
        <v>Solidos mas usados</v>
      </c>
    </row>
    <row r="97" spans="1:11" ht="15.75" hidden="1" x14ac:dyDescent="0.25">
      <c r="A97" s="154"/>
      <c r="B97" s="246" t="s">
        <v>587</v>
      </c>
      <c r="C97" s="147" t="s">
        <v>15</v>
      </c>
      <c r="D97" s="17"/>
      <c r="E97" s="155">
        <v>43993</v>
      </c>
      <c r="F97" s="191">
        <v>6222019</v>
      </c>
      <c r="G97" s="158">
        <v>1000</v>
      </c>
      <c r="H97" s="155">
        <v>45442</v>
      </c>
      <c r="I97" s="239"/>
      <c r="J97" s="236">
        <v>44256</v>
      </c>
      <c r="K97" s="148"/>
    </row>
    <row r="98" spans="1:11" ht="15.75" x14ac:dyDescent="0.25">
      <c r="A98" s="245"/>
      <c r="B98" s="246" t="s">
        <v>587</v>
      </c>
      <c r="C98" s="247" t="s">
        <v>15</v>
      </c>
      <c r="D98" s="248">
        <v>5000</v>
      </c>
      <c r="E98" s="256">
        <v>44082</v>
      </c>
      <c r="F98" s="249"/>
      <c r="G98" s="250">
        <v>5000</v>
      </c>
      <c r="H98" s="256">
        <v>45442</v>
      </c>
      <c r="I98" s="251"/>
      <c r="J98" s="257"/>
      <c r="K98" s="252"/>
    </row>
    <row r="99" spans="1:11" ht="15.75" x14ac:dyDescent="0.25">
      <c r="A99" s="146">
        <v>40</v>
      </c>
      <c r="B99" s="246" t="s">
        <v>669</v>
      </c>
      <c r="C99" s="147" t="s">
        <v>18</v>
      </c>
      <c r="D99" s="16">
        <v>90</v>
      </c>
      <c r="E99" s="150"/>
      <c r="F99" s="189"/>
      <c r="G99" s="137"/>
      <c r="H99" s="150" t="s">
        <v>397</v>
      </c>
      <c r="I99" s="237"/>
      <c r="J99" s="236"/>
      <c r="K99" s="149" t="str">
        <f ca="1">MID(CELL("filename",A98),FIND("]",CELL("filename",A98))+1,255)</f>
        <v>Solidos mas usados</v>
      </c>
    </row>
    <row r="100" spans="1:11" ht="15.75" x14ac:dyDescent="0.25">
      <c r="A100" s="245">
        <v>40</v>
      </c>
      <c r="B100" s="246" t="s">
        <v>669</v>
      </c>
      <c r="C100" s="247" t="s">
        <v>15</v>
      </c>
      <c r="D100" s="248">
        <v>100</v>
      </c>
      <c r="E100" s="256">
        <v>44082</v>
      </c>
      <c r="F100" s="249"/>
      <c r="G100" s="250">
        <v>100</v>
      </c>
      <c r="H100" s="256">
        <v>45412</v>
      </c>
      <c r="I100" s="251"/>
      <c r="J100" s="257"/>
      <c r="K100" s="252"/>
    </row>
    <row r="101" spans="1:11" ht="15.75" x14ac:dyDescent="0.25">
      <c r="A101" s="303">
        <v>40</v>
      </c>
      <c r="B101" s="246" t="s">
        <v>669</v>
      </c>
      <c r="C101" s="304" t="s">
        <v>15</v>
      </c>
      <c r="D101" s="305">
        <v>100</v>
      </c>
      <c r="E101" s="306">
        <v>44175</v>
      </c>
      <c r="F101" s="307"/>
      <c r="G101" s="308">
        <v>100</v>
      </c>
      <c r="H101" s="306">
        <v>45746</v>
      </c>
      <c r="I101" s="309"/>
      <c r="J101" s="310"/>
      <c r="K101" s="311"/>
    </row>
    <row r="102" spans="1:11" ht="15.75" x14ac:dyDescent="0.25">
      <c r="A102" s="146"/>
      <c r="B102" s="246" t="s">
        <v>673</v>
      </c>
      <c r="C102" s="147" t="s">
        <v>18</v>
      </c>
      <c r="D102" s="16">
        <v>4350</v>
      </c>
      <c r="E102" s="152">
        <v>43621</v>
      </c>
      <c r="F102" s="190"/>
      <c r="G102" s="137"/>
      <c r="H102" s="153" t="s">
        <v>397</v>
      </c>
      <c r="I102" s="237"/>
      <c r="J102" s="236"/>
      <c r="K102" s="149" t="str">
        <f ca="1">MID(CELL("filename",A100),FIND("]",CELL("filename",A100))+1,255)</f>
        <v>Solidos mas usados</v>
      </c>
    </row>
    <row r="103" spans="1:11" ht="15.75" x14ac:dyDescent="0.25">
      <c r="A103" s="146">
        <v>41</v>
      </c>
      <c r="B103" s="246" t="s">
        <v>670</v>
      </c>
      <c r="C103" s="147" t="s">
        <v>18</v>
      </c>
      <c r="D103" s="16">
        <v>400</v>
      </c>
      <c r="E103" s="150"/>
      <c r="F103" s="189"/>
      <c r="G103" s="137"/>
      <c r="H103" s="150" t="s">
        <v>397</v>
      </c>
      <c r="I103" s="237"/>
      <c r="J103" s="236"/>
      <c r="K103" s="149" t="str">
        <f ca="1">MID(CELL("filename",A102),FIND("]",CELL("filename",A102))+1,255)</f>
        <v>Solidos mas usados</v>
      </c>
    </row>
    <row r="104" spans="1:11" ht="15.75" x14ac:dyDescent="0.25">
      <c r="A104" s="245">
        <v>42</v>
      </c>
      <c r="B104" s="246" t="s">
        <v>671</v>
      </c>
      <c r="C104" s="247" t="s">
        <v>1031</v>
      </c>
      <c r="D104" s="248">
        <v>100</v>
      </c>
      <c r="E104" s="256">
        <v>44082</v>
      </c>
      <c r="F104" s="249"/>
      <c r="G104" s="250">
        <v>100</v>
      </c>
      <c r="H104" s="256">
        <v>44742</v>
      </c>
      <c r="I104" s="251"/>
      <c r="J104" s="257"/>
      <c r="K104" s="252"/>
    </row>
    <row r="105" spans="1:11" ht="15.75" x14ac:dyDescent="0.25">
      <c r="A105" s="303">
        <v>115</v>
      </c>
      <c r="B105" s="246" t="s">
        <v>1051</v>
      </c>
      <c r="C105" s="304" t="s">
        <v>15</v>
      </c>
      <c r="D105" s="305">
        <v>10</v>
      </c>
      <c r="E105" s="306">
        <v>44179</v>
      </c>
      <c r="F105" s="307"/>
      <c r="G105" s="308">
        <v>10</v>
      </c>
      <c r="H105" s="306">
        <v>44772</v>
      </c>
      <c r="I105" s="309"/>
      <c r="J105" s="310"/>
      <c r="K105" s="311"/>
    </row>
  </sheetData>
  <sheetProtection sheet="1" objects="1" scenarios="1" formatColumns="0" formatRows="0" sort="0" autoFilter="0"/>
  <sortState xmlns:xlrd2="http://schemas.microsoft.com/office/spreadsheetml/2017/richdata2" ref="A3:K69">
    <sortCondition ref="A3:A69"/>
  </sortState>
  <mergeCells count="1">
    <mergeCell ref="E1:J1"/>
  </mergeCells>
  <phoneticPr fontId="2" type="noConversion"/>
  <conditionalFormatting sqref="H3:H65 H67:H68">
    <cfRule type="cellIs" dxfId="6" priority="4" operator="lessThan">
      <formula>NOW()</formula>
    </cfRule>
  </conditionalFormatting>
  <conditionalFormatting sqref="H66">
    <cfRule type="cellIs" dxfId="5" priority="3" operator="lessThan">
      <formula>NOW()</formula>
    </cfRule>
  </conditionalFormatting>
  <conditionalFormatting sqref="H100">
    <cfRule type="cellIs" dxfId="4" priority="2" operator="lessThan">
      <formula>NOW()</formula>
    </cfRule>
  </conditionalFormatting>
  <conditionalFormatting sqref="H101">
    <cfRule type="cellIs" dxfId="3" priority="1" operator="lessThan">
      <formula>NOW()</formula>
    </cfRule>
  </conditionalFormatting>
  <hyperlinks>
    <hyperlink ref="A1" location="'Estado general'!A12" display="General" xr:uid="{00000000-0004-0000-0D00-000000000000}"/>
    <hyperlink ref="D1" location="'Insumos a comprar'!A1" display="A comprar" xr:uid="{00000000-0004-0000-0D00-000001000000}"/>
  </hyperlinks>
  <pageMargins left="0.7" right="0.7" top="0.75" bottom="0.75" header="0.3" footer="0.3"/>
  <pageSetup scale="45"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prompt="Nombre del insumo con el catión primero" xr:uid="{00000000-0002-0000-0D00-000000000000}">
          <x14:formula1>
            <xm:f>Datos!$A$2:$A$100</xm:f>
          </x14:formula1>
          <xm:sqref>B3:B105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14DCE"/>
    <pageSetUpPr fitToPage="1"/>
  </sheetPr>
  <dimension ref="A1:J75"/>
  <sheetViews>
    <sheetView showGridLines="0" zoomScaleNormal="100" workbookViewId="0">
      <selection activeCell="F74" sqref="F74"/>
    </sheetView>
  </sheetViews>
  <sheetFormatPr defaultColWidth="11.42578125" defaultRowHeight="12.75" x14ac:dyDescent="0.2"/>
  <cols>
    <col min="1" max="1" width="8.140625" style="128" bestFit="1" customWidth="1"/>
    <col min="2" max="2" width="42.28515625" style="118" customWidth="1"/>
    <col min="3" max="3" width="17" style="80" bestFit="1" customWidth="1"/>
    <col min="4" max="4" width="12.85546875" style="80" customWidth="1"/>
    <col min="5" max="5" width="16.5703125" style="80" customWidth="1"/>
    <col min="6" max="6" width="15" style="80" customWidth="1"/>
    <col min="7" max="7" width="12.42578125" style="80" customWidth="1"/>
    <col min="8" max="8" width="20.42578125" style="80" customWidth="1"/>
    <col min="9" max="9" width="28.42578125" style="80" bestFit="1" customWidth="1"/>
    <col min="10" max="10" width="16.5703125" style="80" bestFit="1" customWidth="1"/>
    <col min="11" max="246" width="11.42578125" style="80"/>
    <col min="247" max="248" width="5.42578125" style="80" customWidth="1"/>
    <col min="249" max="249" width="52" style="80" customWidth="1"/>
    <col min="250" max="251" width="13" style="80" customWidth="1"/>
    <col min="252" max="252" width="12.85546875" style="80" customWidth="1"/>
    <col min="253" max="253" width="7.140625" style="80" customWidth="1"/>
    <col min="254" max="254" width="12.42578125" style="80" customWidth="1"/>
    <col min="255" max="255" width="30" style="80" customWidth="1"/>
    <col min="256" max="256" width="10.140625" style="80" customWidth="1"/>
    <col min="257" max="257" width="13.28515625" style="80" customWidth="1"/>
    <col min="258" max="258" width="7.42578125" style="80" customWidth="1"/>
    <col min="259" max="259" width="6.42578125" style="80" customWidth="1"/>
    <col min="260" max="261" width="11.42578125" style="80"/>
    <col min="262" max="262" width="31.7109375" style="80" customWidth="1"/>
    <col min="263" max="263" width="22.85546875" style="80" customWidth="1"/>
    <col min="264" max="265" width="20.7109375" style="80" customWidth="1"/>
    <col min="266" max="502" width="11.42578125" style="80"/>
    <col min="503" max="504" width="5.42578125" style="80" customWidth="1"/>
    <col min="505" max="505" width="52" style="80" customWidth="1"/>
    <col min="506" max="507" width="13" style="80" customWidth="1"/>
    <col min="508" max="508" width="12.85546875" style="80" customWidth="1"/>
    <col min="509" max="509" width="7.140625" style="80" customWidth="1"/>
    <col min="510" max="510" width="12.42578125" style="80" customWidth="1"/>
    <col min="511" max="511" width="30" style="80" customWidth="1"/>
    <col min="512" max="512" width="10.140625" style="80" customWidth="1"/>
    <col min="513" max="513" width="13.28515625" style="80" customWidth="1"/>
    <col min="514" max="514" width="7.42578125" style="80" customWidth="1"/>
    <col min="515" max="515" width="6.42578125" style="80" customWidth="1"/>
    <col min="516" max="517" width="11.42578125" style="80"/>
    <col min="518" max="518" width="31.7109375" style="80" customWidth="1"/>
    <col min="519" max="519" width="22.85546875" style="80" customWidth="1"/>
    <col min="520" max="521" width="20.7109375" style="80" customWidth="1"/>
    <col min="522" max="758" width="11.42578125" style="80"/>
    <col min="759" max="760" width="5.42578125" style="80" customWidth="1"/>
    <col min="761" max="761" width="52" style="80" customWidth="1"/>
    <col min="762" max="763" width="13" style="80" customWidth="1"/>
    <col min="764" max="764" width="12.85546875" style="80" customWidth="1"/>
    <col min="765" max="765" width="7.140625" style="80" customWidth="1"/>
    <col min="766" max="766" width="12.42578125" style="80" customWidth="1"/>
    <col min="767" max="767" width="30" style="80" customWidth="1"/>
    <col min="768" max="768" width="10.140625" style="80" customWidth="1"/>
    <col min="769" max="769" width="13.28515625" style="80" customWidth="1"/>
    <col min="770" max="770" width="7.42578125" style="80" customWidth="1"/>
    <col min="771" max="771" width="6.42578125" style="80" customWidth="1"/>
    <col min="772" max="773" width="11.42578125" style="80"/>
    <col min="774" max="774" width="31.7109375" style="80" customWidth="1"/>
    <col min="775" max="775" width="22.85546875" style="80" customWidth="1"/>
    <col min="776" max="777" width="20.7109375" style="80" customWidth="1"/>
    <col min="778" max="1014" width="11.42578125" style="80"/>
    <col min="1015" max="1016" width="5.42578125" style="80" customWidth="1"/>
    <col min="1017" max="1017" width="52" style="80" customWidth="1"/>
    <col min="1018" max="1019" width="13" style="80" customWidth="1"/>
    <col min="1020" max="1020" width="12.85546875" style="80" customWidth="1"/>
    <col min="1021" max="1021" width="7.140625" style="80" customWidth="1"/>
    <col min="1022" max="1022" width="12.42578125" style="80" customWidth="1"/>
    <col min="1023" max="1023" width="30" style="80" customWidth="1"/>
    <col min="1024" max="1024" width="10.140625" style="80" customWidth="1"/>
    <col min="1025" max="1025" width="13.28515625" style="80" customWidth="1"/>
    <col min="1026" max="1026" width="7.42578125" style="80" customWidth="1"/>
    <col min="1027" max="1027" width="6.42578125" style="80" customWidth="1"/>
    <col min="1028" max="1029" width="11.42578125" style="80"/>
    <col min="1030" max="1030" width="31.7109375" style="80" customWidth="1"/>
    <col min="1031" max="1031" width="22.85546875" style="80" customWidth="1"/>
    <col min="1032" max="1033" width="20.7109375" style="80" customWidth="1"/>
    <col min="1034" max="1270" width="11.42578125" style="80"/>
    <col min="1271" max="1272" width="5.42578125" style="80" customWidth="1"/>
    <col min="1273" max="1273" width="52" style="80" customWidth="1"/>
    <col min="1274" max="1275" width="13" style="80" customWidth="1"/>
    <col min="1276" max="1276" width="12.85546875" style="80" customWidth="1"/>
    <col min="1277" max="1277" width="7.140625" style="80" customWidth="1"/>
    <col min="1278" max="1278" width="12.42578125" style="80" customWidth="1"/>
    <col min="1279" max="1279" width="30" style="80" customWidth="1"/>
    <col min="1280" max="1280" width="10.140625" style="80" customWidth="1"/>
    <col min="1281" max="1281" width="13.28515625" style="80" customWidth="1"/>
    <col min="1282" max="1282" width="7.42578125" style="80" customWidth="1"/>
    <col min="1283" max="1283" width="6.42578125" style="80" customWidth="1"/>
    <col min="1284" max="1285" width="11.42578125" style="80"/>
    <col min="1286" max="1286" width="31.7109375" style="80" customWidth="1"/>
    <col min="1287" max="1287" width="22.85546875" style="80" customWidth="1"/>
    <col min="1288" max="1289" width="20.7109375" style="80" customWidth="1"/>
    <col min="1290" max="1526" width="11.42578125" style="80"/>
    <col min="1527" max="1528" width="5.42578125" style="80" customWidth="1"/>
    <col min="1529" max="1529" width="52" style="80" customWidth="1"/>
    <col min="1530" max="1531" width="13" style="80" customWidth="1"/>
    <col min="1532" max="1532" width="12.85546875" style="80" customWidth="1"/>
    <col min="1533" max="1533" width="7.140625" style="80" customWidth="1"/>
    <col min="1534" max="1534" width="12.42578125" style="80" customWidth="1"/>
    <col min="1535" max="1535" width="30" style="80" customWidth="1"/>
    <col min="1536" max="1536" width="10.140625" style="80" customWidth="1"/>
    <col min="1537" max="1537" width="13.28515625" style="80" customWidth="1"/>
    <col min="1538" max="1538" width="7.42578125" style="80" customWidth="1"/>
    <col min="1539" max="1539" width="6.42578125" style="80" customWidth="1"/>
    <col min="1540" max="1541" width="11.42578125" style="80"/>
    <col min="1542" max="1542" width="31.7109375" style="80" customWidth="1"/>
    <col min="1543" max="1543" width="22.85546875" style="80" customWidth="1"/>
    <col min="1544" max="1545" width="20.7109375" style="80" customWidth="1"/>
    <col min="1546" max="1782" width="11.42578125" style="80"/>
    <col min="1783" max="1784" width="5.42578125" style="80" customWidth="1"/>
    <col min="1785" max="1785" width="52" style="80" customWidth="1"/>
    <col min="1786" max="1787" width="13" style="80" customWidth="1"/>
    <col min="1788" max="1788" width="12.85546875" style="80" customWidth="1"/>
    <col min="1789" max="1789" width="7.140625" style="80" customWidth="1"/>
    <col min="1790" max="1790" width="12.42578125" style="80" customWidth="1"/>
    <col min="1791" max="1791" width="30" style="80" customWidth="1"/>
    <col min="1792" max="1792" width="10.140625" style="80" customWidth="1"/>
    <col min="1793" max="1793" width="13.28515625" style="80" customWidth="1"/>
    <col min="1794" max="1794" width="7.42578125" style="80" customWidth="1"/>
    <col min="1795" max="1795" width="6.42578125" style="80" customWidth="1"/>
    <col min="1796" max="1797" width="11.42578125" style="80"/>
    <col min="1798" max="1798" width="31.7109375" style="80" customWidth="1"/>
    <col min="1799" max="1799" width="22.85546875" style="80" customWidth="1"/>
    <col min="1800" max="1801" width="20.7109375" style="80" customWidth="1"/>
    <col min="1802" max="2038" width="11.42578125" style="80"/>
    <col min="2039" max="2040" width="5.42578125" style="80" customWidth="1"/>
    <col min="2041" max="2041" width="52" style="80" customWidth="1"/>
    <col min="2042" max="2043" width="13" style="80" customWidth="1"/>
    <col min="2044" max="2044" width="12.85546875" style="80" customWidth="1"/>
    <col min="2045" max="2045" width="7.140625" style="80" customWidth="1"/>
    <col min="2046" max="2046" width="12.42578125" style="80" customWidth="1"/>
    <col min="2047" max="2047" width="30" style="80" customWidth="1"/>
    <col min="2048" max="2048" width="10.140625" style="80" customWidth="1"/>
    <col min="2049" max="2049" width="13.28515625" style="80" customWidth="1"/>
    <col min="2050" max="2050" width="7.42578125" style="80" customWidth="1"/>
    <col min="2051" max="2051" width="6.42578125" style="80" customWidth="1"/>
    <col min="2052" max="2053" width="11.42578125" style="80"/>
    <col min="2054" max="2054" width="31.7109375" style="80" customWidth="1"/>
    <col min="2055" max="2055" width="22.85546875" style="80" customWidth="1"/>
    <col min="2056" max="2057" width="20.7109375" style="80" customWidth="1"/>
    <col min="2058" max="2294" width="11.42578125" style="80"/>
    <col min="2295" max="2296" width="5.42578125" style="80" customWidth="1"/>
    <col min="2297" max="2297" width="52" style="80" customWidth="1"/>
    <col min="2298" max="2299" width="13" style="80" customWidth="1"/>
    <col min="2300" max="2300" width="12.85546875" style="80" customWidth="1"/>
    <col min="2301" max="2301" width="7.140625" style="80" customWidth="1"/>
    <col min="2302" max="2302" width="12.42578125" style="80" customWidth="1"/>
    <col min="2303" max="2303" width="30" style="80" customWidth="1"/>
    <col min="2304" max="2304" width="10.140625" style="80" customWidth="1"/>
    <col min="2305" max="2305" width="13.28515625" style="80" customWidth="1"/>
    <col min="2306" max="2306" width="7.42578125" style="80" customWidth="1"/>
    <col min="2307" max="2307" width="6.42578125" style="80" customWidth="1"/>
    <col min="2308" max="2309" width="11.42578125" style="80"/>
    <col min="2310" max="2310" width="31.7109375" style="80" customWidth="1"/>
    <col min="2311" max="2311" width="22.85546875" style="80" customWidth="1"/>
    <col min="2312" max="2313" width="20.7109375" style="80" customWidth="1"/>
    <col min="2314" max="2550" width="11.42578125" style="80"/>
    <col min="2551" max="2552" width="5.42578125" style="80" customWidth="1"/>
    <col min="2553" max="2553" width="52" style="80" customWidth="1"/>
    <col min="2554" max="2555" width="13" style="80" customWidth="1"/>
    <col min="2556" max="2556" width="12.85546875" style="80" customWidth="1"/>
    <col min="2557" max="2557" width="7.140625" style="80" customWidth="1"/>
    <col min="2558" max="2558" width="12.42578125" style="80" customWidth="1"/>
    <col min="2559" max="2559" width="30" style="80" customWidth="1"/>
    <col min="2560" max="2560" width="10.140625" style="80" customWidth="1"/>
    <col min="2561" max="2561" width="13.28515625" style="80" customWidth="1"/>
    <col min="2562" max="2562" width="7.42578125" style="80" customWidth="1"/>
    <col min="2563" max="2563" width="6.42578125" style="80" customWidth="1"/>
    <col min="2564" max="2565" width="11.42578125" style="80"/>
    <col min="2566" max="2566" width="31.7109375" style="80" customWidth="1"/>
    <col min="2567" max="2567" width="22.85546875" style="80" customWidth="1"/>
    <col min="2568" max="2569" width="20.7109375" style="80" customWidth="1"/>
    <col min="2570" max="2806" width="11.42578125" style="80"/>
    <col min="2807" max="2808" width="5.42578125" style="80" customWidth="1"/>
    <col min="2809" max="2809" width="52" style="80" customWidth="1"/>
    <col min="2810" max="2811" width="13" style="80" customWidth="1"/>
    <col min="2812" max="2812" width="12.85546875" style="80" customWidth="1"/>
    <col min="2813" max="2813" width="7.140625" style="80" customWidth="1"/>
    <col min="2814" max="2814" width="12.42578125" style="80" customWidth="1"/>
    <col min="2815" max="2815" width="30" style="80" customWidth="1"/>
    <col min="2816" max="2816" width="10.140625" style="80" customWidth="1"/>
    <col min="2817" max="2817" width="13.28515625" style="80" customWidth="1"/>
    <col min="2818" max="2818" width="7.42578125" style="80" customWidth="1"/>
    <col min="2819" max="2819" width="6.42578125" style="80" customWidth="1"/>
    <col min="2820" max="2821" width="11.42578125" style="80"/>
    <col min="2822" max="2822" width="31.7109375" style="80" customWidth="1"/>
    <col min="2823" max="2823" width="22.85546875" style="80" customWidth="1"/>
    <col min="2824" max="2825" width="20.7109375" style="80" customWidth="1"/>
    <col min="2826" max="3062" width="11.42578125" style="80"/>
    <col min="3063" max="3064" width="5.42578125" style="80" customWidth="1"/>
    <col min="3065" max="3065" width="52" style="80" customWidth="1"/>
    <col min="3066" max="3067" width="13" style="80" customWidth="1"/>
    <col min="3068" max="3068" width="12.85546875" style="80" customWidth="1"/>
    <col min="3069" max="3069" width="7.140625" style="80" customWidth="1"/>
    <col min="3070" max="3070" width="12.42578125" style="80" customWidth="1"/>
    <col min="3071" max="3071" width="30" style="80" customWidth="1"/>
    <col min="3072" max="3072" width="10.140625" style="80" customWidth="1"/>
    <col min="3073" max="3073" width="13.28515625" style="80" customWidth="1"/>
    <col min="3074" max="3074" width="7.42578125" style="80" customWidth="1"/>
    <col min="3075" max="3075" width="6.42578125" style="80" customWidth="1"/>
    <col min="3076" max="3077" width="11.42578125" style="80"/>
    <col min="3078" max="3078" width="31.7109375" style="80" customWidth="1"/>
    <col min="3079" max="3079" width="22.85546875" style="80" customWidth="1"/>
    <col min="3080" max="3081" width="20.7109375" style="80" customWidth="1"/>
    <col min="3082" max="3318" width="11.42578125" style="80"/>
    <col min="3319" max="3320" width="5.42578125" style="80" customWidth="1"/>
    <col min="3321" max="3321" width="52" style="80" customWidth="1"/>
    <col min="3322" max="3323" width="13" style="80" customWidth="1"/>
    <col min="3324" max="3324" width="12.85546875" style="80" customWidth="1"/>
    <col min="3325" max="3325" width="7.140625" style="80" customWidth="1"/>
    <col min="3326" max="3326" width="12.42578125" style="80" customWidth="1"/>
    <col min="3327" max="3327" width="30" style="80" customWidth="1"/>
    <col min="3328" max="3328" width="10.140625" style="80" customWidth="1"/>
    <col min="3329" max="3329" width="13.28515625" style="80" customWidth="1"/>
    <col min="3330" max="3330" width="7.42578125" style="80" customWidth="1"/>
    <col min="3331" max="3331" width="6.42578125" style="80" customWidth="1"/>
    <col min="3332" max="3333" width="11.42578125" style="80"/>
    <col min="3334" max="3334" width="31.7109375" style="80" customWidth="1"/>
    <col min="3335" max="3335" width="22.85546875" style="80" customWidth="1"/>
    <col min="3336" max="3337" width="20.7109375" style="80" customWidth="1"/>
    <col min="3338" max="3574" width="11.42578125" style="80"/>
    <col min="3575" max="3576" width="5.42578125" style="80" customWidth="1"/>
    <col min="3577" max="3577" width="52" style="80" customWidth="1"/>
    <col min="3578" max="3579" width="13" style="80" customWidth="1"/>
    <col min="3580" max="3580" width="12.85546875" style="80" customWidth="1"/>
    <col min="3581" max="3581" width="7.140625" style="80" customWidth="1"/>
    <col min="3582" max="3582" width="12.42578125" style="80" customWidth="1"/>
    <col min="3583" max="3583" width="30" style="80" customWidth="1"/>
    <col min="3584" max="3584" width="10.140625" style="80" customWidth="1"/>
    <col min="3585" max="3585" width="13.28515625" style="80" customWidth="1"/>
    <col min="3586" max="3586" width="7.42578125" style="80" customWidth="1"/>
    <col min="3587" max="3587" width="6.42578125" style="80" customWidth="1"/>
    <col min="3588" max="3589" width="11.42578125" style="80"/>
    <col min="3590" max="3590" width="31.7109375" style="80" customWidth="1"/>
    <col min="3591" max="3591" width="22.85546875" style="80" customWidth="1"/>
    <col min="3592" max="3593" width="20.7109375" style="80" customWidth="1"/>
    <col min="3594" max="3830" width="11.42578125" style="80"/>
    <col min="3831" max="3832" width="5.42578125" style="80" customWidth="1"/>
    <col min="3833" max="3833" width="52" style="80" customWidth="1"/>
    <col min="3834" max="3835" width="13" style="80" customWidth="1"/>
    <col min="3836" max="3836" width="12.85546875" style="80" customWidth="1"/>
    <col min="3837" max="3837" width="7.140625" style="80" customWidth="1"/>
    <col min="3838" max="3838" width="12.42578125" style="80" customWidth="1"/>
    <col min="3839" max="3839" width="30" style="80" customWidth="1"/>
    <col min="3840" max="3840" width="10.140625" style="80" customWidth="1"/>
    <col min="3841" max="3841" width="13.28515625" style="80" customWidth="1"/>
    <col min="3842" max="3842" width="7.42578125" style="80" customWidth="1"/>
    <col min="3843" max="3843" width="6.42578125" style="80" customWidth="1"/>
    <col min="3844" max="3845" width="11.42578125" style="80"/>
    <col min="3846" max="3846" width="31.7109375" style="80" customWidth="1"/>
    <col min="3847" max="3847" width="22.85546875" style="80" customWidth="1"/>
    <col min="3848" max="3849" width="20.7109375" style="80" customWidth="1"/>
    <col min="3850" max="4086" width="11.42578125" style="80"/>
    <col min="4087" max="4088" width="5.42578125" style="80" customWidth="1"/>
    <col min="4089" max="4089" width="52" style="80" customWidth="1"/>
    <col min="4090" max="4091" width="13" style="80" customWidth="1"/>
    <col min="4092" max="4092" width="12.85546875" style="80" customWidth="1"/>
    <col min="4093" max="4093" width="7.140625" style="80" customWidth="1"/>
    <col min="4094" max="4094" width="12.42578125" style="80" customWidth="1"/>
    <col min="4095" max="4095" width="30" style="80" customWidth="1"/>
    <col min="4096" max="4096" width="10.140625" style="80" customWidth="1"/>
    <col min="4097" max="4097" width="13.28515625" style="80" customWidth="1"/>
    <col min="4098" max="4098" width="7.42578125" style="80" customWidth="1"/>
    <col min="4099" max="4099" width="6.42578125" style="80" customWidth="1"/>
    <col min="4100" max="4101" width="11.42578125" style="80"/>
    <col min="4102" max="4102" width="31.7109375" style="80" customWidth="1"/>
    <col min="4103" max="4103" width="22.85546875" style="80" customWidth="1"/>
    <col min="4104" max="4105" width="20.7109375" style="80" customWidth="1"/>
    <col min="4106" max="4342" width="11.42578125" style="80"/>
    <col min="4343" max="4344" width="5.42578125" style="80" customWidth="1"/>
    <col min="4345" max="4345" width="52" style="80" customWidth="1"/>
    <col min="4346" max="4347" width="13" style="80" customWidth="1"/>
    <col min="4348" max="4348" width="12.85546875" style="80" customWidth="1"/>
    <col min="4349" max="4349" width="7.140625" style="80" customWidth="1"/>
    <col min="4350" max="4350" width="12.42578125" style="80" customWidth="1"/>
    <col min="4351" max="4351" width="30" style="80" customWidth="1"/>
    <col min="4352" max="4352" width="10.140625" style="80" customWidth="1"/>
    <col min="4353" max="4353" width="13.28515625" style="80" customWidth="1"/>
    <col min="4354" max="4354" width="7.42578125" style="80" customWidth="1"/>
    <col min="4355" max="4355" width="6.42578125" style="80" customWidth="1"/>
    <col min="4356" max="4357" width="11.42578125" style="80"/>
    <col min="4358" max="4358" width="31.7109375" style="80" customWidth="1"/>
    <col min="4359" max="4359" width="22.85546875" style="80" customWidth="1"/>
    <col min="4360" max="4361" width="20.7109375" style="80" customWidth="1"/>
    <col min="4362" max="4598" width="11.42578125" style="80"/>
    <col min="4599" max="4600" width="5.42578125" style="80" customWidth="1"/>
    <col min="4601" max="4601" width="52" style="80" customWidth="1"/>
    <col min="4602" max="4603" width="13" style="80" customWidth="1"/>
    <col min="4604" max="4604" width="12.85546875" style="80" customWidth="1"/>
    <col min="4605" max="4605" width="7.140625" style="80" customWidth="1"/>
    <col min="4606" max="4606" width="12.42578125" style="80" customWidth="1"/>
    <col min="4607" max="4607" width="30" style="80" customWidth="1"/>
    <col min="4608" max="4608" width="10.140625" style="80" customWidth="1"/>
    <col min="4609" max="4609" width="13.28515625" style="80" customWidth="1"/>
    <col min="4610" max="4610" width="7.42578125" style="80" customWidth="1"/>
    <col min="4611" max="4611" width="6.42578125" style="80" customWidth="1"/>
    <col min="4612" max="4613" width="11.42578125" style="80"/>
    <col min="4614" max="4614" width="31.7109375" style="80" customWidth="1"/>
    <col min="4615" max="4615" width="22.85546875" style="80" customWidth="1"/>
    <col min="4616" max="4617" width="20.7109375" style="80" customWidth="1"/>
    <col min="4618" max="4854" width="11.42578125" style="80"/>
    <col min="4855" max="4856" width="5.42578125" style="80" customWidth="1"/>
    <col min="4857" max="4857" width="52" style="80" customWidth="1"/>
    <col min="4858" max="4859" width="13" style="80" customWidth="1"/>
    <col min="4860" max="4860" width="12.85546875" style="80" customWidth="1"/>
    <col min="4861" max="4861" width="7.140625" style="80" customWidth="1"/>
    <col min="4862" max="4862" width="12.42578125" style="80" customWidth="1"/>
    <col min="4863" max="4863" width="30" style="80" customWidth="1"/>
    <col min="4864" max="4864" width="10.140625" style="80" customWidth="1"/>
    <col min="4865" max="4865" width="13.28515625" style="80" customWidth="1"/>
    <col min="4866" max="4866" width="7.42578125" style="80" customWidth="1"/>
    <col min="4867" max="4867" width="6.42578125" style="80" customWidth="1"/>
    <col min="4868" max="4869" width="11.42578125" style="80"/>
    <col min="4870" max="4870" width="31.7109375" style="80" customWidth="1"/>
    <col min="4871" max="4871" width="22.85546875" style="80" customWidth="1"/>
    <col min="4872" max="4873" width="20.7109375" style="80" customWidth="1"/>
    <col min="4874" max="5110" width="11.42578125" style="80"/>
    <col min="5111" max="5112" width="5.42578125" style="80" customWidth="1"/>
    <col min="5113" max="5113" width="52" style="80" customWidth="1"/>
    <col min="5114" max="5115" width="13" style="80" customWidth="1"/>
    <col min="5116" max="5116" width="12.85546875" style="80" customWidth="1"/>
    <col min="5117" max="5117" width="7.140625" style="80" customWidth="1"/>
    <col min="5118" max="5118" width="12.42578125" style="80" customWidth="1"/>
    <col min="5119" max="5119" width="30" style="80" customWidth="1"/>
    <col min="5120" max="5120" width="10.140625" style="80" customWidth="1"/>
    <col min="5121" max="5121" width="13.28515625" style="80" customWidth="1"/>
    <col min="5122" max="5122" width="7.42578125" style="80" customWidth="1"/>
    <col min="5123" max="5123" width="6.42578125" style="80" customWidth="1"/>
    <col min="5124" max="5125" width="11.42578125" style="80"/>
    <col min="5126" max="5126" width="31.7109375" style="80" customWidth="1"/>
    <col min="5127" max="5127" width="22.85546875" style="80" customWidth="1"/>
    <col min="5128" max="5129" width="20.7109375" style="80" customWidth="1"/>
    <col min="5130" max="5366" width="11.42578125" style="80"/>
    <col min="5367" max="5368" width="5.42578125" style="80" customWidth="1"/>
    <col min="5369" max="5369" width="52" style="80" customWidth="1"/>
    <col min="5370" max="5371" width="13" style="80" customWidth="1"/>
    <col min="5372" max="5372" width="12.85546875" style="80" customWidth="1"/>
    <col min="5373" max="5373" width="7.140625" style="80" customWidth="1"/>
    <col min="5374" max="5374" width="12.42578125" style="80" customWidth="1"/>
    <col min="5375" max="5375" width="30" style="80" customWidth="1"/>
    <col min="5376" max="5376" width="10.140625" style="80" customWidth="1"/>
    <col min="5377" max="5377" width="13.28515625" style="80" customWidth="1"/>
    <col min="5378" max="5378" width="7.42578125" style="80" customWidth="1"/>
    <col min="5379" max="5379" width="6.42578125" style="80" customWidth="1"/>
    <col min="5380" max="5381" width="11.42578125" style="80"/>
    <col min="5382" max="5382" width="31.7109375" style="80" customWidth="1"/>
    <col min="5383" max="5383" width="22.85546875" style="80" customWidth="1"/>
    <col min="5384" max="5385" width="20.7109375" style="80" customWidth="1"/>
    <col min="5386" max="5622" width="11.42578125" style="80"/>
    <col min="5623" max="5624" width="5.42578125" style="80" customWidth="1"/>
    <col min="5625" max="5625" width="52" style="80" customWidth="1"/>
    <col min="5626" max="5627" width="13" style="80" customWidth="1"/>
    <col min="5628" max="5628" width="12.85546875" style="80" customWidth="1"/>
    <col min="5629" max="5629" width="7.140625" style="80" customWidth="1"/>
    <col min="5630" max="5630" width="12.42578125" style="80" customWidth="1"/>
    <col min="5631" max="5631" width="30" style="80" customWidth="1"/>
    <col min="5632" max="5632" width="10.140625" style="80" customWidth="1"/>
    <col min="5633" max="5633" width="13.28515625" style="80" customWidth="1"/>
    <col min="5634" max="5634" width="7.42578125" style="80" customWidth="1"/>
    <col min="5635" max="5635" width="6.42578125" style="80" customWidth="1"/>
    <col min="5636" max="5637" width="11.42578125" style="80"/>
    <col min="5638" max="5638" width="31.7109375" style="80" customWidth="1"/>
    <col min="5639" max="5639" width="22.85546875" style="80" customWidth="1"/>
    <col min="5640" max="5641" width="20.7109375" style="80" customWidth="1"/>
    <col min="5642" max="5878" width="11.42578125" style="80"/>
    <col min="5879" max="5880" width="5.42578125" style="80" customWidth="1"/>
    <col min="5881" max="5881" width="52" style="80" customWidth="1"/>
    <col min="5882" max="5883" width="13" style="80" customWidth="1"/>
    <col min="5884" max="5884" width="12.85546875" style="80" customWidth="1"/>
    <col min="5885" max="5885" width="7.140625" style="80" customWidth="1"/>
    <col min="5886" max="5886" width="12.42578125" style="80" customWidth="1"/>
    <col min="5887" max="5887" width="30" style="80" customWidth="1"/>
    <col min="5888" max="5888" width="10.140625" style="80" customWidth="1"/>
    <col min="5889" max="5889" width="13.28515625" style="80" customWidth="1"/>
    <col min="5890" max="5890" width="7.42578125" style="80" customWidth="1"/>
    <col min="5891" max="5891" width="6.42578125" style="80" customWidth="1"/>
    <col min="5892" max="5893" width="11.42578125" style="80"/>
    <col min="5894" max="5894" width="31.7109375" style="80" customWidth="1"/>
    <col min="5895" max="5895" width="22.85546875" style="80" customWidth="1"/>
    <col min="5896" max="5897" width="20.7109375" style="80" customWidth="1"/>
    <col min="5898" max="6134" width="11.42578125" style="80"/>
    <col min="6135" max="6136" width="5.42578125" style="80" customWidth="1"/>
    <col min="6137" max="6137" width="52" style="80" customWidth="1"/>
    <col min="6138" max="6139" width="13" style="80" customWidth="1"/>
    <col min="6140" max="6140" width="12.85546875" style="80" customWidth="1"/>
    <col min="6141" max="6141" width="7.140625" style="80" customWidth="1"/>
    <col min="6142" max="6142" width="12.42578125" style="80" customWidth="1"/>
    <col min="6143" max="6143" width="30" style="80" customWidth="1"/>
    <col min="6144" max="6144" width="10.140625" style="80" customWidth="1"/>
    <col min="6145" max="6145" width="13.28515625" style="80" customWidth="1"/>
    <col min="6146" max="6146" width="7.42578125" style="80" customWidth="1"/>
    <col min="6147" max="6147" width="6.42578125" style="80" customWidth="1"/>
    <col min="6148" max="6149" width="11.42578125" style="80"/>
    <col min="6150" max="6150" width="31.7109375" style="80" customWidth="1"/>
    <col min="6151" max="6151" width="22.85546875" style="80" customWidth="1"/>
    <col min="6152" max="6153" width="20.7109375" style="80" customWidth="1"/>
    <col min="6154" max="6390" width="11.42578125" style="80"/>
    <col min="6391" max="6392" width="5.42578125" style="80" customWidth="1"/>
    <col min="6393" max="6393" width="52" style="80" customWidth="1"/>
    <col min="6394" max="6395" width="13" style="80" customWidth="1"/>
    <col min="6396" max="6396" width="12.85546875" style="80" customWidth="1"/>
    <col min="6397" max="6397" width="7.140625" style="80" customWidth="1"/>
    <col min="6398" max="6398" width="12.42578125" style="80" customWidth="1"/>
    <col min="6399" max="6399" width="30" style="80" customWidth="1"/>
    <col min="6400" max="6400" width="10.140625" style="80" customWidth="1"/>
    <col min="6401" max="6401" width="13.28515625" style="80" customWidth="1"/>
    <col min="6402" max="6402" width="7.42578125" style="80" customWidth="1"/>
    <col min="6403" max="6403" width="6.42578125" style="80" customWidth="1"/>
    <col min="6404" max="6405" width="11.42578125" style="80"/>
    <col min="6406" max="6406" width="31.7109375" style="80" customWidth="1"/>
    <col min="6407" max="6407" width="22.85546875" style="80" customWidth="1"/>
    <col min="6408" max="6409" width="20.7109375" style="80" customWidth="1"/>
    <col min="6410" max="6646" width="11.42578125" style="80"/>
    <col min="6647" max="6648" width="5.42578125" style="80" customWidth="1"/>
    <col min="6649" max="6649" width="52" style="80" customWidth="1"/>
    <col min="6650" max="6651" width="13" style="80" customWidth="1"/>
    <col min="6652" max="6652" width="12.85546875" style="80" customWidth="1"/>
    <col min="6653" max="6653" width="7.140625" style="80" customWidth="1"/>
    <col min="6654" max="6654" width="12.42578125" style="80" customWidth="1"/>
    <col min="6655" max="6655" width="30" style="80" customWidth="1"/>
    <col min="6656" max="6656" width="10.140625" style="80" customWidth="1"/>
    <col min="6657" max="6657" width="13.28515625" style="80" customWidth="1"/>
    <col min="6658" max="6658" width="7.42578125" style="80" customWidth="1"/>
    <col min="6659" max="6659" width="6.42578125" style="80" customWidth="1"/>
    <col min="6660" max="6661" width="11.42578125" style="80"/>
    <col min="6662" max="6662" width="31.7109375" style="80" customWidth="1"/>
    <col min="6663" max="6663" width="22.85546875" style="80" customWidth="1"/>
    <col min="6664" max="6665" width="20.7109375" style="80" customWidth="1"/>
    <col min="6666" max="6902" width="11.42578125" style="80"/>
    <col min="6903" max="6904" width="5.42578125" style="80" customWidth="1"/>
    <col min="6905" max="6905" width="52" style="80" customWidth="1"/>
    <col min="6906" max="6907" width="13" style="80" customWidth="1"/>
    <col min="6908" max="6908" width="12.85546875" style="80" customWidth="1"/>
    <col min="6909" max="6909" width="7.140625" style="80" customWidth="1"/>
    <col min="6910" max="6910" width="12.42578125" style="80" customWidth="1"/>
    <col min="6911" max="6911" width="30" style="80" customWidth="1"/>
    <col min="6912" max="6912" width="10.140625" style="80" customWidth="1"/>
    <col min="6913" max="6913" width="13.28515625" style="80" customWidth="1"/>
    <col min="6914" max="6914" width="7.42578125" style="80" customWidth="1"/>
    <col min="6915" max="6915" width="6.42578125" style="80" customWidth="1"/>
    <col min="6916" max="6917" width="11.42578125" style="80"/>
    <col min="6918" max="6918" width="31.7109375" style="80" customWidth="1"/>
    <col min="6919" max="6919" width="22.85546875" style="80" customWidth="1"/>
    <col min="6920" max="6921" width="20.7109375" style="80" customWidth="1"/>
    <col min="6922" max="7158" width="11.42578125" style="80"/>
    <col min="7159" max="7160" width="5.42578125" style="80" customWidth="1"/>
    <col min="7161" max="7161" width="52" style="80" customWidth="1"/>
    <col min="7162" max="7163" width="13" style="80" customWidth="1"/>
    <col min="7164" max="7164" width="12.85546875" style="80" customWidth="1"/>
    <col min="7165" max="7165" width="7.140625" style="80" customWidth="1"/>
    <col min="7166" max="7166" width="12.42578125" style="80" customWidth="1"/>
    <col min="7167" max="7167" width="30" style="80" customWidth="1"/>
    <col min="7168" max="7168" width="10.140625" style="80" customWidth="1"/>
    <col min="7169" max="7169" width="13.28515625" style="80" customWidth="1"/>
    <col min="7170" max="7170" width="7.42578125" style="80" customWidth="1"/>
    <col min="7171" max="7171" width="6.42578125" style="80" customWidth="1"/>
    <col min="7172" max="7173" width="11.42578125" style="80"/>
    <col min="7174" max="7174" width="31.7109375" style="80" customWidth="1"/>
    <col min="7175" max="7175" width="22.85546875" style="80" customWidth="1"/>
    <col min="7176" max="7177" width="20.7109375" style="80" customWidth="1"/>
    <col min="7178" max="7414" width="11.42578125" style="80"/>
    <col min="7415" max="7416" width="5.42578125" style="80" customWidth="1"/>
    <col min="7417" max="7417" width="52" style="80" customWidth="1"/>
    <col min="7418" max="7419" width="13" style="80" customWidth="1"/>
    <col min="7420" max="7420" width="12.85546875" style="80" customWidth="1"/>
    <col min="7421" max="7421" width="7.140625" style="80" customWidth="1"/>
    <col min="7422" max="7422" width="12.42578125" style="80" customWidth="1"/>
    <col min="7423" max="7423" width="30" style="80" customWidth="1"/>
    <col min="7424" max="7424" width="10.140625" style="80" customWidth="1"/>
    <col min="7425" max="7425" width="13.28515625" style="80" customWidth="1"/>
    <col min="7426" max="7426" width="7.42578125" style="80" customWidth="1"/>
    <col min="7427" max="7427" width="6.42578125" style="80" customWidth="1"/>
    <col min="7428" max="7429" width="11.42578125" style="80"/>
    <col min="7430" max="7430" width="31.7109375" style="80" customWidth="1"/>
    <col min="7431" max="7431" width="22.85546875" style="80" customWidth="1"/>
    <col min="7432" max="7433" width="20.7109375" style="80" customWidth="1"/>
    <col min="7434" max="7670" width="11.42578125" style="80"/>
    <col min="7671" max="7672" width="5.42578125" style="80" customWidth="1"/>
    <col min="7673" max="7673" width="52" style="80" customWidth="1"/>
    <col min="7674" max="7675" width="13" style="80" customWidth="1"/>
    <col min="7676" max="7676" width="12.85546875" style="80" customWidth="1"/>
    <col min="7677" max="7677" width="7.140625" style="80" customWidth="1"/>
    <col min="7678" max="7678" width="12.42578125" style="80" customWidth="1"/>
    <col min="7679" max="7679" width="30" style="80" customWidth="1"/>
    <col min="7680" max="7680" width="10.140625" style="80" customWidth="1"/>
    <col min="7681" max="7681" width="13.28515625" style="80" customWidth="1"/>
    <col min="7682" max="7682" width="7.42578125" style="80" customWidth="1"/>
    <col min="7683" max="7683" width="6.42578125" style="80" customWidth="1"/>
    <col min="7684" max="7685" width="11.42578125" style="80"/>
    <col min="7686" max="7686" width="31.7109375" style="80" customWidth="1"/>
    <col min="7687" max="7687" width="22.85546875" style="80" customWidth="1"/>
    <col min="7688" max="7689" width="20.7109375" style="80" customWidth="1"/>
    <col min="7690" max="7926" width="11.42578125" style="80"/>
    <col min="7927" max="7928" width="5.42578125" style="80" customWidth="1"/>
    <col min="7929" max="7929" width="52" style="80" customWidth="1"/>
    <col min="7930" max="7931" width="13" style="80" customWidth="1"/>
    <col min="7932" max="7932" width="12.85546875" style="80" customWidth="1"/>
    <col min="7933" max="7933" width="7.140625" style="80" customWidth="1"/>
    <col min="7934" max="7934" width="12.42578125" style="80" customWidth="1"/>
    <col min="7935" max="7935" width="30" style="80" customWidth="1"/>
    <col min="7936" max="7936" width="10.140625" style="80" customWidth="1"/>
    <col min="7937" max="7937" width="13.28515625" style="80" customWidth="1"/>
    <col min="7938" max="7938" width="7.42578125" style="80" customWidth="1"/>
    <col min="7939" max="7939" width="6.42578125" style="80" customWidth="1"/>
    <col min="7940" max="7941" width="11.42578125" style="80"/>
    <col min="7942" max="7942" width="31.7109375" style="80" customWidth="1"/>
    <col min="7943" max="7943" width="22.85546875" style="80" customWidth="1"/>
    <col min="7944" max="7945" width="20.7109375" style="80" customWidth="1"/>
    <col min="7946" max="8182" width="11.42578125" style="80"/>
    <col min="8183" max="8184" width="5.42578125" style="80" customWidth="1"/>
    <col min="8185" max="8185" width="52" style="80" customWidth="1"/>
    <col min="8186" max="8187" width="13" style="80" customWidth="1"/>
    <col min="8188" max="8188" width="12.85546875" style="80" customWidth="1"/>
    <col min="8189" max="8189" width="7.140625" style="80" customWidth="1"/>
    <col min="8190" max="8190" width="12.42578125" style="80" customWidth="1"/>
    <col min="8191" max="8191" width="30" style="80" customWidth="1"/>
    <col min="8192" max="8192" width="10.140625" style="80" customWidth="1"/>
    <col min="8193" max="8193" width="13.28515625" style="80" customWidth="1"/>
    <col min="8194" max="8194" width="7.42578125" style="80" customWidth="1"/>
    <col min="8195" max="8195" width="6.42578125" style="80" customWidth="1"/>
    <col min="8196" max="8197" width="11.42578125" style="80"/>
    <col min="8198" max="8198" width="31.7109375" style="80" customWidth="1"/>
    <col min="8199" max="8199" width="22.85546875" style="80" customWidth="1"/>
    <col min="8200" max="8201" width="20.7109375" style="80" customWidth="1"/>
    <col min="8202" max="8438" width="11.42578125" style="80"/>
    <col min="8439" max="8440" width="5.42578125" style="80" customWidth="1"/>
    <col min="8441" max="8441" width="52" style="80" customWidth="1"/>
    <col min="8442" max="8443" width="13" style="80" customWidth="1"/>
    <col min="8444" max="8444" width="12.85546875" style="80" customWidth="1"/>
    <col min="8445" max="8445" width="7.140625" style="80" customWidth="1"/>
    <col min="8446" max="8446" width="12.42578125" style="80" customWidth="1"/>
    <col min="8447" max="8447" width="30" style="80" customWidth="1"/>
    <col min="8448" max="8448" width="10.140625" style="80" customWidth="1"/>
    <col min="8449" max="8449" width="13.28515625" style="80" customWidth="1"/>
    <col min="8450" max="8450" width="7.42578125" style="80" customWidth="1"/>
    <col min="8451" max="8451" width="6.42578125" style="80" customWidth="1"/>
    <col min="8452" max="8453" width="11.42578125" style="80"/>
    <col min="8454" max="8454" width="31.7109375" style="80" customWidth="1"/>
    <col min="8455" max="8455" width="22.85546875" style="80" customWidth="1"/>
    <col min="8456" max="8457" width="20.7109375" style="80" customWidth="1"/>
    <col min="8458" max="8694" width="11.42578125" style="80"/>
    <col min="8695" max="8696" width="5.42578125" style="80" customWidth="1"/>
    <col min="8697" max="8697" width="52" style="80" customWidth="1"/>
    <col min="8698" max="8699" width="13" style="80" customWidth="1"/>
    <col min="8700" max="8700" width="12.85546875" style="80" customWidth="1"/>
    <col min="8701" max="8701" width="7.140625" style="80" customWidth="1"/>
    <col min="8702" max="8702" width="12.42578125" style="80" customWidth="1"/>
    <col min="8703" max="8703" width="30" style="80" customWidth="1"/>
    <col min="8704" max="8704" width="10.140625" style="80" customWidth="1"/>
    <col min="8705" max="8705" width="13.28515625" style="80" customWidth="1"/>
    <col min="8706" max="8706" width="7.42578125" style="80" customWidth="1"/>
    <col min="8707" max="8707" width="6.42578125" style="80" customWidth="1"/>
    <col min="8708" max="8709" width="11.42578125" style="80"/>
    <col min="8710" max="8710" width="31.7109375" style="80" customWidth="1"/>
    <col min="8711" max="8711" width="22.85546875" style="80" customWidth="1"/>
    <col min="8712" max="8713" width="20.7109375" style="80" customWidth="1"/>
    <col min="8714" max="8950" width="11.42578125" style="80"/>
    <col min="8951" max="8952" width="5.42578125" style="80" customWidth="1"/>
    <col min="8953" max="8953" width="52" style="80" customWidth="1"/>
    <col min="8954" max="8955" width="13" style="80" customWidth="1"/>
    <col min="8956" max="8956" width="12.85546875" style="80" customWidth="1"/>
    <col min="8957" max="8957" width="7.140625" style="80" customWidth="1"/>
    <col min="8958" max="8958" width="12.42578125" style="80" customWidth="1"/>
    <col min="8959" max="8959" width="30" style="80" customWidth="1"/>
    <col min="8960" max="8960" width="10.140625" style="80" customWidth="1"/>
    <col min="8961" max="8961" width="13.28515625" style="80" customWidth="1"/>
    <col min="8962" max="8962" width="7.42578125" style="80" customWidth="1"/>
    <col min="8963" max="8963" width="6.42578125" style="80" customWidth="1"/>
    <col min="8964" max="8965" width="11.42578125" style="80"/>
    <col min="8966" max="8966" width="31.7109375" style="80" customWidth="1"/>
    <col min="8967" max="8967" width="22.85546875" style="80" customWidth="1"/>
    <col min="8968" max="8969" width="20.7109375" style="80" customWidth="1"/>
    <col min="8970" max="9206" width="11.42578125" style="80"/>
    <col min="9207" max="9208" width="5.42578125" style="80" customWidth="1"/>
    <col min="9209" max="9209" width="52" style="80" customWidth="1"/>
    <col min="9210" max="9211" width="13" style="80" customWidth="1"/>
    <col min="9212" max="9212" width="12.85546875" style="80" customWidth="1"/>
    <col min="9213" max="9213" width="7.140625" style="80" customWidth="1"/>
    <col min="9214" max="9214" width="12.42578125" style="80" customWidth="1"/>
    <col min="9215" max="9215" width="30" style="80" customWidth="1"/>
    <col min="9216" max="9216" width="10.140625" style="80" customWidth="1"/>
    <col min="9217" max="9217" width="13.28515625" style="80" customWidth="1"/>
    <col min="9218" max="9218" width="7.42578125" style="80" customWidth="1"/>
    <col min="9219" max="9219" width="6.42578125" style="80" customWidth="1"/>
    <col min="9220" max="9221" width="11.42578125" style="80"/>
    <col min="9222" max="9222" width="31.7109375" style="80" customWidth="1"/>
    <col min="9223" max="9223" width="22.85546875" style="80" customWidth="1"/>
    <col min="9224" max="9225" width="20.7109375" style="80" customWidth="1"/>
    <col min="9226" max="9462" width="11.42578125" style="80"/>
    <col min="9463" max="9464" width="5.42578125" style="80" customWidth="1"/>
    <col min="9465" max="9465" width="52" style="80" customWidth="1"/>
    <col min="9466" max="9467" width="13" style="80" customWidth="1"/>
    <col min="9468" max="9468" width="12.85546875" style="80" customWidth="1"/>
    <col min="9469" max="9469" width="7.140625" style="80" customWidth="1"/>
    <col min="9470" max="9470" width="12.42578125" style="80" customWidth="1"/>
    <col min="9471" max="9471" width="30" style="80" customWidth="1"/>
    <col min="9472" max="9472" width="10.140625" style="80" customWidth="1"/>
    <col min="9473" max="9473" width="13.28515625" style="80" customWidth="1"/>
    <col min="9474" max="9474" width="7.42578125" style="80" customWidth="1"/>
    <col min="9475" max="9475" width="6.42578125" style="80" customWidth="1"/>
    <col min="9476" max="9477" width="11.42578125" style="80"/>
    <col min="9478" max="9478" width="31.7109375" style="80" customWidth="1"/>
    <col min="9479" max="9479" width="22.85546875" style="80" customWidth="1"/>
    <col min="9480" max="9481" width="20.7109375" style="80" customWidth="1"/>
    <col min="9482" max="9718" width="11.42578125" style="80"/>
    <col min="9719" max="9720" width="5.42578125" style="80" customWidth="1"/>
    <col min="9721" max="9721" width="52" style="80" customWidth="1"/>
    <col min="9722" max="9723" width="13" style="80" customWidth="1"/>
    <col min="9724" max="9724" width="12.85546875" style="80" customWidth="1"/>
    <col min="9725" max="9725" width="7.140625" style="80" customWidth="1"/>
    <col min="9726" max="9726" width="12.42578125" style="80" customWidth="1"/>
    <col min="9727" max="9727" width="30" style="80" customWidth="1"/>
    <col min="9728" max="9728" width="10.140625" style="80" customWidth="1"/>
    <col min="9729" max="9729" width="13.28515625" style="80" customWidth="1"/>
    <col min="9730" max="9730" width="7.42578125" style="80" customWidth="1"/>
    <col min="9731" max="9731" width="6.42578125" style="80" customWidth="1"/>
    <col min="9732" max="9733" width="11.42578125" style="80"/>
    <col min="9734" max="9734" width="31.7109375" style="80" customWidth="1"/>
    <col min="9735" max="9735" width="22.85546875" style="80" customWidth="1"/>
    <col min="9736" max="9737" width="20.7109375" style="80" customWidth="1"/>
    <col min="9738" max="9974" width="11.42578125" style="80"/>
    <col min="9975" max="9976" width="5.42578125" style="80" customWidth="1"/>
    <col min="9977" max="9977" width="52" style="80" customWidth="1"/>
    <col min="9978" max="9979" width="13" style="80" customWidth="1"/>
    <col min="9980" max="9980" width="12.85546875" style="80" customWidth="1"/>
    <col min="9981" max="9981" width="7.140625" style="80" customWidth="1"/>
    <col min="9982" max="9982" width="12.42578125" style="80" customWidth="1"/>
    <col min="9983" max="9983" width="30" style="80" customWidth="1"/>
    <col min="9984" max="9984" width="10.140625" style="80" customWidth="1"/>
    <col min="9985" max="9985" width="13.28515625" style="80" customWidth="1"/>
    <col min="9986" max="9986" width="7.42578125" style="80" customWidth="1"/>
    <col min="9987" max="9987" width="6.42578125" style="80" customWidth="1"/>
    <col min="9988" max="9989" width="11.42578125" style="80"/>
    <col min="9990" max="9990" width="31.7109375" style="80" customWidth="1"/>
    <col min="9991" max="9991" width="22.85546875" style="80" customWidth="1"/>
    <col min="9992" max="9993" width="20.7109375" style="80" customWidth="1"/>
    <col min="9994" max="10230" width="11.42578125" style="80"/>
    <col min="10231" max="10232" width="5.42578125" style="80" customWidth="1"/>
    <col min="10233" max="10233" width="52" style="80" customWidth="1"/>
    <col min="10234" max="10235" width="13" style="80" customWidth="1"/>
    <col min="10236" max="10236" width="12.85546875" style="80" customWidth="1"/>
    <col min="10237" max="10237" width="7.140625" style="80" customWidth="1"/>
    <col min="10238" max="10238" width="12.42578125" style="80" customWidth="1"/>
    <col min="10239" max="10239" width="30" style="80" customWidth="1"/>
    <col min="10240" max="10240" width="10.140625" style="80" customWidth="1"/>
    <col min="10241" max="10241" width="13.28515625" style="80" customWidth="1"/>
    <col min="10242" max="10242" width="7.42578125" style="80" customWidth="1"/>
    <col min="10243" max="10243" width="6.42578125" style="80" customWidth="1"/>
    <col min="10244" max="10245" width="11.42578125" style="80"/>
    <col min="10246" max="10246" width="31.7109375" style="80" customWidth="1"/>
    <col min="10247" max="10247" width="22.85546875" style="80" customWidth="1"/>
    <col min="10248" max="10249" width="20.7109375" style="80" customWidth="1"/>
    <col min="10250" max="10486" width="11.42578125" style="80"/>
    <col min="10487" max="10488" width="5.42578125" style="80" customWidth="1"/>
    <col min="10489" max="10489" width="52" style="80" customWidth="1"/>
    <col min="10490" max="10491" width="13" style="80" customWidth="1"/>
    <col min="10492" max="10492" width="12.85546875" style="80" customWidth="1"/>
    <col min="10493" max="10493" width="7.140625" style="80" customWidth="1"/>
    <col min="10494" max="10494" width="12.42578125" style="80" customWidth="1"/>
    <col min="10495" max="10495" width="30" style="80" customWidth="1"/>
    <col min="10496" max="10496" width="10.140625" style="80" customWidth="1"/>
    <col min="10497" max="10497" width="13.28515625" style="80" customWidth="1"/>
    <col min="10498" max="10498" width="7.42578125" style="80" customWidth="1"/>
    <col min="10499" max="10499" width="6.42578125" style="80" customWidth="1"/>
    <col min="10500" max="10501" width="11.42578125" style="80"/>
    <col min="10502" max="10502" width="31.7109375" style="80" customWidth="1"/>
    <col min="10503" max="10503" width="22.85546875" style="80" customWidth="1"/>
    <col min="10504" max="10505" width="20.7109375" style="80" customWidth="1"/>
    <col min="10506" max="10742" width="11.42578125" style="80"/>
    <col min="10743" max="10744" width="5.42578125" style="80" customWidth="1"/>
    <col min="10745" max="10745" width="52" style="80" customWidth="1"/>
    <col min="10746" max="10747" width="13" style="80" customWidth="1"/>
    <col min="10748" max="10748" width="12.85546875" style="80" customWidth="1"/>
    <col min="10749" max="10749" width="7.140625" style="80" customWidth="1"/>
    <col min="10750" max="10750" width="12.42578125" style="80" customWidth="1"/>
    <col min="10751" max="10751" width="30" style="80" customWidth="1"/>
    <col min="10752" max="10752" width="10.140625" style="80" customWidth="1"/>
    <col min="10753" max="10753" width="13.28515625" style="80" customWidth="1"/>
    <col min="10754" max="10754" width="7.42578125" style="80" customWidth="1"/>
    <col min="10755" max="10755" width="6.42578125" style="80" customWidth="1"/>
    <col min="10756" max="10757" width="11.42578125" style="80"/>
    <col min="10758" max="10758" width="31.7109375" style="80" customWidth="1"/>
    <col min="10759" max="10759" width="22.85546875" style="80" customWidth="1"/>
    <col min="10760" max="10761" width="20.7109375" style="80" customWidth="1"/>
    <col min="10762" max="10998" width="11.42578125" style="80"/>
    <col min="10999" max="11000" width="5.42578125" style="80" customWidth="1"/>
    <col min="11001" max="11001" width="52" style="80" customWidth="1"/>
    <col min="11002" max="11003" width="13" style="80" customWidth="1"/>
    <col min="11004" max="11004" width="12.85546875" style="80" customWidth="1"/>
    <col min="11005" max="11005" width="7.140625" style="80" customWidth="1"/>
    <col min="11006" max="11006" width="12.42578125" style="80" customWidth="1"/>
    <col min="11007" max="11007" width="30" style="80" customWidth="1"/>
    <col min="11008" max="11008" width="10.140625" style="80" customWidth="1"/>
    <col min="11009" max="11009" width="13.28515625" style="80" customWidth="1"/>
    <col min="11010" max="11010" width="7.42578125" style="80" customWidth="1"/>
    <col min="11011" max="11011" width="6.42578125" style="80" customWidth="1"/>
    <col min="11012" max="11013" width="11.42578125" style="80"/>
    <col min="11014" max="11014" width="31.7109375" style="80" customWidth="1"/>
    <col min="11015" max="11015" width="22.85546875" style="80" customWidth="1"/>
    <col min="11016" max="11017" width="20.7109375" style="80" customWidth="1"/>
    <col min="11018" max="11254" width="11.42578125" style="80"/>
    <col min="11255" max="11256" width="5.42578125" style="80" customWidth="1"/>
    <col min="11257" max="11257" width="52" style="80" customWidth="1"/>
    <col min="11258" max="11259" width="13" style="80" customWidth="1"/>
    <col min="11260" max="11260" width="12.85546875" style="80" customWidth="1"/>
    <col min="11261" max="11261" width="7.140625" style="80" customWidth="1"/>
    <col min="11262" max="11262" width="12.42578125" style="80" customWidth="1"/>
    <col min="11263" max="11263" width="30" style="80" customWidth="1"/>
    <col min="11264" max="11264" width="10.140625" style="80" customWidth="1"/>
    <col min="11265" max="11265" width="13.28515625" style="80" customWidth="1"/>
    <col min="11266" max="11266" width="7.42578125" style="80" customWidth="1"/>
    <col min="11267" max="11267" width="6.42578125" style="80" customWidth="1"/>
    <col min="11268" max="11269" width="11.42578125" style="80"/>
    <col min="11270" max="11270" width="31.7109375" style="80" customWidth="1"/>
    <col min="11271" max="11271" width="22.85546875" style="80" customWidth="1"/>
    <col min="11272" max="11273" width="20.7109375" style="80" customWidth="1"/>
    <col min="11274" max="11510" width="11.42578125" style="80"/>
    <col min="11511" max="11512" width="5.42578125" style="80" customWidth="1"/>
    <col min="11513" max="11513" width="52" style="80" customWidth="1"/>
    <col min="11514" max="11515" width="13" style="80" customWidth="1"/>
    <col min="11516" max="11516" width="12.85546875" style="80" customWidth="1"/>
    <col min="11517" max="11517" width="7.140625" style="80" customWidth="1"/>
    <col min="11518" max="11518" width="12.42578125" style="80" customWidth="1"/>
    <col min="11519" max="11519" width="30" style="80" customWidth="1"/>
    <col min="11520" max="11520" width="10.140625" style="80" customWidth="1"/>
    <col min="11521" max="11521" width="13.28515625" style="80" customWidth="1"/>
    <col min="11522" max="11522" width="7.42578125" style="80" customWidth="1"/>
    <col min="11523" max="11523" width="6.42578125" style="80" customWidth="1"/>
    <col min="11524" max="11525" width="11.42578125" style="80"/>
    <col min="11526" max="11526" width="31.7109375" style="80" customWidth="1"/>
    <col min="11527" max="11527" width="22.85546875" style="80" customWidth="1"/>
    <col min="11528" max="11529" width="20.7109375" style="80" customWidth="1"/>
    <col min="11530" max="11766" width="11.42578125" style="80"/>
    <col min="11767" max="11768" width="5.42578125" style="80" customWidth="1"/>
    <col min="11769" max="11769" width="52" style="80" customWidth="1"/>
    <col min="11770" max="11771" width="13" style="80" customWidth="1"/>
    <col min="11772" max="11772" width="12.85546875" style="80" customWidth="1"/>
    <col min="11773" max="11773" width="7.140625" style="80" customWidth="1"/>
    <col min="11774" max="11774" width="12.42578125" style="80" customWidth="1"/>
    <col min="11775" max="11775" width="30" style="80" customWidth="1"/>
    <col min="11776" max="11776" width="10.140625" style="80" customWidth="1"/>
    <col min="11777" max="11777" width="13.28515625" style="80" customWidth="1"/>
    <col min="11778" max="11778" width="7.42578125" style="80" customWidth="1"/>
    <col min="11779" max="11779" width="6.42578125" style="80" customWidth="1"/>
    <col min="11780" max="11781" width="11.42578125" style="80"/>
    <col min="11782" max="11782" width="31.7109375" style="80" customWidth="1"/>
    <col min="11783" max="11783" width="22.85546875" style="80" customWidth="1"/>
    <col min="11784" max="11785" width="20.7109375" style="80" customWidth="1"/>
    <col min="11786" max="12022" width="11.42578125" style="80"/>
    <col min="12023" max="12024" width="5.42578125" style="80" customWidth="1"/>
    <col min="12025" max="12025" width="52" style="80" customWidth="1"/>
    <col min="12026" max="12027" width="13" style="80" customWidth="1"/>
    <col min="12028" max="12028" width="12.85546875" style="80" customWidth="1"/>
    <col min="12029" max="12029" width="7.140625" style="80" customWidth="1"/>
    <col min="12030" max="12030" width="12.42578125" style="80" customWidth="1"/>
    <col min="12031" max="12031" width="30" style="80" customWidth="1"/>
    <col min="12032" max="12032" width="10.140625" style="80" customWidth="1"/>
    <col min="12033" max="12033" width="13.28515625" style="80" customWidth="1"/>
    <col min="12034" max="12034" width="7.42578125" style="80" customWidth="1"/>
    <col min="12035" max="12035" width="6.42578125" style="80" customWidth="1"/>
    <col min="12036" max="12037" width="11.42578125" style="80"/>
    <col min="12038" max="12038" width="31.7109375" style="80" customWidth="1"/>
    <col min="12039" max="12039" width="22.85546875" style="80" customWidth="1"/>
    <col min="12040" max="12041" width="20.7109375" style="80" customWidth="1"/>
    <col min="12042" max="12278" width="11.42578125" style="80"/>
    <col min="12279" max="12280" width="5.42578125" style="80" customWidth="1"/>
    <col min="12281" max="12281" width="52" style="80" customWidth="1"/>
    <col min="12282" max="12283" width="13" style="80" customWidth="1"/>
    <col min="12284" max="12284" width="12.85546875" style="80" customWidth="1"/>
    <col min="12285" max="12285" width="7.140625" style="80" customWidth="1"/>
    <col min="12286" max="12286" width="12.42578125" style="80" customWidth="1"/>
    <col min="12287" max="12287" width="30" style="80" customWidth="1"/>
    <col min="12288" max="12288" width="10.140625" style="80" customWidth="1"/>
    <col min="12289" max="12289" width="13.28515625" style="80" customWidth="1"/>
    <col min="12290" max="12290" width="7.42578125" style="80" customWidth="1"/>
    <col min="12291" max="12291" width="6.42578125" style="80" customWidth="1"/>
    <col min="12292" max="12293" width="11.42578125" style="80"/>
    <col min="12294" max="12294" width="31.7109375" style="80" customWidth="1"/>
    <col min="12295" max="12295" width="22.85546875" style="80" customWidth="1"/>
    <col min="12296" max="12297" width="20.7109375" style="80" customWidth="1"/>
    <col min="12298" max="12534" width="11.42578125" style="80"/>
    <col min="12535" max="12536" width="5.42578125" style="80" customWidth="1"/>
    <col min="12537" max="12537" width="52" style="80" customWidth="1"/>
    <col min="12538" max="12539" width="13" style="80" customWidth="1"/>
    <col min="12540" max="12540" width="12.85546875" style="80" customWidth="1"/>
    <col min="12541" max="12541" width="7.140625" style="80" customWidth="1"/>
    <col min="12542" max="12542" width="12.42578125" style="80" customWidth="1"/>
    <col min="12543" max="12543" width="30" style="80" customWidth="1"/>
    <col min="12544" max="12544" width="10.140625" style="80" customWidth="1"/>
    <col min="12545" max="12545" width="13.28515625" style="80" customWidth="1"/>
    <col min="12546" max="12546" width="7.42578125" style="80" customWidth="1"/>
    <col min="12547" max="12547" width="6.42578125" style="80" customWidth="1"/>
    <col min="12548" max="12549" width="11.42578125" style="80"/>
    <col min="12550" max="12550" width="31.7109375" style="80" customWidth="1"/>
    <col min="12551" max="12551" width="22.85546875" style="80" customWidth="1"/>
    <col min="12552" max="12553" width="20.7109375" style="80" customWidth="1"/>
    <col min="12554" max="12790" width="11.42578125" style="80"/>
    <col min="12791" max="12792" width="5.42578125" style="80" customWidth="1"/>
    <col min="12793" max="12793" width="52" style="80" customWidth="1"/>
    <col min="12794" max="12795" width="13" style="80" customWidth="1"/>
    <col min="12796" max="12796" width="12.85546875" style="80" customWidth="1"/>
    <col min="12797" max="12797" width="7.140625" style="80" customWidth="1"/>
    <col min="12798" max="12798" width="12.42578125" style="80" customWidth="1"/>
    <col min="12799" max="12799" width="30" style="80" customWidth="1"/>
    <col min="12800" max="12800" width="10.140625" style="80" customWidth="1"/>
    <col min="12801" max="12801" width="13.28515625" style="80" customWidth="1"/>
    <col min="12802" max="12802" width="7.42578125" style="80" customWidth="1"/>
    <col min="12803" max="12803" width="6.42578125" style="80" customWidth="1"/>
    <col min="12804" max="12805" width="11.42578125" style="80"/>
    <col min="12806" max="12806" width="31.7109375" style="80" customWidth="1"/>
    <col min="12807" max="12807" width="22.85546875" style="80" customWidth="1"/>
    <col min="12808" max="12809" width="20.7109375" style="80" customWidth="1"/>
    <col min="12810" max="13046" width="11.42578125" style="80"/>
    <col min="13047" max="13048" width="5.42578125" style="80" customWidth="1"/>
    <col min="13049" max="13049" width="52" style="80" customWidth="1"/>
    <col min="13050" max="13051" width="13" style="80" customWidth="1"/>
    <col min="13052" max="13052" width="12.85546875" style="80" customWidth="1"/>
    <col min="13053" max="13053" width="7.140625" style="80" customWidth="1"/>
    <col min="13054" max="13054" width="12.42578125" style="80" customWidth="1"/>
    <col min="13055" max="13055" width="30" style="80" customWidth="1"/>
    <col min="13056" max="13056" width="10.140625" style="80" customWidth="1"/>
    <col min="13057" max="13057" width="13.28515625" style="80" customWidth="1"/>
    <col min="13058" max="13058" width="7.42578125" style="80" customWidth="1"/>
    <col min="13059" max="13059" width="6.42578125" style="80" customWidth="1"/>
    <col min="13060" max="13061" width="11.42578125" style="80"/>
    <col min="13062" max="13062" width="31.7109375" style="80" customWidth="1"/>
    <col min="13063" max="13063" width="22.85546875" style="80" customWidth="1"/>
    <col min="13064" max="13065" width="20.7109375" style="80" customWidth="1"/>
    <col min="13066" max="13302" width="11.42578125" style="80"/>
    <col min="13303" max="13304" width="5.42578125" style="80" customWidth="1"/>
    <col min="13305" max="13305" width="52" style="80" customWidth="1"/>
    <col min="13306" max="13307" width="13" style="80" customWidth="1"/>
    <col min="13308" max="13308" width="12.85546875" style="80" customWidth="1"/>
    <col min="13309" max="13309" width="7.140625" style="80" customWidth="1"/>
    <col min="13310" max="13310" width="12.42578125" style="80" customWidth="1"/>
    <col min="13311" max="13311" width="30" style="80" customWidth="1"/>
    <col min="13312" max="13312" width="10.140625" style="80" customWidth="1"/>
    <col min="13313" max="13313" width="13.28515625" style="80" customWidth="1"/>
    <col min="13314" max="13314" width="7.42578125" style="80" customWidth="1"/>
    <col min="13315" max="13315" width="6.42578125" style="80" customWidth="1"/>
    <col min="13316" max="13317" width="11.42578125" style="80"/>
    <col min="13318" max="13318" width="31.7109375" style="80" customWidth="1"/>
    <col min="13319" max="13319" width="22.85546875" style="80" customWidth="1"/>
    <col min="13320" max="13321" width="20.7109375" style="80" customWidth="1"/>
    <col min="13322" max="13558" width="11.42578125" style="80"/>
    <col min="13559" max="13560" width="5.42578125" style="80" customWidth="1"/>
    <col min="13561" max="13561" width="52" style="80" customWidth="1"/>
    <col min="13562" max="13563" width="13" style="80" customWidth="1"/>
    <col min="13564" max="13564" width="12.85546875" style="80" customWidth="1"/>
    <col min="13565" max="13565" width="7.140625" style="80" customWidth="1"/>
    <col min="13566" max="13566" width="12.42578125" style="80" customWidth="1"/>
    <col min="13567" max="13567" width="30" style="80" customWidth="1"/>
    <col min="13568" max="13568" width="10.140625" style="80" customWidth="1"/>
    <col min="13569" max="13569" width="13.28515625" style="80" customWidth="1"/>
    <col min="13570" max="13570" width="7.42578125" style="80" customWidth="1"/>
    <col min="13571" max="13571" width="6.42578125" style="80" customWidth="1"/>
    <col min="13572" max="13573" width="11.42578125" style="80"/>
    <col min="13574" max="13574" width="31.7109375" style="80" customWidth="1"/>
    <col min="13575" max="13575" width="22.85546875" style="80" customWidth="1"/>
    <col min="13576" max="13577" width="20.7109375" style="80" customWidth="1"/>
    <col min="13578" max="13814" width="11.42578125" style="80"/>
    <col min="13815" max="13816" width="5.42578125" style="80" customWidth="1"/>
    <col min="13817" max="13817" width="52" style="80" customWidth="1"/>
    <col min="13818" max="13819" width="13" style="80" customWidth="1"/>
    <col min="13820" max="13820" width="12.85546875" style="80" customWidth="1"/>
    <col min="13821" max="13821" width="7.140625" style="80" customWidth="1"/>
    <col min="13822" max="13822" width="12.42578125" style="80" customWidth="1"/>
    <col min="13823" max="13823" width="30" style="80" customWidth="1"/>
    <col min="13824" max="13824" width="10.140625" style="80" customWidth="1"/>
    <col min="13825" max="13825" width="13.28515625" style="80" customWidth="1"/>
    <col min="13826" max="13826" width="7.42578125" style="80" customWidth="1"/>
    <col min="13827" max="13827" width="6.42578125" style="80" customWidth="1"/>
    <col min="13828" max="13829" width="11.42578125" style="80"/>
    <col min="13830" max="13830" width="31.7109375" style="80" customWidth="1"/>
    <col min="13831" max="13831" width="22.85546875" style="80" customWidth="1"/>
    <col min="13832" max="13833" width="20.7109375" style="80" customWidth="1"/>
    <col min="13834" max="14070" width="11.42578125" style="80"/>
    <col min="14071" max="14072" width="5.42578125" style="80" customWidth="1"/>
    <col min="14073" max="14073" width="52" style="80" customWidth="1"/>
    <col min="14074" max="14075" width="13" style="80" customWidth="1"/>
    <col min="14076" max="14076" width="12.85546875" style="80" customWidth="1"/>
    <col min="14077" max="14077" width="7.140625" style="80" customWidth="1"/>
    <col min="14078" max="14078" width="12.42578125" style="80" customWidth="1"/>
    <col min="14079" max="14079" width="30" style="80" customWidth="1"/>
    <col min="14080" max="14080" width="10.140625" style="80" customWidth="1"/>
    <col min="14081" max="14081" width="13.28515625" style="80" customWidth="1"/>
    <col min="14082" max="14082" width="7.42578125" style="80" customWidth="1"/>
    <col min="14083" max="14083" width="6.42578125" style="80" customWidth="1"/>
    <col min="14084" max="14085" width="11.42578125" style="80"/>
    <col min="14086" max="14086" width="31.7109375" style="80" customWidth="1"/>
    <col min="14087" max="14087" width="22.85546875" style="80" customWidth="1"/>
    <col min="14088" max="14089" width="20.7109375" style="80" customWidth="1"/>
    <col min="14090" max="14326" width="11.42578125" style="80"/>
    <col min="14327" max="14328" width="5.42578125" style="80" customWidth="1"/>
    <col min="14329" max="14329" width="52" style="80" customWidth="1"/>
    <col min="14330" max="14331" width="13" style="80" customWidth="1"/>
    <col min="14332" max="14332" width="12.85546875" style="80" customWidth="1"/>
    <col min="14333" max="14333" width="7.140625" style="80" customWidth="1"/>
    <col min="14334" max="14334" width="12.42578125" style="80" customWidth="1"/>
    <col min="14335" max="14335" width="30" style="80" customWidth="1"/>
    <col min="14336" max="14336" width="10.140625" style="80" customWidth="1"/>
    <col min="14337" max="14337" width="13.28515625" style="80" customWidth="1"/>
    <col min="14338" max="14338" width="7.42578125" style="80" customWidth="1"/>
    <col min="14339" max="14339" width="6.42578125" style="80" customWidth="1"/>
    <col min="14340" max="14341" width="11.42578125" style="80"/>
    <col min="14342" max="14342" width="31.7109375" style="80" customWidth="1"/>
    <col min="14343" max="14343" width="22.85546875" style="80" customWidth="1"/>
    <col min="14344" max="14345" width="20.7109375" style="80" customWidth="1"/>
    <col min="14346" max="14582" width="11.42578125" style="80"/>
    <col min="14583" max="14584" width="5.42578125" style="80" customWidth="1"/>
    <col min="14585" max="14585" width="52" style="80" customWidth="1"/>
    <col min="14586" max="14587" width="13" style="80" customWidth="1"/>
    <col min="14588" max="14588" width="12.85546875" style="80" customWidth="1"/>
    <col min="14589" max="14589" width="7.140625" style="80" customWidth="1"/>
    <col min="14590" max="14590" width="12.42578125" style="80" customWidth="1"/>
    <col min="14591" max="14591" width="30" style="80" customWidth="1"/>
    <col min="14592" max="14592" width="10.140625" style="80" customWidth="1"/>
    <col min="14593" max="14593" width="13.28515625" style="80" customWidth="1"/>
    <col min="14594" max="14594" width="7.42578125" style="80" customWidth="1"/>
    <col min="14595" max="14595" width="6.42578125" style="80" customWidth="1"/>
    <col min="14596" max="14597" width="11.42578125" style="80"/>
    <col min="14598" max="14598" width="31.7109375" style="80" customWidth="1"/>
    <col min="14599" max="14599" width="22.85546875" style="80" customWidth="1"/>
    <col min="14600" max="14601" width="20.7109375" style="80" customWidth="1"/>
    <col min="14602" max="14838" width="11.42578125" style="80"/>
    <col min="14839" max="14840" width="5.42578125" style="80" customWidth="1"/>
    <col min="14841" max="14841" width="52" style="80" customWidth="1"/>
    <col min="14842" max="14843" width="13" style="80" customWidth="1"/>
    <col min="14844" max="14844" width="12.85546875" style="80" customWidth="1"/>
    <col min="14845" max="14845" width="7.140625" style="80" customWidth="1"/>
    <col min="14846" max="14846" width="12.42578125" style="80" customWidth="1"/>
    <col min="14847" max="14847" width="30" style="80" customWidth="1"/>
    <col min="14848" max="14848" width="10.140625" style="80" customWidth="1"/>
    <col min="14849" max="14849" width="13.28515625" style="80" customWidth="1"/>
    <col min="14850" max="14850" width="7.42578125" style="80" customWidth="1"/>
    <col min="14851" max="14851" width="6.42578125" style="80" customWidth="1"/>
    <col min="14852" max="14853" width="11.42578125" style="80"/>
    <col min="14854" max="14854" width="31.7109375" style="80" customWidth="1"/>
    <col min="14855" max="14855" width="22.85546875" style="80" customWidth="1"/>
    <col min="14856" max="14857" width="20.7109375" style="80" customWidth="1"/>
    <col min="14858" max="15094" width="11.42578125" style="80"/>
    <col min="15095" max="15096" width="5.42578125" style="80" customWidth="1"/>
    <col min="15097" max="15097" width="52" style="80" customWidth="1"/>
    <col min="15098" max="15099" width="13" style="80" customWidth="1"/>
    <col min="15100" max="15100" width="12.85546875" style="80" customWidth="1"/>
    <col min="15101" max="15101" width="7.140625" style="80" customWidth="1"/>
    <col min="15102" max="15102" width="12.42578125" style="80" customWidth="1"/>
    <col min="15103" max="15103" width="30" style="80" customWidth="1"/>
    <col min="15104" max="15104" width="10.140625" style="80" customWidth="1"/>
    <col min="15105" max="15105" width="13.28515625" style="80" customWidth="1"/>
    <col min="15106" max="15106" width="7.42578125" style="80" customWidth="1"/>
    <col min="15107" max="15107" width="6.42578125" style="80" customWidth="1"/>
    <col min="15108" max="15109" width="11.42578125" style="80"/>
    <col min="15110" max="15110" width="31.7109375" style="80" customWidth="1"/>
    <col min="15111" max="15111" width="22.85546875" style="80" customWidth="1"/>
    <col min="15112" max="15113" width="20.7109375" style="80" customWidth="1"/>
    <col min="15114" max="15350" width="11.42578125" style="80"/>
    <col min="15351" max="15352" width="5.42578125" style="80" customWidth="1"/>
    <col min="15353" max="15353" width="52" style="80" customWidth="1"/>
    <col min="15354" max="15355" width="13" style="80" customWidth="1"/>
    <col min="15356" max="15356" width="12.85546875" style="80" customWidth="1"/>
    <col min="15357" max="15357" width="7.140625" style="80" customWidth="1"/>
    <col min="15358" max="15358" width="12.42578125" style="80" customWidth="1"/>
    <col min="15359" max="15359" width="30" style="80" customWidth="1"/>
    <col min="15360" max="15360" width="10.140625" style="80" customWidth="1"/>
    <col min="15361" max="15361" width="13.28515625" style="80" customWidth="1"/>
    <col min="15362" max="15362" width="7.42578125" style="80" customWidth="1"/>
    <col min="15363" max="15363" width="6.42578125" style="80" customWidth="1"/>
    <col min="15364" max="15365" width="11.42578125" style="80"/>
    <col min="15366" max="15366" width="31.7109375" style="80" customWidth="1"/>
    <col min="15367" max="15367" width="22.85546875" style="80" customWidth="1"/>
    <col min="15368" max="15369" width="20.7109375" style="80" customWidth="1"/>
    <col min="15370" max="15606" width="11.42578125" style="80"/>
    <col min="15607" max="15608" width="5.42578125" style="80" customWidth="1"/>
    <col min="15609" max="15609" width="52" style="80" customWidth="1"/>
    <col min="15610" max="15611" width="13" style="80" customWidth="1"/>
    <col min="15612" max="15612" width="12.85546875" style="80" customWidth="1"/>
    <col min="15613" max="15613" width="7.140625" style="80" customWidth="1"/>
    <col min="15614" max="15614" width="12.42578125" style="80" customWidth="1"/>
    <col min="15615" max="15615" width="30" style="80" customWidth="1"/>
    <col min="15616" max="15616" width="10.140625" style="80" customWidth="1"/>
    <col min="15617" max="15617" width="13.28515625" style="80" customWidth="1"/>
    <col min="15618" max="15618" width="7.42578125" style="80" customWidth="1"/>
    <col min="15619" max="15619" width="6.42578125" style="80" customWidth="1"/>
    <col min="15620" max="15621" width="11.42578125" style="80"/>
    <col min="15622" max="15622" width="31.7109375" style="80" customWidth="1"/>
    <col min="15623" max="15623" width="22.85546875" style="80" customWidth="1"/>
    <col min="15624" max="15625" width="20.7109375" style="80" customWidth="1"/>
    <col min="15626" max="15862" width="11.42578125" style="80"/>
    <col min="15863" max="15864" width="5.42578125" style="80" customWidth="1"/>
    <col min="15865" max="15865" width="52" style="80" customWidth="1"/>
    <col min="15866" max="15867" width="13" style="80" customWidth="1"/>
    <col min="15868" max="15868" width="12.85546875" style="80" customWidth="1"/>
    <col min="15869" max="15869" width="7.140625" style="80" customWidth="1"/>
    <col min="15870" max="15870" width="12.42578125" style="80" customWidth="1"/>
    <col min="15871" max="15871" width="30" style="80" customWidth="1"/>
    <col min="15872" max="15872" width="10.140625" style="80" customWidth="1"/>
    <col min="15873" max="15873" width="13.28515625" style="80" customWidth="1"/>
    <col min="15874" max="15874" width="7.42578125" style="80" customWidth="1"/>
    <col min="15875" max="15875" width="6.42578125" style="80" customWidth="1"/>
    <col min="15876" max="15877" width="11.42578125" style="80"/>
    <col min="15878" max="15878" width="31.7109375" style="80" customWidth="1"/>
    <col min="15879" max="15879" width="22.85546875" style="80" customWidth="1"/>
    <col min="15880" max="15881" width="20.7109375" style="80" customWidth="1"/>
    <col min="15882" max="16118" width="11.42578125" style="80"/>
    <col min="16119" max="16120" width="5.42578125" style="80" customWidth="1"/>
    <col min="16121" max="16121" width="52" style="80" customWidth="1"/>
    <col min="16122" max="16123" width="13" style="80" customWidth="1"/>
    <col min="16124" max="16124" width="12.85546875" style="80" customWidth="1"/>
    <col min="16125" max="16125" width="7.140625" style="80" customWidth="1"/>
    <col min="16126" max="16126" width="12.42578125" style="80" customWidth="1"/>
    <col min="16127" max="16127" width="30" style="80" customWidth="1"/>
    <col min="16128" max="16128" width="10.140625" style="80" customWidth="1"/>
    <col min="16129" max="16129" width="13.28515625" style="80" customWidth="1"/>
    <col min="16130" max="16130" width="7.42578125" style="80" customWidth="1"/>
    <col min="16131" max="16131" width="6.42578125" style="80" customWidth="1"/>
    <col min="16132" max="16133" width="11.42578125" style="80"/>
    <col min="16134" max="16134" width="31.7109375" style="80" customWidth="1"/>
    <col min="16135" max="16135" width="22.85546875" style="80" customWidth="1"/>
    <col min="16136" max="16137" width="20.7109375" style="80" customWidth="1"/>
    <col min="16138" max="16384" width="11.42578125" style="80"/>
  </cols>
  <sheetData>
    <row r="1" spans="1:10" ht="19.5" customHeight="1" x14ac:dyDescent="0.2">
      <c r="A1" s="161" t="s">
        <v>444</v>
      </c>
      <c r="B1" s="78" t="s">
        <v>56</v>
      </c>
      <c r="C1" s="164">
        <v>44271</v>
      </c>
      <c r="D1" s="79" t="s">
        <v>780</v>
      </c>
      <c r="E1" s="445" t="s">
        <v>395</v>
      </c>
      <c r="F1" s="446"/>
      <c r="G1" s="446"/>
      <c r="H1" s="446"/>
      <c r="I1" s="446"/>
      <c r="J1" s="446"/>
    </row>
    <row r="2" spans="1:10" s="162" customFormat="1" ht="37.5" x14ac:dyDescent="0.3">
      <c r="A2" s="134" t="s">
        <v>0</v>
      </c>
      <c r="B2" s="134" t="s">
        <v>260</v>
      </c>
      <c r="C2" s="143" t="s">
        <v>1</v>
      </c>
      <c r="D2" s="135" t="s">
        <v>55</v>
      </c>
      <c r="E2" s="134" t="s">
        <v>58</v>
      </c>
      <c r="F2" s="134" t="s">
        <v>2</v>
      </c>
      <c r="G2" s="136" t="s">
        <v>752</v>
      </c>
      <c r="H2" s="136" t="s">
        <v>3</v>
      </c>
      <c r="I2" s="134" t="s">
        <v>5</v>
      </c>
      <c r="J2" s="82" t="s">
        <v>658</v>
      </c>
    </row>
    <row r="3" spans="1:10" ht="15.75" x14ac:dyDescent="0.25">
      <c r="A3" s="88">
        <v>50</v>
      </c>
      <c r="B3" s="129" t="s">
        <v>198</v>
      </c>
      <c r="C3" s="63" t="s">
        <v>759</v>
      </c>
      <c r="D3" s="52">
        <v>700</v>
      </c>
      <c r="E3" s="89"/>
      <c r="F3" s="63"/>
      <c r="G3" s="196"/>
      <c r="H3" s="90" t="s">
        <v>397</v>
      </c>
      <c r="I3" s="19"/>
      <c r="J3" s="123"/>
    </row>
    <row r="4" spans="1:10" ht="15.75" x14ac:dyDescent="0.25">
      <c r="A4" s="88">
        <v>51</v>
      </c>
      <c r="B4" s="129" t="s">
        <v>199</v>
      </c>
      <c r="C4" s="63" t="s">
        <v>200</v>
      </c>
      <c r="D4" s="52">
        <v>1.5</v>
      </c>
      <c r="E4" s="89"/>
      <c r="F4" s="63"/>
      <c r="G4" s="196"/>
      <c r="H4" s="90" t="s">
        <v>397</v>
      </c>
      <c r="I4" s="19"/>
      <c r="J4" s="123"/>
    </row>
    <row r="5" spans="1:10" ht="15.75" x14ac:dyDescent="0.25">
      <c r="A5" s="88">
        <v>52</v>
      </c>
      <c r="B5" s="129" t="s">
        <v>201</v>
      </c>
      <c r="C5" s="63" t="s">
        <v>9</v>
      </c>
      <c r="D5" s="52">
        <v>900</v>
      </c>
      <c r="E5" s="89"/>
      <c r="F5" s="63"/>
      <c r="G5" s="196"/>
      <c r="H5" s="89" t="s">
        <v>397</v>
      </c>
      <c r="I5" s="19"/>
      <c r="J5" s="122"/>
    </row>
    <row r="6" spans="1:10" ht="15.75" x14ac:dyDescent="0.25">
      <c r="A6" s="88">
        <v>53</v>
      </c>
      <c r="B6" s="129" t="s">
        <v>687</v>
      </c>
      <c r="C6" s="63" t="s">
        <v>11</v>
      </c>
      <c r="D6" s="52">
        <v>45</v>
      </c>
      <c r="E6" s="89"/>
      <c r="F6" s="63"/>
      <c r="G6" s="196"/>
      <c r="H6" s="90" t="s">
        <v>397</v>
      </c>
      <c r="I6" s="19"/>
      <c r="J6" s="122"/>
    </row>
    <row r="7" spans="1:10" ht="15.75" x14ac:dyDescent="0.25">
      <c r="A7" s="88">
        <v>54</v>
      </c>
      <c r="B7" s="129" t="s">
        <v>202</v>
      </c>
      <c r="C7" s="63" t="s">
        <v>759</v>
      </c>
      <c r="D7" s="52"/>
      <c r="E7" s="89"/>
      <c r="F7" s="63"/>
      <c r="G7" s="196"/>
      <c r="H7" s="89" t="s">
        <v>397</v>
      </c>
      <c r="I7" s="19"/>
      <c r="J7" s="122"/>
    </row>
    <row r="8" spans="1:10" ht="15.75" x14ac:dyDescent="0.25">
      <c r="A8" s="88">
        <v>55</v>
      </c>
      <c r="B8" s="129" t="s">
        <v>204</v>
      </c>
      <c r="C8" s="63" t="s">
        <v>18</v>
      </c>
      <c r="D8" s="52">
        <v>450</v>
      </c>
      <c r="E8" s="89"/>
      <c r="F8" s="63"/>
      <c r="G8" s="196"/>
      <c r="H8" s="90" t="s">
        <v>397</v>
      </c>
      <c r="I8" s="19"/>
      <c r="J8" s="122"/>
    </row>
    <row r="9" spans="1:10" ht="15.75" x14ac:dyDescent="0.25">
      <c r="A9" s="88">
        <v>56</v>
      </c>
      <c r="B9" s="129" t="s">
        <v>205</v>
      </c>
      <c r="C9" s="63" t="s">
        <v>18</v>
      </c>
      <c r="D9" s="52">
        <v>150</v>
      </c>
      <c r="E9" s="89"/>
      <c r="F9" s="63"/>
      <c r="G9" s="196"/>
      <c r="H9" s="90" t="s">
        <v>397</v>
      </c>
      <c r="I9" s="19"/>
      <c r="J9" s="122"/>
    </row>
    <row r="10" spans="1:10" ht="15.75" x14ac:dyDescent="0.25">
      <c r="A10" s="88">
        <v>58</v>
      </c>
      <c r="B10" s="129" t="s">
        <v>207</v>
      </c>
      <c r="C10" s="63" t="s">
        <v>759</v>
      </c>
      <c r="D10" s="52">
        <v>10</v>
      </c>
      <c r="E10" s="89"/>
      <c r="F10" s="63"/>
      <c r="G10" s="196"/>
      <c r="H10" s="89" t="s">
        <v>397</v>
      </c>
      <c r="I10" s="19"/>
      <c r="J10" s="122"/>
    </row>
    <row r="11" spans="1:10" ht="15.75" x14ac:dyDescent="0.25">
      <c r="A11" s="88">
        <v>59</v>
      </c>
      <c r="B11" s="129" t="s">
        <v>210</v>
      </c>
      <c r="C11" s="63" t="s">
        <v>41</v>
      </c>
      <c r="D11" s="52">
        <v>400</v>
      </c>
      <c r="E11" s="89"/>
      <c r="F11" s="63"/>
      <c r="G11" s="196"/>
      <c r="H11" s="90" t="s">
        <v>397</v>
      </c>
      <c r="I11" s="19"/>
      <c r="J11" s="122"/>
    </row>
    <row r="12" spans="1:10" ht="15.75" x14ac:dyDescent="0.25">
      <c r="A12" s="88">
        <v>60</v>
      </c>
      <c r="B12" s="129" t="s">
        <v>211</v>
      </c>
      <c r="C12" s="63" t="s">
        <v>9</v>
      </c>
      <c r="D12" s="52">
        <v>20</v>
      </c>
      <c r="E12" s="89"/>
      <c r="F12" s="63"/>
      <c r="G12" s="196"/>
      <c r="H12" s="90" t="s">
        <v>397</v>
      </c>
      <c r="I12" s="19"/>
      <c r="J12" s="122"/>
    </row>
    <row r="13" spans="1:10" ht="15.75" x14ac:dyDescent="0.25">
      <c r="A13" s="88">
        <v>61</v>
      </c>
      <c r="B13" s="129" t="s">
        <v>212</v>
      </c>
      <c r="C13" s="63" t="s">
        <v>18</v>
      </c>
      <c r="D13" s="52">
        <v>125</v>
      </c>
      <c r="E13" s="89"/>
      <c r="F13" s="63"/>
      <c r="G13" s="196"/>
      <c r="H13" s="89">
        <v>44136</v>
      </c>
      <c r="I13" s="19"/>
      <c r="J13" s="122"/>
    </row>
    <row r="14" spans="1:10" ht="15.75" x14ac:dyDescent="0.25">
      <c r="A14" s="88">
        <v>62</v>
      </c>
      <c r="B14" s="129" t="s">
        <v>213</v>
      </c>
      <c r="C14" s="87" t="s">
        <v>759</v>
      </c>
      <c r="D14" s="52">
        <v>250</v>
      </c>
      <c r="E14" s="90"/>
      <c r="F14" s="87"/>
      <c r="G14" s="196"/>
      <c r="H14" s="90" t="s">
        <v>397</v>
      </c>
      <c r="I14" s="20"/>
      <c r="J14" s="122"/>
    </row>
    <row r="15" spans="1:10" ht="15.75" x14ac:dyDescent="0.25">
      <c r="A15" s="101">
        <v>62</v>
      </c>
      <c r="B15" s="163" t="s">
        <v>213</v>
      </c>
      <c r="C15" s="57" t="s">
        <v>15</v>
      </c>
      <c r="D15" s="55">
        <v>1000</v>
      </c>
      <c r="E15" s="109">
        <v>43993</v>
      </c>
      <c r="F15" s="121"/>
      <c r="G15" s="192">
        <v>1000</v>
      </c>
      <c r="H15" s="109">
        <v>45595</v>
      </c>
      <c r="I15" s="122"/>
      <c r="J15" s="122"/>
    </row>
    <row r="16" spans="1:10" ht="15.75" x14ac:dyDescent="0.25">
      <c r="A16" s="88">
        <v>63</v>
      </c>
      <c r="B16" s="129" t="s">
        <v>214</v>
      </c>
      <c r="C16" s="57" t="s">
        <v>15</v>
      </c>
      <c r="D16" s="52">
        <v>500</v>
      </c>
      <c r="E16" s="89"/>
      <c r="F16" s="63"/>
      <c r="G16" s="196">
        <v>500</v>
      </c>
      <c r="H16" s="89">
        <v>45473</v>
      </c>
      <c r="I16" s="19"/>
      <c r="J16" s="122"/>
    </row>
    <row r="17" spans="1:10" ht="15.75" x14ac:dyDescent="0.25">
      <c r="A17" s="88">
        <v>65</v>
      </c>
      <c r="B17" s="129" t="s">
        <v>674</v>
      </c>
      <c r="C17" s="63" t="s">
        <v>18</v>
      </c>
      <c r="D17" s="52">
        <v>800</v>
      </c>
      <c r="E17" s="89"/>
      <c r="F17" s="63"/>
      <c r="G17" s="196"/>
      <c r="H17" s="90" t="s">
        <v>397</v>
      </c>
      <c r="I17" s="19"/>
      <c r="J17" s="122"/>
    </row>
    <row r="18" spans="1:10" ht="15.75" x14ac:dyDescent="0.25">
      <c r="A18" s="88">
        <v>66</v>
      </c>
      <c r="B18" s="129" t="s">
        <v>215</v>
      </c>
      <c r="C18" s="63" t="s">
        <v>216</v>
      </c>
      <c r="D18" s="52">
        <v>10</v>
      </c>
      <c r="E18" s="89"/>
      <c r="F18" s="63"/>
      <c r="G18" s="196"/>
      <c r="H18" s="90" t="s">
        <v>397</v>
      </c>
      <c r="I18" s="19"/>
      <c r="J18" s="122"/>
    </row>
    <row r="19" spans="1:10" ht="15.75" x14ac:dyDescent="0.25">
      <c r="A19" s="88">
        <v>67</v>
      </c>
      <c r="B19" s="129" t="s">
        <v>675</v>
      </c>
      <c r="C19" s="63" t="s">
        <v>41</v>
      </c>
      <c r="D19" s="52">
        <v>125</v>
      </c>
      <c r="E19" s="89"/>
      <c r="F19" s="63"/>
      <c r="G19" s="196"/>
      <c r="H19" s="90" t="s">
        <v>397</v>
      </c>
      <c r="I19" s="19"/>
      <c r="J19" s="122"/>
    </row>
    <row r="20" spans="1:10" ht="31.5" x14ac:dyDescent="0.25">
      <c r="A20" s="88">
        <v>68</v>
      </c>
      <c r="B20" s="129" t="s">
        <v>590</v>
      </c>
      <c r="C20" s="63" t="s">
        <v>760</v>
      </c>
      <c r="D20" s="52">
        <v>2</v>
      </c>
      <c r="E20" s="89"/>
      <c r="F20" s="63"/>
      <c r="G20" s="196"/>
      <c r="H20" s="90" t="s">
        <v>397</v>
      </c>
      <c r="I20" s="19"/>
      <c r="J20" s="122"/>
    </row>
    <row r="21" spans="1:10" ht="15.75" x14ac:dyDescent="0.25">
      <c r="A21" s="88">
        <v>69</v>
      </c>
      <c r="B21" s="129" t="s">
        <v>677</v>
      </c>
      <c r="C21" s="63" t="s">
        <v>18</v>
      </c>
      <c r="D21" s="52">
        <v>450</v>
      </c>
      <c r="E21" s="89"/>
      <c r="F21" s="63"/>
      <c r="G21" s="196"/>
      <c r="H21" s="90" t="s">
        <v>397</v>
      </c>
      <c r="I21" s="19"/>
      <c r="J21" s="122"/>
    </row>
    <row r="22" spans="1:10" ht="15.75" x14ac:dyDescent="0.25">
      <c r="A22" s="88">
        <v>70</v>
      </c>
      <c r="B22" s="129" t="s">
        <v>678</v>
      </c>
      <c r="C22" s="63" t="s">
        <v>200</v>
      </c>
      <c r="D22" s="52">
        <v>300</v>
      </c>
      <c r="E22" s="89"/>
      <c r="F22" s="63"/>
      <c r="G22" s="196"/>
      <c r="H22" s="90" t="s">
        <v>397</v>
      </c>
      <c r="I22" s="19"/>
      <c r="J22" s="122"/>
    </row>
    <row r="23" spans="1:10" ht="15.75" x14ac:dyDescent="0.25">
      <c r="A23" s="88">
        <v>71</v>
      </c>
      <c r="B23" s="129" t="s">
        <v>219</v>
      </c>
      <c r="C23" s="63" t="s">
        <v>759</v>
      </c>
      <c r="D23" s="52"/>
      <c r="E23" s="89"/>
      <c r="F23" s="63"/>
      <c r="G23" s="196"/>
      <c r="H23" s="89">
        <v>43070</v>
      </c>
      <c r="I23" s="19"/>
      <c r="J23" s="122"/>
    </row>
    <row r="24" spans="1:10" ht="15.75" hidden="1" x14ac:dyDescent="0.25">
      <c r="A24" s="88">
        <v>72</v>
      </c>
      <c r="B24" s="129" t="s">
        <v>688</v>
      </c>
      <c r="C24" s="63" t="s">
        <v>15</v>
      </c>
      <c r="D24" s="52"/>
      <c r="E24" s="89"/>
      <c r="F24" s="63"/>
      <c r="G24" s="196"/>
      <c r="H24" s="89">
        <v>43311</v>
      </c>
      <c r="I24" s="19"/>
      <c r="J24" s="320">
        <v>44271</v>
      </c>
    </row>
    <row r="25" spans="1:10" ht="15.75" x14ac:dyDescent="0.25">
      <c r="A25" s="88">
        <v>72</v>
      </c>
      <c r="B25" s="129" t="s">
        <v>688</v>
      </c>
      <c r="C25" s="87" t="s">
        <v>18</v>
      </c>
      <c r="D25" s="52">
        <v>125</v>
      </c>
      <c r="E25" s="90"/>
      <c r="F25" s="87"/>
      <c r="G25" s="196"/>
      <c r="H25" s="90">
        <v>44501</v>
      </c>
      <c r="I25" s="19"/>
      <c r="J25" s="122"/>
    </row>
    <row r="26" spans="1:10" ht="15.75" x14ac:dyDescent="0.25">
      <c r="A26" s="88">
        <v>73</v>
      </c>
      <c r="B26" s="129" t="s">
        <v>220</v>
      </c>
      <c r="C26" s="63" t="s">
        <v>9</v>
      </c>
      <c r="D26" s="52">
        <v>20</v>
      </c>
      <c r="E26" s="89"/>
      <c r="F26" s="63"/>
      <c r="G26" s="196"/>
      <c r="H26" s="90" t="s">
        <v>397</v>
      </c>
      <c r="I26" s="19"/>
      <c r="J26" s="122"/>
    </row>
    <row r="27" spans="1:10" ht="15.75" x14ac:dyDescent="0.25">
      <c r="A27" s="88">
        <v>74</v>
      </c>
      <c r="B27" s="129" t="s">
        <v>221</v>
      </c>
      <c r="C27" s="63" t="s">
        <v>11</v>
      </c>
      <c r="D27" s="52">
        <v>400</v>
      </c>
      <c r="E27" s="89"/>
      <c r="F27" s="63"/>
      <c r="G27" s="196"/>
      <c r="H27" s="89" t="s">
        <v>397</v>
      </c>
      <c r="I27" s="19"/>
      <c r="J27" s="122"/>
    </row>
    <row r="28" spans="1:10" ht="31.5" x14ac:dyDescent="0.25">
      <c r="A28" s="88">
        <v>75</v>
      </c>
      <c r="B28" s="129" t="s">
        <v>223</v>
      </c>
      <c r="C28" s="63" t="s">
        <v>761</v>
      </c>
      <c r="D28" s="52">
        <v>250</v>
      </c>
      <c r="E28" s="89"/>
      <c r="F28" s="63"/>
      <c r="G28" s="196"/>
      <c r="H28" s="89" t="s">
        <v>397</v>
      </c>
      <c r="I28" s="19"/>
      <c r="J28" s="122"/>
    </row>
    <row r="29" spans="1:10" ht="15.75" x14ac:dyDescent="0.25">
      <c r="A29" s="88">
        <v>76</v>
      </c>
      <c r="B29" s="129" t="s">
        <v>222</v>
      </c>
      <c r="C29" s="63" t="s">
        <v>11</v>
      </c>
      <c r="D29" s="53">
        <v>20</v>
      </c>
      <c r="E29" s="89"/>
      <c r="F29" s="63"/>
      <c r="G29" s="197"/>
      <c r="H29" s="89" t="s">
        <v>397</v>
      </c>
      <c r="I29" s="19"/>
      <c r="J29" s="122"/>
    </row>
    <row r="30" spans="1:10" ht="15.75" x14ac:dyDescent="0.25">
      <c r="A30" s="88">
        <v>77</v>
      </c>
      <c r="B30" s="129" t="s">
        <v>232</v>
      </c>
      <c r="C30" s="63" t="s">
        <v>759</v>
      </c>
      <c r="D30" s="52">
        <v>50</v>
      </c>
      <c r="E30" s="89"/>
      <c r="F30" s="63"/>
      <c r="G30" s="196"/>
      <c r="H30" s="89" t="s">
        <v>397</v>
      </c>
      <c r="I30" s="19"/>
      <c r="J30" s="122"/>
    </row>
    <row r="31" spans="1:10" ht="15.75" x14ac:dyDescent="0.25">
      <c r="A31" s="88">
        <v>78</v>
      </c>
      <c r="B31" s="129" t="s">
        <v>224</v>
      </c>
      <c r="C31" s="63" t="s">
        <v>760</v>
      </c>
      <c r="D31" s="52">
        <v>25</v>
      </c>
      <c r="E31" s="89"/>
      <c r="F31" s="63"/>
      <c r="G31" s="196"/>
      <c r="H31" s="89" t="s">
        <v>397</v>
      </c>
      <c r="I31" s="19"/>
      <c r="J31" s="122"/>
    </row>
    <row r="32" spans="1:10" ht="15.75" x14ac:dyDescent="0.25">
      <c r="A32" s="88">
        <v>79</v>
      </c>
      <c r="B32" s="129" t="s">
        <v>225</v>
      </c>
      <c r="C32" s="63" t="s">
        <v>11</v>
      </c>
      <c r="D32" s="52">
        <v>200</v>
      </c>
      <c r="E32" s="89"/>
      <c r="F32" s="63"/>
      <c r="G32" s="196"/>
      <c r="H32" s="90" t="s">
        <v>397</v>
      </c>
      <c r="I32" s="19"/>
      <c r="J32" s="122"/>
    </row>
    <row r="33" spans="1:10" ht="15.75" x14ac:dyDescent="0.25">
      <c r="A33" s="88">
        <v>79</v>
      </c>
      <c r="B33" s="129" t="s">
        <v>225</v>
      </c>
      <c r="C33" s="63" t="s">
        <v>15</v>
      </c>
      <c r="D33" s="52">
        <v>50</v>
      </c>
      <c r="E33" s="89">
        <v>43879</v>
      </c>
      <c r="F33" s="63"/>
      <c r="G33" s="196"/>
      <c r="H33" s="89" t="s">
        <v>397</v>
      </c>
      <c r="I33" s="19"/>
      <c r="J33" s="122"/>
    </row>
    <row r="34" spans="1:10" ht="15.75" x14ac:dyDescent="0.25">
      <c r="A34" s="88">
        <v>79</v>
      </c>
      <c r="B34" s="129" t="s">
        <v>225</v>
      </c>
      <c r="C34" s="87" t="s">
        <v>15</v>
      </c>
      <c r="D34" s="52">
        <v>50</v>
      </c>
      <c r="E34" s="90">
        <v>43879</v>
      </c>
      <c r="F34" s="87"/>
      <c r="G34" s="196"/>
      <c r="H34" s="89" t="s">
        <v>397</v>
      </c>
      <c r="I34" s="19"/>
      <c r="J34" s="122"/>
    </row>
    <row r="35" spans="1:10" ht="15.75" x14ac:dyDescent="0.25">
      <c r="A35" s="88">
        <v>80</v>
      </c>
      <c r="B35" s="129" t="s">
        <v>226</v>
      </c>
      <c r="C35" s="63" t="s">
        <v>9</v>
      </c>
      <c r="D35" s="52">
        <v>40</v>
      </c>
      <c r="E35" s="89"/>
      <c r="F35" s="63"/>
      <c r="G35" s="196"/>
      <c r="H35" s="89" t="s">
        <v>397</v>
      </c>
      <c r="I35" s="19"/>
      <c r="J35" s="122"/>
    </row>
    <row r="36" spans="1:10" ht="15.75" x14ac:dyDescent="0.25">
      <c r="A36" s="88">
        <v>81</v>
      </c>
      <c r="B36" s="129" t="s">
        <v>227</v>
      </c>
      <c r="C36" s="63" t="s">
        <v>762</v>
      </c>
      <c r="D36" s="52">
        <v>500</v>
      </c>
      <c r="E36" s="89"/>
      <c r="F36" s="63"/>
      <c r="G36" s="196"/>
      <c r="H36" s="89" t="s">
        <v>397</v>
      </c>
      <c r="I36" s="19"/>
      <c r="J36" s="122"/>
    </row>
    <row r="37" spans="1:10" ht="15.75" x14ac:dyDescent="0.25">
      <c r="A37" s="88">
        <v>81</v>
      </c>
      <c r="B37" s="129" t="s">
        <v>227</v>
      </c>
      <c r="C37" s="87" t="s">
        <v>763</v>
      </c>
      <c r="D37" s="52">
        <v>400</v>
      </c>
      <c r="E37" s="90"/>
      <c r="F37" s="87"/>
      <c r="G37" s="196"/>
      <c r="H37" s="90" t="s">
        <v>397</v>
      </c>
      <c r="I37" s="19"/>
      <c r="J37" s="122"/>
    </row>
    <row r="38" spans="1:10" ht="15.75" x14ac:dyDescent="0.25">
      <c r="A38" s="88">
        <v>82</v>
      </c>
      <c r="B38" s="129" t="s">
        <v>228</v>
      </c>
      <c r="C38" s="63" t="s">
        <v>28</v>
      </c>
      <c r="D38" s="52">
        <v>125</v>
      </c>
      <c r="E38" s="89"/>
      <c r="F38" s="63"/>
      <c r="G38" s="196"/>
      <c r="H38" s="90" t="s">
        <v>397</v>
      </c>
      <c r="I38" s="19"/>
      <c r="J38" s="122"/>
    </row>
    <row r="39" spans="1:10" ht="15.75" x14ac:dyDescent="0.25">
      <c r="A39" s="88">
        <v>83</v>
      </c>
      <c r="B39" s="129" t="s">
        <v>689</v>
      </c>
      <c r="C39" s="63" t="s">
        <v>9</v>
      </c>
      <c r="D39" s="52">
        <v>20</v>
      </c>
      <c r="E39" s="89"/>
      <c r="F39" s="63"/>
      <c r="G39" s="196"/>
      <c r="H39" s="89" t="s">
        <v>397</v>
      </c>
      <c r="I39" s="19"/>
      <c r="J39" s="122"/>
    </row>
    <row r="40" spans="1:10" ht="15.75" x14ac:dyDescent="0.25">
      <c r="A40" s="88">
        <v>85</v>
      </c>
      <c r="B40" s="129" t="s">
        <v>690</v>
      </c>
      <c r="C40" s="63" t="s">
        <v>18</v>
      </c>
      <c r="D40" s="52">
        <v>20</v>
      </c>
      <c r="E40" s="89"/>
      <c r="F40" s="63"/>
      <c r="G40" s="196"/>
      <c r="H40" s="89">
        <v>44986</v>
      </c>
      <c r="I40" s="19"/>
      <c r="J40" s="122"/>
    </row>
    <row r="41" spans="1:10" ht="15.75" x14ac:dyDescent="0.25">
      <c r="A41" s="88">
        <v>85</v>
      </c>
      <c r="B41" s="129" t="s">
        <v>690</v>
      </c>
      <c r="C41" s="87" t="s">
        <v>229</v>
      </c>
      <c r="D41" s="52">
        <v>350</v>
      </c>
      <c r="E41" s="90"/>
      <c r="F41" s="87"/>
      <c r="G41" s="196"/>
      <c r="H41" s="90" t="s">
        <v>397</v>
      </c>
      <c r="I41" s="19"/>
      <c r="J41" s="122"/>
    </row>
    <row r="42" spans="1:10" ht="15.75" x14ac:dyDescent="0.25">
      <c r="A42" s="88">
        <v>86</v>
      </c>
      <c r="B42" s="129" t="s">
        <v>230</v>
      </c>
      <c r="C42" s="87" t="s">
        <v>767</v>
      </c>
      <c r="D42" s="52">
        <v>200</v>
      </c>
      <c r="E42" s="90"/>
      <c r="F42" s="87"/>
      <c r="G42" s="196"/>
      <c r="H42" s="90" t="s">
        <v>397</v>
      </c>
      <c r="I42" s="19"/>
      <c r="J42" s="122"/>
    </row>
    <row r="43" spans="1:10" ht="15.75" hidden="1" x14ac:dyDescent="0.25">
      <c r="A43" s="88">
        <v>87</v>
      </c>
      <c r="B43" s="129" t="s">
        <v>692</v>
      </c>
      <c r="C43" s="63" t="s">
        <v>11</v>
      </c>
      <c r="D43" s="52"/>
      <c r="E43" s="89"/>
      <c r="F43" s="63"/>
      <c r="G43" s="196"/>
      <c r="H43" s="89" t="s">
        <v>397</v>
      </c>
      <c r="I43" s="19"/>
      <c r="J43" s="320">
        <v>44271</v>
      </c>
    </row>
    <row r="44" spans="1:10" ht="15.75" x14ac:dyDescent="0.25">
      <c r="A44" s="88">
        <v>87</v>
      </c>
      <c r="B44" s="129" t="s">
        <v>692</v>
      </c>
      <c r="C44" s="87" t="s">
        <v>15</v>
      </c>
      <c r="D44" s="52">
        <v>17</v>
      </c>
      <c r="E44" s="90"/>
      <c r="F44" s="87"/>
      <c r="G44" s="196"/>
      <c r="H44" s="90">
        <v>44895</v>
      </c>
      <c r="I44" s="19"/>
      <c r="J44" s="122"/>
    </row>
    <row r="45" spans="1:10" ht="15.75" x14ac:dyDescent="0.25">
      <c r="A45" s="88">
        <v>88</v>
      </c>
      <c r="B45" s="129" t="s">
        <v>231</v>
      </c>
      <c r="C45" s="63" t="s">
        <v>764</v>
      </c>
      <c r="D45" s="52"/>
      <c r="E45" s="89"/>
      <c r="F45" s="63"/>
      <c r="G45" s="196"/>
      <c r="H45" s="89" t="s">
        <v>397</v>
      </c>
      <c r="I45" s="19"/>
      <c r="J45" s="122"/>
    </row>
    <row r="46" spans="1:10" ht="15.75" x14ac:dyDescent="0.25">
      <c r="A46" s="88">
        <v>89</v>
      </c>
      <c r="B46" s="129" t="s">
        <v>245</v>
      </c>
      <c r="C46" s="63" t="s">
        <v>765</v>
      </c>
      <c r="D46" s="54">
        <v>50</v>
      </c>
      <c r="E46" s="89"/>
      <c r="F46" s="63"/>
      <c r="G46" s="198"/>
      <c r="H46" s="90" t="s">
        <v>397</v>
      </c>
      <c r="I46" s="19"/>
      <c r="J46" s="122"/>
    </row>
    <row r="47" spans="1:10" ht="15.75" x14ac:dyDescent="0.25">
      <c r="A47" s="88">
        <v>90</v>
      </c>
      <c r="B47" s="129" t="s">
        <v>233</v>
      </c>
      <c r="C47" s="63" t="s">
        <v>11</v>
      </c>
      <c r="D47" s="52"/>
      <c r="E47" s="89"/>
      <c r="F47" s="63"/>
      <c r="G47" s="196"/>
      <c r="H47" s="89" t="s">
        <v>397</v>
      </c>
      <c r="I47" s="19"/>
      <c r="J47" s="122"/>
    </row>
    <row r="48" spans="1:10" ht="15.75" x14ac:dyDescent="0.25">
      <c r="A48" s="88">
        <v>92</v>
      </c>
      <c r="B48" s="129" t="s">
        <v>234</v>
      </c>
      <c r="C48" s="63" t="s">
        <v>18</v>
      </c>
      <c r="D48" s="52">
        <v>450</v>
      </c>
      <c r="E48" s="89"/>
      <c r="F48" s="63"/>
      <c r="G48" s="196"/>
      <c r="H48" s="89" t="s">
        <v>397</v>
      </c>
      <c r="I48" s="19"/>
      <c r="J48" s="122"/>
    </row>
    <row r="49" spans="1:10" ht="15.75" x14ac:dyDescent="0.25">
      <c r="A49" s="88">
        <v>92</v>
      </c>
      <c r="B49" s="129" t="s">
        <v>234</v>
      </c>
      <c r="C49" s="87" t="s">
        <v>15</v>
      </c>
      <c r="D49" s="52">
        <v>250</v>
      </c>
      <c r="E49" s="90"/>
      <c r="F49" s="87"/>
      <c r="G49" s="196"/>
      <c r="H49" s="90">
        <v>44956</v>
      </c>
      <c r="I49" s="19"/>
      <c r="J49" s="122"/>
    </row>
    <row r="50" spans="1:10" ht="31.5" x14ac:dyDescent="0.25">
      <c r="A50" s="101">
        <v>93</v>
      </c>
      <c r="B50" s="163" t="s">
        <v>905</v>
      </c>
      <c r="C50" s="57" t="s">
        <v>15</v>
      </c>
      <c r="D50" s="55">
        <v>250</v>
      </c>
      <c r="E50" s="195">
        <v>43993</v>
      </c>
      <c r="F50" s="192"/>
      <c r="G50" s="192">
        <v>250</v>
      </c>
      <c r="H50" s="276">
        <v>45076</v>
      </c>
      <c r="I50" s="122"/>
      <c r="J50" s="122"/>
    </row>
    <row r="51" spans="1:10" ht="15.75" x14ac:dyDescent="0.25">
      <c r="A51" s="88">
        <v>94</v>
      </c>
      <c r="B51" s="129" t="s">
        <v>589</v>
      </c>
      <c r="C51" s="87" t="s">
        <v>216</v>
      </c>
      <c r="D51" s="52">
        <v>1</v>
      </c>
      <c r="E51" s="90"/>
      <c r="F51" s="87"/>
      <c r="G51" s="196"/>
      <c r="H51" s="90" t="s">
        <v>397</v>
      </c>
      <c r="I51" s="19"/>
      <c r="J51" s="122"/>
    </row>
    <row r="52" spans="1:10" ht="15.75" x14ac:dyDescent="0.25">
      <c r="A52" s="88">
        <v>94</v>
      </c>
      <c r="B52" s="129" t="s">
        <v>589</v>
      </c>
      <c r="C52" s="87" t="s">
        <v>216</v>
      </c>
      <c r="D52" s="52">
        <v>1</v>
      </c>
      <c r="E52" s="90"/>
      <c r="F52" s="87"/>
      <c r="G52" s="196"/>
      <c r="H52" s="90" t="s">
        <v>397</v>
      </c>
      <c r="I52" s="19"/>
      <c r="J52" s="122"/>
    </row>
    <row r="53" spans="1:10" ht="15.75" x14ac:dyDescent="0.25">
      <c r="A53" s="88">
        <v>95</v>
      </c>
      <c r="B53" s="129" t="s">
        <v>693</v>
      </c>
      <c r="C53" s="63" t="s">
        <v>11</v>
      </c>
      <c r="D53" s="52">
        <v>200</v>
      </c>
      <c r="E53" s="89"/>
      <c r="F53" s="63"/>
      <c r="G53" s="196"/>
      <c r="H53" s="89" t="s">
        <v>397</v>
      </c>
      <c r="I53" s="19"/>
      <c r="J53" s="122"/>
    </row>
    <row r="54" spans="1:10" ht="15.75" x14ac:dyDescent="0.25">
      <c r="A54" s="88">
        <v>96</v>
      </c>
      <c r="B54" s="129" t="s">
        <v>694</v>
      </c>
      <c r="C54" s="63" t="s">
        <v>11</v>
      </c>
      <c r="D54" s="52">
        <v>700</v>
      </c>
      <c r="E54" s="89"/>
      <c r="F54" s="63"/>
      <c r="G54" s="196"/>
      <c r="H54" s="89" t="s">
        <v>397</v>
      </c>
      <c r="I54" s="19"/>
      <c r="J54" s="122"/>
    </row>
    <row r="55" spans="1:10" ht="15.75" x14ac:dyDescent="0.25">
      <c r="A55" s="88">
        <v>97</v>
      </c>
      <c r="B55" s="129" t="s">
        <v>235</v>
      </c>
      <c r="C55" s="63" t="s">
        <v>9</v>
      </c>
      <c r="D55" s="52">
        <v>1900</v>
      </c>
      <c r="E55" s="89"/>
      <c r="F55" s="63"/>
      <c r="G55" s="196"/>
      <c r="H55" s="89" t="s">
        <v>397</v>
      </c>
      <c r="I55" s="19"/>
      <c r="J55" s="122"/>
    </row>
    <row r="56" spans="1:10" ht="15.75" x14ac:dyDescent="0.25">
      <c r="A56" s="88">
        <v>97</v>
      </c>
      <c r="B56" s="129" t="s">
        <v>236</v>
      </c>
      <c r="C56" s="87" t="s">
        <v>18</v>
      </c>
      <c r="D56" s="52">
        <v>1000</v>
      </c>
      <c r="E56" s="90"/>
      <c r="F56" s="87"/>
      <c r="G56" s="196"/>
      <c r="H56" s="90" t="s">
        <v>397</v>
      </c>
      <c r="I56" s="19"/>
      <c r="J56" s="122"/>
    </row>
    <row r="57" spans="1:10" ht="15.75" x14ac:dyDescent="0.25">
      <c r="A57" s="88">
        <v>99</v>
      </c>
      <c r="B57" s="129" t="s">
        <v>237</v>
      </c>
      <c r="C57" s="63" t="s">
        <v>759</v>
      </c>
      <c r="D57" s="52">
        <v>50</v>
      </c>
      <c r="E57" s="89"/>
      <c r="F57" s="63"/>
      <c r="G57" s="196"/>
      <c r="H57" s="90" t="s">
        <v>397</v>
      </c>
      <c r="I57" s="19"/>
      <c r="J57" s="122"/>
    </row>
    <row r="58" spans="1:10" ht="15.75" x14ac:dyDescent="0.25">
      <c r="A58" s="88">
        <v>100</v>
      </c>
      <c r="B58" s="129" t="s">
        <v>238</v>
      </c>
      <c r="C58" s="63" t="s">
        <v>200</v>
      </c>
      <c r="D58" s="54">
        <v>500</v>
      </c>
      <c r="E58" s="89"/>
      <c r="F58" s="63"/>
      <c r="G58" s="198"/>
      <c r="H58" s="89" t="s">
        <v>397</v>
      </c>
      <c r="I58" s="19"/>
      <c r="J58" s="122"/>
    </row>
    <row r="59" spans="1:10" ht="15.75" x14ac:dyDescent="0.25">
      <c r="A59" s="88">
        <v>101</v>
      </c>
      <c r="B59" s="129" t="s">
        <v>239</v>
      </c>
      <c r="C59" s="63" t="s">
        <v>9</v>
      </c>
      <c r="D59" s="54">
        <v>700</v>
      </c>
      <c r="E59" s="89"/>
      <c r="F59" s="63"/>
      <c r="G59" s="198"/>
      <c r="H59" s="89" t="s">
        <v>397</v>
      </c>
      <c r="I59" s="19"/>
      <c r="J59" s="122"/>
    </row>
    <row r="60" spans="1:10" ht="15.75" x14ac:dyDescent="0.25">
      <c r="A60" s="88">
        <v>102</v>
      </c>
      <c r="B60" s="129" t="s">
        <v>240</v>
      </c>
      <c r="C60" s="63" t="s">
        <v>766</v>
      </c>
      <c r="D60" s="54">
        <v>600</v>
      </c>
      <c r="E60" s="89"/>
      <c r="F60" s="63"/>
      <c r="G60" s="198"/>
      <c r="H60" s="89" t="s">
        <v>397</v>
      </c>
      <c r="I60" s="19"/>
      <c r="J60" s="122"/>
    </row>
    <row r="61" spans="1:10" ht="15.75" x14ac:dyDescent="0.25">
      <c r="A61" s="88">
        <v>103</v>
      </c>
      <c r="B61" s="129" t="s">
        <v>695</v>
      </c>
      <c r="C61" s="63" t="s">
        <v>756</v>
      </c>
      <c r="D61" s="54">
        <v>450</v>
      </c>
      <c r="E61" s="89"/>
      <c r="F61" s="63"/>
      <c r="G61" s="198"/>
      <c r="H61" s="89" t="s">
        <v>397</v>
      </c>
      <c r="I61" s="19"/>
      <c r="J61" s="122"/>
    </row>
    <row r="62" spans="1:10" ht="15.75" x14ac:dyDescent="0.25">
      <c r="A62" s="88">
        <v>104</v>
      </c>
      <c r="B62" s="129" t="s">
        <v>696</v>
      </c>
      <c r="C62" s="63" t="s">
        <v>18</v>
      </c>
      <c r="D62" s="54">
        <v>400</v>
      </c>
      <c r="E62" s="89"/>
      <c r="F62" s="63"/>
      <c r="G62" s="198"/>
      <c r="H62" s="89" t="s">
        <v>397</v>
      </c>
      <c r="I62" s="19"/>
      <c r="J62" s="122"/>
    </row>
    <row r="63" spans="1:10" ht="15.75" hidden="1" x14ac:dyDescent="0.25">
      <c r="A63" s="88">
        <v>105</v>
      </c>
      <c r="B63" s="129" t="s">
        <v>241</v>
      </c>
      <c r="C63" s="63" t="s">
        <v>767</v>
      </c>
      <c r="D63" s="54"/>
      <c r="E63" s="89"/>
      <c r="F63" s="63"/>
      <c r="G63" s="198"/>
      <c r="H63" s="90" t="s">
        <v>397</v>
      </c>
      <c r="I63" s="19"/>
      <c r="J63" s="320" t="s">
        <v>1050</v>
      </c>
    </row>
    <row r="64" spans="1:10" ht="15.75" hidden="1" x14ac:dyDescent="0.25">
      <c r="A64" s="88">
        <v>105</v>
      </c>
      <c r="B64" s="129" t="s">
        <v>241</v>
      </c>
      <c r="C64" s="87" t="s">
        <v>15</v>
      </c>
      <c r="D64" s="54"/>
      <c r="E64" s="90"/>
      <c r="F64" s="87"/>
      <c r="G64" s="198"/>
      <c r="H64" s="90" t="s">
        <v>397</v>
      </c>
      <c r="I64" s="19"/>
      <c r="J64" s="122" t="s">
        <v>1050</v>
      </c>
    </row>
    <row r="65" spans="1:10" ht="15.75" x14ac:dyDescent="0.25">
      <c r="A65" s="88">
        <v>106</v>
      </c>
      <c r="B65" s="129" t="s">
        <v>242</v>
      </c>
      <c r="C65" s="63" t="s">
        <v>766</v>
      </c>
      <c r="D65" s="54">
        <v>250</v>
      </c>
      <c r="E65" s="89"/>
      <c r="F65" s="63"/>
      <c r="G65" s="198"/>
      <c r="H65" s="89" t="s">
        <v>397</v>
      </c>
      <c r="I65" s="19"/>
      <c r="J65" s="122"/>
    </row>
    <row r="66" spans="1:10" ht="15.75" x14ac:dyDescent="0.25">
      <c r="A66" s="88">
        <v>107</v>
      </c>
      <c r="B66" s="129" t="s">
        <v>243</v>
      </c>
      <c r="C66" s="63" t="s">
        <v>766</v>
      </c>
      <c r="D66" s="54">
        <v>600</v>
      </c>
      <c r="E66" s="89"/>
      <c r="F66" s="63"/>
      <c r="G66" s="198"/>
      <c r="H66" s="89" t="s">
        <v>397</v>
      </c>
      <c r="I66" s="19"/>
      <c r="J66" s="122"/>
    </row>
    <row r="67" spans="1:10" ht="15.75" x14ac:dyDescent="0.25">
      <c r="A67" s="88">
        <v>108</v>
      </c>
      <c r="B67" s="129" t="s">
        <v>244</v>
      </c>
      <c r="C67" s="87" t="s">
        <v>18</v>
      </c>
      <c r="D67" s="54">
        <v>100</v>
      </c>
      <c r="E67" s="90"/>
      <c r="F67" s="87"/>
      <c r="G67" s="198"/>
      <c r="H67" s="90">
        <v>45047</v>
      </c>
      <c r="I67" s="19"/>
      <c r="J67" s="122"/>
    </row>
    <row r="68" spans="1:10" ht="15.75" x14ac:dyDescent="0.25">
      <c r="A68" s="88">
        <v>110</v>
      </c>
      <c r="B68" s="129" t="s">
        <v>691</v>
      </c>
      <c r="C68" s="63" t="s">
        <v>15</v>
      </c>
      <c r="D68" s="52">
        <v>30</v>
      </c>
      <c r="E68" s="89"/>
      <c r="F68" s="63"/>
      <c r="G68" s="196"/>
      <c r="H68" s="89">
        <v>44377</v>
      </c>
      <c r="I68" s="19"/>
      <c r="J68" s="122"/>
    </row>
    <row r="69" spans="1:10" ht="15.75" x14ac:dyDescent="0.25">
      <c r="A69" s="88">
        <v>112</v>
      </c>
      <c r="B69" s="129" t="s">
        <v>676</v>
      </c>
      <c r="C69" s="63" t="s">
        <v>18</v>
      </c>
      <c r="D69" s="52">
        <v>2</v>
      </c>
      <c r="E69" s="89"/>
      <c r="F69" s="63"/>
      <c r="G69" s="196"/>
      <c r="H69" s="89" t="s">
        <v>397</v>
      </c>
      <c r="I69" s="19"/>
      <c r="J69" s="122"/>
    </row>
    <row r="70" spans="1:10" ht="15.75" x14ac:dyDescent="0.25">
      <c r="A70" s="88"/>
      <c r="B70" s="129" t="s">
        <v>203</v>
      </c>
      <c r="C70" s="63" t="s">
        <v>11</v>
      </c>
      <c r="D70" s="52"/>
      <c r="E70" s="89"/>
      <c r="F70" s="63"/>
      <c r="G70" s="196"/>
      <c r="H70" s="89" t="s">
        <v>397</v>
      </c>
      <c r="I70" s="19"/>
      <c r="J70" s="122"/>
    </row>
    <row r="71" spans="1:10" ht="15.75" x14ac:dyDescent="0.25">
      <c r="A71" s="88"/>
      <c r="B71" s="129" t="s">
        <v>208</v>
      </c>
      <c r="C71" s="63" t="s">
        <v>759</v>
      </c>
      <c r="D71" s="52"/>
      <c r="E71" s="89"/>
      <c r="F71" s="63"/>
      <c r="G71" s="196"/>
      <c r="H71" s="89" t="s">
        <v>397</v>
      </c>
      <c r="I71" s="19"/>
      <c r="J71" s="122"/>
    </row>
    <row r="72" spans="1:10" ht="15.75" x14ac:dyDescent="0.25">
      <c r="A72" s="88"/>
      <c r="B72" s="129" t="s">
        <v>209</v>
      </c>
      <c r="C72" s="63" t="s">
        <v>759</v>
      </c>
      <c r="D72" s="52"/>
      <c r="E72" s="89"/>
      <c r="F72" s="63"/>
      <c r="G72" s="196"/>
      <c r="H72" s="89" t="s">
        <v>397</v>
      </c>
      <c r="I72" s="19"/>
      <c r="J72" s="122"/>
    </row>
    <row r="73" spans="1:10" ht="15.75" x14ac:dyDescent="0.25">
      <c r="A73" s="88"/>
      <c r="B73" s="129" t="s">
        <v>217</v>
      </c>
      <c r="C73" s="63" t="s">
        <v>218</v>
      </c>
      <c r="D73" s="52">
        <v>400</v>
      </c>
      <c r="E73" s="89"/>
      <c r="F73" s="63"/>
      <c r="G73" s="196"/>
      <c r="H73" s="89">
        <v>44593</v>
      </c>
      <c r="I73" s="19"/>
      <c r="J73" s="122"/>
    </row>
    <row r="74" spans="1:10" ht="15.75" x14ac:dyDescent="0.25">
      <c r="A74" s="101"/>
      <c r="B74" s="163" t="s">
        <v>754</v>
      </c>
      <c r="C74" s="57" t="s">
        <v>759</v>
      </c>
      <c r="D74" s="55"/>
      <c r="E74" s="276"/>
      <c r="F74" s="121"/>
      <c r="G74" s="192"/>
      <c r="H74" s="276" t="s">
        <v>397</v>
      </c>
      <c r="I74" s="122"/>
      <c r="J74" s="122"/>
    </row>
    <row r="75" spans="1:10" ht="15.75" x14ac:dyDescent="0.25">
      <c r="A75" s="101"/>
      <c r="B75" s="163" t="s">
        <v>1061</v>
      </c>
      <c r="C75" s="57" t="s">
        <v>18</v>
      </c>
      <c r="D75" s="57">
        <v>100</v>
      </c>
      <c r="E75" s="368"/>
      <c r="F75" s="192"/>
      <c r="G75" s="192">
        <v>250</v>
      </c>
      <c r="H75" s="276" t="s">
        <v>397</v>
      </c>
      <c r="I75" s="122"/>
      <c r="J75" s="122"/>
    </row>
  </sheetData>
  <sheetProtection sheet="1" objects="1" scenarios="1" formatColumns="0" formatRows="0" sort="0" autoFilter="0"/>
  <mergeCells count="1">
    <mergeCell ref="E1:J1"/>
  </mergeCells>
  <conditionalFormatting sqref="H3:H75">
    <cfRule type="cellIs" dxfId="2" priority="2" operator="lessThan">
      <formula>NOW()</formula>
    </cfRule>
  </conditionalFormatting>
  <conditionalFormatting sqref="A3:J99">
    <cfRule type="expression" dxfId="1" priority="1">
      <formula>$I3="No lo encontré"</formula>
    </cfRule>
  </conditionalFormatting>
  <hyperlinks>
    <hyperlink ref="A1" location="'Estado general'!A13" display="General" xr:uid="{00000000-0004-0000-0E00-000000000000}"/>
    <hyperlink ref="D1" location="'Insumos a comprar'!A1" display="A comprar" xr:uid="{00000000-0004-0000-0E00-000001000000}"/>
  </hyperlinks>
  <pageMargins left="0.75" right="0.75" top="1" bottom="1" header="0" footer="0"/>
  <pageSetup scale="37" orientation="portrait" r:id="rId1"/>
  <headerFooter alignWithMargins="0"/>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prompt="Nombre del insumo con el catión primero" xr:uid="{00000000-0002-0000-0E00-000000000000}">
          <x14:formula1>
            <xm:f>Datos!$B$2:$B$100</xm:f>
          </x14:formula1>
          <xm:sqref>B3:B75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C000"/>
    <pageSetUpPr autoPageBreaks="0" fitToPage="1"/>
  </sheetPr>
  <dimension ref="A1:K70"/>
  <sheetViews>
    <sheetView showGridLines="0" zoomScaleNormal="100" workbookViewId="0">
      <selection activeCell="H15" sqref="H15"/>
    </sheetView>
  </sheetViews>
  <sheetFormatPr defaultColWidth="11.42578125" defaultRowHeight="15.75" x14ac:dyDescent="0.25"/>
  <cols>
    <col min="1" max="1" width="46.7109375" style="167" bestFit="1" customWidth="1"/>
    <col min="2" max="2" width="13.140625" style="80" bestFit="1" customWidth="1"/>
    <col min="3" max="3" width="14.5703125" style="80" bestFit="1" customWidth="1"/>
    <col min="4" max="4" width="15.42578125" style="80" bestFit="1" customWidth="1"/>
    <col min="5" max="5" width="15.42578125" style="80" customWidth="1"/>
    <col min="6" max="7" width="12.28515625" style="80" bestFit="1" customWidth="1"/>
    <col min="8" max="8" width="16.5703125" style="80" bestFit="1" customWidth="1"/>
    <col min="9" max="9" width="20.85546875" style="80" bestFit="1" customWidth="1"/>
    <col min="10" max="10" width="31.140625" style="80" bestFit="1" customWidth="1"/>
    <col min="11" max="11" width="26.42578125" style="80" bestFit="1" customWidth="1"/>
    <col min="12" max="12" width="22.7109375" style="80" customWidth="1"/>
    <col min="13" max="252" width="11.42578125" style="80"/>
    <col min="253" max="253" width="43.28515625" style="80" customWidth="1"/>
    <col min="254" max="254" width="9.42578125" style="80" customWidth="1"/>
    <col min="255" max="255" width="12.42578125" style="80" bestFit="1" customWidth="1"/>
    <col min="256" max="257" width="12.42578125" style="80" customWidth="1"/>
    <col min="258" max="258" width="25.7109375" style="80" customWidth="1"/>
    <col min="259" max="259" width="14" style="80" customWidth="1"/>
    <col min="260" max="260" width="8.85546875" style="80" customWidth="1"/>
    <col min="261" max="261" width="10.140625" style="80" customWidth="1"/>
    <col min="262" max="262" width="10.42578125" style="80" bestFit="1" customWidth="1"/>
    <col min="263" max="263" width="11.140625" style="80" customWidth="1"/>
    <col min="264" max="264" width="20.28515625" style="80" customWidth="1"/>
    <col min="265" max="266" width="21.5703125" style="80" customWidth="1"/>
    <col min="267" max="508" width="11.42578125" style="80"/>
    <col min="509" max="509" width="43.28515625" style="80" customWidth="1"/>
    <col min="510" max="510" width="9.42578125" style="80" customWidth="1"/>
    <col min="511" max="511" width="12.42578125" style="80" bestFit="1" customWidth="1"/>
    <col min="512" max="513" width="12.42578125" style="80" customWidth="1"/>
    <col min="514" max="514" width="25.7109375" style="80" customWidth="1"/>
    <col min="515" max="515" width="14" style="80" customWidth="1"/>
    <col min="516" max="516" width="8.85546875" style="80" customWidth="1"/>
    <col min="517" max="517" width="10.140625" style="80" customWidth="1"/>
    <col min="518" max="518" width="10.42578125" style="80" bestFit="1" customWidth="1"/>
    <col min="519" max="519" width="11.140625" style="80" customWidth="1"/>
    <col min="520" max="520" width="20.28515625" style="80" customWidth="1"/>
    <col min="521" max="522" width="21.5703125" style="80" customWidth="1"/>
    <col min="523" max="764" width="11.42578125" style="80"/>
    <col min="765" max="765" width="43.28515625" style="80" customWidth="1"/>
    <col min="766" max="766" width="9.42578125" style="80" customWidth="1"/>
    <col min="767" max="767" width="12.42578125" style="80" bestFit="1" customWidth="1"/>
    <col min="768" max="769" width="12.42578125" style="80" customWidth="1"/>
    <col min="770" max="770" width="25.7109375" style="80" customWidth="1"/>
    <col min="771" max="771" width="14" style="80" customWidth="1"/>
    <col min="772" max="772" width="8.85546875" style="80" customWidth="1"/>
    <col min="773" max="773" width="10.140625" style="80" customWidth="1"/>
    <col min="774" max="774" width="10.42578125" style="80" bestFit="1" customWidth="1"/>
    <col min="775" max="775" width="11.140625" style="80" customWidth="1"/>
    <col min="776" max="776" width="20.28515625" style="80" customWidth="1"/>
    <col min="777" max="778" width="21.5703125" style="80" customWidth="1"/>
    <col min="779" max="1020" width="11.42578125" style="80"/>
    <col min="1021" max="1021" width="43.28515625" style="80" customWidth="1"/>
    <col min="1022" max="1022" width="9.42578125" style="80" customWidth="1"/>
    <col min="1023" max="1023" width="12.42578125" style="80" bestFit="1" customWidth="1"/>
    <col min="1024" max="1025" width="12.42578125" style="80" customWidth="1"/>
    <col min="1026" max="1026" width="25.7109375" style="80" customWidth="1"/>
    <col min="1027" max="1027" width="14" style="80" customWidth="1"/>
    <col min="1028" max="1028" width="8.85546875" style="80" customWidth="1"/>
    <col min="1029" max="1029" width="10.140625" style="80" customWidth="1"/>
    <col min="1030" max="1030" width="10.42578125" style="80" bestFit="1" customWidth="1"/>
    <col min="1031" max="1031" width="11.140625" style="80" customWidth="1"/>
    <col min="1032" max="1032" width="20.28515625" style="80" customWidth="1"/>
    <col min="1033" max="1034" width="21.5703125" style="80" customWidth="1"/>
    <col min="1035" max="1276" width="11.42578125" style="80"/>
    <col min="1277" max="1277" width="43.28515625" style="80" customWidth="1"/>
    <col min="1278" max="1278" width="9.42578125" style="80" customWidth="1"/>
    <col min="1279" max="1279" width="12.42578125" style="80" bestFit="1" customWidth="1"/>
    <col min="1280" max="1281" width="12.42578125" style="80" customWidth="1"/>
    <col min="1282" max="1282" width="25.7109375" style="80" customWidth="1"/>
    <col min="1283" max="1283" width="14" style="80" customWidth="1"/>
    <col min="1284" max="1284" width="8.85546875" style="80" customWidth="1"/>
    <col min="1285" max="1285" width="10.140625" style="80" customWidth="1"/>
    <col min="1286" max="1286" width="10.42578125" style="80" bestFit="1" customWidth="1"/>
    <col min="1287" max="1287" width="11.140625" style="80" customWidth="1"/>
    <col min="1288" max="1288" width="20.28515625" style="80" customWidth="1"/>
    <col min="1289" max="1290" width="21.5703125" style="80" customWidth="1"/>
    <col min="1291" max="1532" width="11.42578125" style="80"/>
    <col min="1533" max="1533" width="43.28515625" style="80" customWidth="1"/>
    <col min="1534" max="1534" width="9.42578125" style="80" customWidth="1"/>
    <col min="1535" max="1535" width="12.42578125" style="80" bestFit="1" customWidth="1"/>
    <col min="1536" max="1537" width="12.42578125" style="80" customWidth="1"/>
    <col min="1538" max="1538" width="25.7109375" style="80" customWidth="1"/>
    <col min="1539" max="1539" width="14" style="80" customWidth="1"/>
    <col min="1540" max="1540" width="8.85546875" style="80" customWidth="1"/>
    <col min="1541" max="1541" width="10.140625" style="80" customWidth="1"/>
    <col min="1542" max="1542" width="10.42578125" style="80" bestFit="1" customWidth="1"/>
    <col min="1543" max="1543" width="11.140625" style="80" customWidth="1"/>
    <col min="1544" max="1544" width="20.28515625" style="80" customWidth="1"/>
    <col min="1545" max="1546" width="21.5703125" style="80" customWidth="1"/>
    <col min="1547" max="1788" width="11.42578125" style="80"/>
    <col min="1789" max="1789" width="43.28515625" style="80" customWidth="1"/>
    <col min="1790" max="1790" width="9.42578125" style="80" customWidth="1"/>
    <col min="1791" max="1791" width="12.42578125" style="80" bestFit="1" customWidth="1"/>
    <col min="1792" max="1793" width="12.42578125" style="80" customWidth="1"/>
    <col min="1794" max="1794" width="25.7109375" style="80" customWidth="1"/>
    <col min="1795" max="1795" width="14" style="80" customWidth="1"/>
    <col min="1796" max="1796" width="8.85546875" style="80" customWidth="1"/>
    <col min="1797" max="1797" width="10.140625" style="80" customWidth="1"/>
    <col min="1798" max="1798" width="10.42578125" style="80" bestFit="1" customWidth="1"/>
    <col min="1799" max="1799" width="11.140625" style="80" customWidth="1"/>
    <col min="1800" max="1800" width="20.28515625" style="80" customWidth="1"/>
    <col min="1801" max="1802" width="21.5703125" style="80" customWidth="1"/>
    <col min="1803" max="2044" width="11.42578125" style="80"/>
    <col min="2045" max="2045" width="43.28515625" style="80" customWidth="1"/>
    <col min="2046" max="2046" width="9.42578125" style="80" customWidth="1"/>
    <col min="2047" max="2047" width="12.42578125" style="80" bestFit="1" customWidth="1"/>
    <col min="2048" max="2049" width="12.42578125" style="80" customWidth="1"/>
    <col min="2050" max="2050" width="25.7109375" style="80" customWidth="1"/>
    <col min="2051" max="2051" width="14" style="80" customWidth="1"/>
    <col min="2052" max="2052" width="8.85546875" style="80" customWidth="1"/>
    <col min="2053" max="2053" width="10.140625" style="80" customWidth="1"/>
    <col min="2054" max="2054" width="10.42578125" style="80" bestFit="1" customWidth="1"/>
    <col min="2055" max="2055" width="11.140625" style="80" customWidth="1"/>
    <col min="2056" max="2056" width="20.28515625" style="80" customWidth="1"/>
    <col min="2057" max="2058" width="21.5703125" style="80" customWidth="1"/>
    <col min="2059" max="2300" width="11.42578125" style="80"/>
    <col min="2301" max="2301" width="43.28515625" style="80" customWidth="1"/>
    <col min="2302" max="2302" width="9.42578125" style="80" customWidth="1"/>
    <col min="2303" max="2303" width="12.42578125" style="80" bestFit="1" customWidth="1"/>
    <col min="2304" max="2305" width="12.42578125" style="80" customWidth="1"/>
    <col min="2306" max="2306" width="25.7109375" style="80" customWidth="1"/>
    <col min="2307" max="2307" width="14" style="80" customWidth="1"/>
    <col min="2308" max="2308" width="8.85546875" style="80" customWidth="1"/>
    <col min="2309" max="2309" width="10.140625" style="80" customWidth="1"/>
    <col min="2310" max="2310" width="10.42578125" style="80" bestFit="1" customWidth="1"/>
    <col min="2311" max="2311" width="11.140625" style="80" customWidth="1"/>
    <col min="2312" max="2312" width="20.28515625" style="80" customWidth="1"/>
    <col min="2313" max="2314" width="21.5703125" style="80" customWidth="1"/>
    <col min="2315" max="2556" width="11.42578125" style="80"/>
    <col min="2557" max="2557" width="43.28515625" style="80" customWidth="1"/>
    <col min="2558" max="2558" width="9.42578125" style="80" customWidth="1"/>
    <col min="2559" max="2559" width="12.42578125" style="80" bestFit="1" customWidth="1"/>
    <col min="2560" max="2561" width="12.42578125" style="80" customWidth="1"/>
    <col min="2562" max="2562" width="25.7109375" style="80" customWidth="1"/>
    <col min="2563" max="2563" width="14" style="80" customWidth="1"/>
    <col min="2564" max="2564" width="8.85546875" style="80" customWidth="1"/>
    <col min="2565" max="2565" width="10.140625" style="80" customWidth="1"/>
    <col min="2566" max="2566" width="10.42578125" style="80" bestFit="1" customWidth="1"/>
    <col min="2567" max="2567" width="11.140625" style="80" customWidth="1"/>
    <col min="2568" max="2568" width="20.28515625" style="80" customWidth="1"/>
    <col min="2569" max="2570" width="21.5703125" style="80" customWidth="1"/>
    <col min="2571" max="2812" width="11.42578125" style="80"/>
    <col min="2813" max="2813" width="43.28515625" style="80" customWidth="1"/>
    <col min="2814" max="2814" width="9.42578125" style="80" customWidth="1"/>
    <col min="2815" max="2815" width="12.42578125" style="80" bestFit="1" customWidth="1"/>
    <col min="2816" max="2817" width="12.42578125" style="80" customWidth="1"/>
    <col min="2818" max="2818" width="25.7109375" style="80" customWidth="1"/>
    <col min="2819" max="2819" width="14" style="80" customWidth="1"/>
    <col min="2820" max="2820" width="8.85546875" style="80" customWidth="1"/>
    <col min="2821" max="2821" width="10.140625" style="80" customWidth="1"/>
    <col min="2822" max="2822" width="10.42578125" style="80" bestFit="1" customWidth="1"/>
    <col min="2823" max="2823" width="11.140625" style="80" customWidth="1"/>
    <col min="2824" max="2824" width="20.28515625" style="80" customWidth="1"/>
    <col min="2825" max="2826" width="21.5703125" style="80" customWidth="1"/>
    <col min="2827" max="3068" width="11.42578125" style="80"/>
    <col min="3069" max="3069" width="43.28515625" style="80" customWidth="1"/>
    <col min="3070" max="3070" width="9.42578125" style="80" customWidth="1"/>
    <col min="3071" max="3071" width="12.42578125" style="80" bestFit="1" customWidth="1"/>
    <col min="3072" max="3073" width="12.42578125" style="80" customWidth="1"/>
    <col min="3074" max="3074" width="25.7109375" style="80" customWidth="1"/>
    <col min="3075" max="3075" width="14" style="80" customWidth="1"/>
    <col min="3076" max="3076" width="8.85546875" style="80" customWidth="1"/>
    <col min="3077" max="3077" width="10.140625" style="80" customWidth="1"/>
    <col min="3078" max="3078" width="10.42578125" style="80" bestFit="1" customWidth="1"/>
    <col min="3079" max="3079" width="11.140625" style="80" customWidth="1"/>
    <col min="3080" max="3080" width="20.28515625" style="80" customWidth="1"/>
    <col min="3081" max="3082" width="21.5703125" style="80" customWidth="1"/>
    <col min="3083" max="3324" width="11.42578125" style="80"/>
    <col min="3325" max="3325" width="43.28515625" style="80" customWidth="1"/>
    <col min="3326" max="3326" width="9.42578125" style="80" customWidth="1"/>
    <col min="3327" max="3327" width="12.42578125" style="80" bestFit="1" customWidth="1"/>
    <col min="3328" max="3329" width="12.42578125" style="80" customWidth="1"/>
    <col min="3330" max="3330" width="25.7109375" style="80" customWidth="1"/>
    <col min="3331" max="3331" width="14" style="80" customWidth="1"/>
    <col min="3332" max="3332" width="8.85546875" style="80" customWidth="1"/>
    <col min="3333" max="3333" width="10.140625" style="80" customWidth="1"/>
    <col min="3334" max="3334" width="10.42578125" style="80" bestFit="1" customWidth="1"/>
    <col min="3335" max="3335" width="11.140625" style="80" customWidth="1"/>
    <col min="3336" max="3336" width="20.28515625" style="80" customWidth="1"/>
    <col min="3337" max="3338" width="21.5703125" style="80" customWidth="1"/>
    <col min="3339" max="3580" width="11.42578125" style="80"/>
    <col min="3581" max="3581" width="43.28515625" style="80" customWidth="1"/>
    <col min="3582" max="3582" width="9.42578125" style="80" customWidth="1"/>
    <col min="3583" max="3583" width="12.42578125" style="80" bestFit="1" customWidth="1"/>
    <col min="3584" max="3585" width="12.42578125" style="80" customWidth="1"/>
    <col min="3586" max="3586" width="25.7109375" style="80" customWidth="1"/>
    <col min="3587" max="3587" width="14" style="80" customWidth="1"/>
    <col min="3588" max="3588" width="8.85546875" style="80" customWidth="1"/>
    <col min="3589" max="3589" width="10.140625" style="80" customWidth="1"/>
    <col min="3590" max="3590" width="10.42578125" style="80" bestFit="1" customWidth="1"/>
    <col min="3591" max="3591" width="11.140625" style="80" customWidth="1"/>
    <col min="3592" max="3592" width="20.28515625" style="80" customWidth="1"/>
    <col min="3593" max="3594" width="21.5703125" style="80" customWidth="1"/>
    <col min="3595" max="3836" width="11.42578125" style="80"/>
    <col min="3837" max="3837" width="43.28515625" style="80" customWidth="1"/>
    <col min="3838" max="3838" width="9.42578125" style="80" customWidth="1"/>
    <col min="3839" max="3839" width="12.42578125" style="80" bestFit="1" customWidth="1"/>
    <col min="3840" max="3841" width="12.42578125" style="80" customWidth="1"/>
    <col min="3842" max="3842" width="25.7109375" style="80" customWidth="1"/>
    <col min="3843" max="3843" width="14" style="80" customWidth="1"/>
    <col min="3844" max="3844" width="8.85546875" style="80" customWidth="1"/>
    <col min="3845" max="3845" width="10.140625" style="80" customWidth="1"/>
    <col min="3846" max="3846" width="10.42578125" style="80" bestFit="1" customWidth="1"/>
    <col min="3847" max="3847" width="11.140625" style="80" customWidth="1"/>
    <col min="3848" max="3848" width="20.28515625" style="80" customWidth="1"/>
    <col min="3849" max="3850" width="21.5703125" style="80" customWidth="1"/>
    <col min="3851" max="4092" width="11.42578125" style="80"/>
    <col min="4093" max="4093" width="43.28515625" style="80" customWidth="1"/>
    <col min="4094" max="4094" width="9.42578125" style="80" customWidth="1"/>
    <col min="4095" max="4095" width="12.42578125" style="80" bestFit="1" customWidth="1"/>
    <col min="4096" max="4097" width="12.42578125" style="80" customWidth="1"/>
    <col min="4098" max="4098" width="25.7109375" style="80" customWidth="1"/>
    <col min="4099" max="4099" width="14" style="80" customWidth="1"/>
    <col min="4100" max="4100" width="8.85546875" style="80" customWidth="1"/>
    <col min="4101" max="4101" width="10.140625" style="80" customWidth="1"/>
    <col min="4102" max="4102" width="10.42578125" style="80" bestFit="1" customWidth="1"/>
    <col min="4103" max="4103" width="11.140625" style="80" customWidth="1"/>
    <col min="4104" max="4104" width="20.28515625" style="80" customWidth="1"/>
    <col min="4105" max="4106" width="21.5703125" style="80" customWidth="1"/>
    <col min="4107" max="4348" width="11.42578125" style="80"/>
    <col min="4349" max="4349" width="43.28515625" style="80" customWidth="1"/>
    <col min="4350" max="4350" width="9.42578125" style="80" customWidth="1"/>
    <col min="4351" max="4351" width="12.42578125" style="80" bestFit="1" customWidth="1"/>
    <col min="4352" max="4353" width="12.42578125" style="80" customWidth="1"/>
    <col min="4354" max="4354" width="25.7109375" style="80" customWidth="1"/>
    <col min="4355" max="4355" width="14" style="80" customWidth="1"/>
    <col min="4356" max="4356" width="8.85546875" style="80" customWidth="1"/>
    <col min="4357" max="4357" width="10.140625" style="80" customWidth="1"/>
    <col min="4358" max="4358" width="10.42578125" style="80" bestFit="1" customWidth="1"/>
    <col min="4359" max="4359" width="11.140625" style="80" customWidth="1"/>
    <col min="4360" max="4360" width="20.28515625" style="80" customWidth="1"/>
    <col min="4361" max="4362" width="21.5703125" style="80" customWidth="1"/>
    <col min="4363" max="4604" width="11.42578125" style="80"/>
    <col min="4605" max="4605" width="43.28515625" style="80" customWidth="1"/>
    <col min="4606" max="4606" width="9.42578125" style="80" customWidth="1"/>
    <col min="4607" max="4607" width="12.42578125" style="80" bestFit="1" customWidth="1"/>
    <col min="4608" max="4609" width="12.42578125" style="80" customWidth="1"/>
    <col min="4610" max="4610" width="25.7109375" style="80" customWidth="1"/>
    <col min="4611" max="4611" width="14" style="80" customWidth="1"/>
    <col min="4612" max="4612" width="8.85546875" style="80" customWidth="1"/>
    <col min="4613" max="4613" width="10.140625" style="80" customWidth="1"/>
    <col min="4614" max="4614" width="10.42578125" style="80" bestFit="1" customWidth="1"/>
    <col min="4615" max="4615" width="11.140625" style="80" customWidth="1"/>
    <col min="4616" max="4616" width="20.28515625" style="80" customWidth="1"/>
    <col min="4617" max="4618" width="21.5703125" style="80" customWidth="1"/>
    <col min="4619" max="4860" width="11.42578125" style="80"/>
    <col min="4861" max="4861" width="43.28515625" style="80" customWidth="1"/>
    <col min="4862" max="4862" width="9.42578125" style="80" customWidth="1"/>
    <col min="4863" max="4863" width="12.42578125" style="80" bestFit="1" customWidth="1"/>
    <col min="4864" max="4865" width="12.42578125" style="80" customWidth="1"/>
    <col min="4866" max="4866" width="25.7109375" style="80" customWidth="1"/>
    <col min="4867" max="4867" width="14" style="80" customWidth="1"/>
    <col min="4868" max="4868" width="8.85546875" style="80" customWidth="1"/>
    <col min="4869" max="4869" width="10.140625" style="80" customWidth="1"/>
    <col min="4870" max="4870" width="10.42578125" style="80" bestFit="1" customWidth="1"/>
    <col min="4871" max="4871" width="11.140625" style="80" customWidth="1"/>
    <col min="4872" max="4872" width="20.28515625" style="80" customWidth="1"/>
    <col min="4873" max="4874" width="21.5703125" style="80" customWidth="1"/>
    <col min="4875" max="5116" width="11.42578125" style="80"/>
    <col min="5117" max="5117" width="43.28515625" style="80" customWidth="1"/>
    <col min="5118" max="5118" width="9.42578125" style="80" customWidth="1"/>
    <col min="5119" max="5119" width="12.42578125" style="80" bestFit="1" customWidth="1"/>
    <col min="5120" max="5121" width="12.42578125" style="80" customWidth="1"/>
    <col min="5122" max="5122" width="25.7109375" style="80" customWidth="1"/>
    <col min="5123" max="5123" width="14" style="80" customWidth="1"/>
    <col min="5124" max="5124" width="8.85546875" style="80" customWidth="1"/>
    <col min="5125" max="5125" width="10.140625" style="80" customWidth="1"/>
    <col min="5126" max="5126" width="10.42578125" style="80" bestFit="1" customWidth="1"/>
    <col min="5127" max="5127" width="11.140625" style="80" customWidth="1"/>
    <col min="5128" max="5128" width="20.28515625" style="80" customWidth="1"/>
    <col min="5129" max="5130" width="21.5703125" style="80" customWidth="1"/>
    <col min="5131" max="5372" width="11.42578125" style="80"/>
    <col min="5373" max="5373" width="43.28515625" style="80" customWidth="1"/>
    <col min="5374" max="5374" width="9.42578125" style="80" customWidth="1"/>
    <col min="5375" max="5375" width="12.42578125" style="80" bestFit="1" customWidth="1"/>
    <col min="5376" max="5377" width="12.42578125" style="80" customWidth="1"/>
    <col min="5378" max="5378" width="25.7109375" style="80" customWidth="1"/>
    <col min="5379" max="5379" width="14" style="80" customWidth="1"/>
    <col min="5380" max="5380" width="8.85546875" style="80" customWidth="1"/>
    <col min="5381" max="5381" width="10.140625" style="80" customWidth="1"/>
    <col min="5382" max="5382" width="10.42578125" style="80" bestFit="1" customWidth="1"/>
    <col min="5383" max="5383" width="11.140625" style="80" customWidth="1"/>
    <col min="5384" max="5384" width="20.28515625" style="80" customWidth="1"/>
    <col min="5385" max="5386" width="21.5703125" style="80" customWidth="1"/>
    <col min="5387" max="5628" width="11.42578125" style="80"/>
    <col min="5629" max="5629" width="43.28515625" style="80" customWidth="1"/>
    <col min="5630" max="5630" width="9.42578125" style="80" customWidth="1"/>
    <col min="5631" max="5631" width="12.42578125" style="80" bestFit="1" customWidth="1"/>
    <col min="5632" max="5633" width="12.42578125" style="80" customWidth="1"/>
    <col min="5634" max="5634" width="25.7109375" style="80" customWidth="1"/>
    <col min="5635" max="5635" width="14" style="80" customWidth="1"/>
    <col min="5636" max="5636" width="8.85546875" style="80" customWidth="1"/>
    <col min="5637" max="5637" width="10.140625" style="80" customWidth="1"/>
    <col min="5638" max="5638" width="10.42578125" style="80" bestFit="1" customWidth="1"/>
    <col min="5639" max="5639" width="11.140625" style="80" customWidth="1"/>
    <col min="5640" max="5640" width="20.28515625" style="80" customWidth="1"/>
    <col min="5641" max="5642" width="21.5703125" style="80" customWidth="1"/>
    <col min="5643" max="5884" width="11.42578125" style="80"/>
    <col min="5885" max="5885" width="43.28515625" style="80" customWidth="1"/>
    <col min="5886" max="5886" width="9.42578125" style="80" customWidth="1"/>
    <col min="5887" max="5887" width="12.42578125" style="80" bestFit="1" customWidth="1"/>
    <col min="5888" max="5889" width="12.42578125" style="80" customWidth="1"/>
    <col min="5890" max="5890" width="25.7109375" style="80" customWidth="1"/>
    <col min="5891" max="5891" width="14" style="80" customWidth="1"/>
    <col min="5892" max="5892" width="8.85546875" style="80" customWidth="1"/>
    <col min="5893" max="5893" width="10.140625" style="80" customWidth="1"/>
    <col min="5894" max="5894" width="10.42578125" style="80" bestFit="1" customWidth="1"/>
    <col min="5895" max="5895" width="11.140625" style="80" customWidth="1"/>
    <col min="5896" max="5896" width="20.28515625" style="80" customWidth="1"/>
    <col min="5897" max="5898" width="21.5703125" style="80" customWidth="1"/>
    <col min="5899" max="6140" width="11.42578125" style="80"/>
    <col min="6141" max="6141" width="43.28515625" style="80" customWidth="1"/>
    <col min="6142" max="6142" width="9.42578125" style="80" customWidth="1"/>
    <col min="6143" max="6143" width="12.42578125" style="80" bestFit="1" customWidth="1"/>
    <col min="6144" max="6145" width="12.42578125" style="80" customWidth="1"/>
    <col min="6146" max="6146" width="25.7109375" style="80" customWidth="1"/>
    <col min="6147" max="6147" width="14" style="80" customWidth="1"/>
    <col min="6148" max="6148" width="8.85546875" style="80" customWidth="1"/>
    <col min="6149" max="6149" width="10.140625" style="80" customWidth="1"/>
    <col min="6150" max="6150" width="10.42578125" style="80" bestFit="1" customWidth="1"/>
    <col min="6151" max="6151" width="11.140625" style="80" customWidth="1"/>
    <col min="6152" max="6152" width="20.28515625" style="80" customWidth="1"/>
    <col min="6153" max="6154" width="21.5703125" style="80" customWidth="1"/>
    <col min="6155" max="6396" width="11.42578125" style="80"/>
    <col min="6397" max="6397" width="43.28515625" style="80" customWidth="1"/>
    <col min="6398" max="6398" width="9.42578125" style="80" customWidth="1"/>
    <col min="6399" max="6399" width="12.42578125" style="80" bestFit="1" customWidth="1"/>
    <col min="6400" max="6401" width="12.42578125" style="80" customWidth="1"/>
    <col min="6402" max="6402" width="25.7109375" style="80" customWidth="1"/>
    <col min="6403" max="6403" width="14" style="80" customWidth="1"/>
    <col min="6404" max="6404" width="8.85546875" style="80" customWidth="1"/>
    <col min="6405" max="6405" width="10.140625" style="80" customWidth="1"/>
    <col min="6406" max="6406" width="10.42578125" style="80" bestFit="1" customWidth="1"/>
    <col min="6407" max="6407" width="11.140625" style="80" customWidth="1"/>
    <col min="6408" max="6408" width="20.28515625" style="80" customWidth="1"/>
    <col min="6409" max="6410" width="21.5703125" style="80" customWidth="1"/>
    <col min="6411" max="6652" width="11.42578125" style="80"/>
    <col min="6653" max="6653" width="43.28515625" style="80" customWidth="1"/>
    <col min="6654" max="6654" width="9.42578125" style="80" customWidth="1"/>
    <col min="6655" max="6655" width="12.42578125" style="80" bestFit="1" customWidth="1"/>
    <col min="6656" max="6657" width="12.42578125" style="80" customWidth="1"/>
    <col min="6658" max="6658" width="25.7109375" style="80" customWidth="1"/>
    <col min="6659" max="6659" width="14" style="80" customWidth="1"/>
    <col min="6660" max="6660" width="8.85546875" style="80" customWidth="1"/>
    <col min="6661" max="6661" width="10.140625" style="80" customWidth="1"/>
    <col min="6662" max="6662" width="10.42578125" style="80" bestFit="1" customWidth="1"/>
    <col min="6663" max="6663" width="11.140625" style="80" customWidth="1"/>
    <col min="6664" max="6664" width="20.28515625" style="80" customWidth="1"/>
    <col min="6665" max="6666" width="21.5703125" style="80" customWidth="1"/>
    <col min="6667" max="6908" width="11.42578125" style="80"/>
    <col min="6909" max="6909" width="43.28515625" style="80" customWidth="1"/>
    <col min="6910" max="6910" width="9.42578125" style="80" customWidth="1"/>
    <col min="6911" max="6911" width="12.42578125" style="80" bestFit="1" customWidth="1"/>
    <col min="6912" max="6913" width="12.42578125" style="80" customWidth="1"/>
    <col min="6914" max="6914" width="25.7109375" style="80" customWidth="1"/>
    <col min="6915" max="6915" width="14" style="80" customWidth="1"/>
    <col min="6916" max="6916" width="8.85546875" style="80" customWidth="1"/>
    <col min="6917" max="6917" width="10.140625" style="80" customWidth="1"/>
    <col min="6918" max="6918" width="10.42578125" style="80" bestFit="1" customWidth="1"/>
    <col min="6919" max="6919" width="11.140625" style="80" customWidth="1"/>
    <col min="6920" max="6920" width="20.28515625" style="80" customWidth="1"/>
    <col min="6921" max="6922" width="21.5703125" style="80" customWidth="1"/>
    <col min="6923" max="7164" width="11.42578125" style="80"/>
    <col min="7165" max="7165" width="43.28515625" style="80" customWidth="1"/>
    <col min="7166" max="7166" width="9.42578125" style="80" customWidth="1"/>
    <col min="7167" max="7167" width="12.42578125" style="80" bestFit="1" customWidth="1"/>
    <col min="7168" max="7169" width="12.42578125" style="80" customWidth="1"/>
    <col min="7170" max="7170" width="25.7109375" style="80" customWidth="1"/>
    <col min="7171" max="7171" width="14" style="80" customWidth="1"/>
    <col min="7172" max="7172" width="8.85546875" style="80" customWidth="1"/>
    <col min="7173" max="7173" width="10.140625" style="80" customWidth="1"/>
    <col min="7174" max="7174" width="10.42578125" style="80" bestFit="1" customWidth="1"/>
    <col min="7175" max="7175" width="11.140625" style="80" customWidth="1"/>
    <col min="7176" max="7176" width="20.28515625" style="80" customWidth="1"/>
    <col min="7177" max="7178" width="21.5703125" style="80" customWidth="1"/>
    <col min="7179" max="7420" width="11.42578125" style="80"/>
    <col min="7421" max="7421" width="43.28515625" style="80" customWidth="1"/>
    <col min="7422" max="7422" width="9.42578125" style="80" customWidth="1"/>
    <col min="7423" max="7423" width="12.42578125" style="80" bestFit="1" customWidth="1"/>
    <col min="7424" max="7425" width="12.42578125" style="80" customWidth="1"/>
    <col min="7426" max="7426" width="25.7109375" style="80" customWidth="1"/>
    <col min="7427" max="7427" width="14" style="80" customWidth="1"/>
    <col min="7428" max="7428" width="8.85546875" style="80" customWidth="1"/>
    <col min="7429" max="7429" width="10.140625" style="80" customWidth="1"/>
    <col min="7430" max="7430" width="10.42578125" style="80" bestFit="1" customWidth="1"/>
    <col min="7431" max="7431" width="11.140625" style="80" customWidth="1"/>
    <col min="7432" max="7432" width="20.28515625" style="80" customWidth="1"/>
    <col min="7433" max="7434" width="21.5703125" style="80" customWidth="1"/>
    <col min="7435" max="7676" width="11.42578125" style="80"/>
    <col min="7677" max="7677" width="43.28515625" style="80" customWidth="1"/>
    <col min="7678" max="7678" width="9.42578125" style="80" customWidth="1"/>
    <col min="7679" max="7679" width="12.42578125" style="80" bestFit="1" customWidth="1"/>
    <col min="7680" max="7681" width="12.42578125" style="80" customWidth="1"/>
    <col min="7682" max="7682" width="25.7109375" style="80" customWidth="1"/>
    <col min="7683" max="7683" width="14" style="80" customWidth="1"/>
    <col min="7684" max="7684" width="8.85546875" style="80" customWidth="1"/>
    <col min="7685" max="7685" width="10.140625" style="80" customWidth="1"/>
    <col min="7686" max="7686" width="10.42578125" style="80" bestFit="1" customWidth="1"/>
    <col min="7687" max="7687" width="11.140625" style="80" customWidth="1"/>
    <col min="7688" max="7688" width="20.28515625" style="80" customWidth="1"/>
    <col min="7689" max="7690" width="21.5703125" style="80" customWidth="1"/>
    <col min="7691" max="7932" width="11.42578125" style="80"/>
    <col min="7933" max="7933" width="43.28515625" style="80" customWidth="1"/>
    <col min="7934" max="7934" width="9.42578125" style="80" customWidth="1"/>
    <col min="7935" max="7935" width="12.42578125" style="80" bestFit="1" customWidth="1"/>
    <col min="7936" max="7937" width="12.42578125" style="80" customWidth="1"/>
    <col min="7938" max="7938" width="25.7109375" style="80" customWidth="1"/>
    <col min="7939" max="7939" width="14" style="80" customWidth="1"/>
    <col min="7940" max="7940" width="8.85546875" style="80" customWidth="1"/>
    <col min="7941" max="7941" width="10.140625" style="80" customWidth="1"/>
    <col min="7942" max="7942" width="10.42578125" style="80" bestFit="1" customWidth="1"/>
    <col min="7943" max="7943" width="11.140625" style="80" customWidth="1"/>
    <col min="7944" max="7944" width="20.28515625" style="80" customWidth="1"/>
    <col min="7945" max="7946" width="21.5703125" style="80" customWidth="1"/>
    <col min="7947" max="8188" width="11.42578125" style="80"/>
    <col min="8189" max="8189" width="43.28515625" style="80" customWidth="1"/>
    <col min="8190" max="8190" width="9.42578125" style="80" customWidth="1"/>
    <col min="8191" max="8191" width="12.42578125" style="80" bestFit="1" customWidth="1"/>
    <col min="8192" max="8193" width="12.42578125" style="80" customWidth="1"/>
    <col min="8194" max="8194" width="25.7109375" style="80" customWidth="1"/>
    <col min="8195" max="8195" width="14" style="80" customWidth="1"/>
    <col min="8196" max="8196" width="8.85546875" style="80" customWidth="1"/>
    <col min="8197" max="8197" width="10.140625" style="80" customWidth="1"/>
    <col min="8198" max="8198" width="10.42578125" style="80" bestFit="1" customWidth="1"/>
    <col min="8199" max="8199" width="11.140625" style="80" customWidth="1"/>
    <col min="8200" max="8200" width="20.28515625" style="80" customWidth="1"/>
    <col min="8201" max="8202" width="21.5703125" style="80" customWidth="1"/>
    <col min="8203" max="8444" width="11.42578125" style="80"/>
    <col min="8445" max="8445" width="43.28515625" style="80" customWidth="1"/>
    <col min="8446" max="8446" width="9.42578125" style="80" customWidth="1"/>
    <col min="8447" max="8447" width="12.42578125" style="80" bestFit="1" customWidth="1"/>
    <col min="8448" max="8449" width="12.42578125" style="80" customWidth="1"/>
    <col min="8450" max="8450" width="25.7109375" style="80" customWidth="1"/>
    <col min="8451" max="8451" width="14" style="80" customWidth="1"/>
    <col min="8452" max="8452" width="8.85546875" style="80" customWidth="1"/>
    <col min="8453" max="8453" width="10.140625" style="80" customWidth="1"/>
    <col min="8454" max="8454" width="10.42578125" style="80" bestFit="1" customWidth="1"/>
    <col min="8455" max="8455" width="11.140625" style="80" customWidth="1"/>
    <col min="8456" max="8456" width="20.28515625" style="80" customWidth="1"/>
    <col min="8457" max="8458" width="21.5703125" style="80" customWidth="1"/>
    <col min="8459" max="8700" width="11.42578125" style="80"/>
    <col min="8701" max="8701" width="43.28515625" style="80" customWidth="1"/>
    <col min="8702" max="8702" width="9.42578125" style="80" customWidth="1"/>
    <col min="8703" max="8703" width="12.42578125" style="80" bestFit="1" customWidth="1"/>
    <col min="8704" max="8705" width="12.42578125" style="80" customWidth="1"/>
    <col min="8706" max="8706" width="25.7109375" style="80" customWidth="1"/>
    <col min="8707" max="8707" width="14" style="80" customWidth="1"/>
    <col min="8708" max="8708" width="8.85546875" style="80" customWidth="1"/>
    <col min="8709" max="8709" width="10.140625" style="80" customWidth="1"/>
    <col min="8710" max="8710" width="10.42578125" style="80" bestFit="1" customWidth="1"/>
    <col min="8711" max="8711" width="11.140625" style="80" customWidth="1"/>
    <col min="8712" max="8712" width="20.28515625" style="80" customWidth="1"/>
    <col min="8713" max="8714" width="21.5703125" style="80" customWidth="1"/>
    <col min="8715" max="8956" width="11.42578125" style="80"/>
    <col min="8957" max="8957" width="43.28515625" style="80" customWidth="1"/>
    <col min="8958" max="8958" width="9.42578125" style="80" customWidth="1"/>
    <col min="8959" max="8959" width="12.42578125" style="80" bestFit="1" customWidth="1"/>
    <col min="8960" max="8961" width="12.42578125" style="80" customWidth="1"/>
    <col min="8962" max="8962" width="25.7109375" style="80" customWidth="1"/>
    <col min="8963" max="8963" width="14" style="80" customWidth="1"/>
    <col min="8964" max="8964" width="8.85546875" style="80" customWidth="1"/>
    <col min="8965" max="8965" width="10.140625" style="80" customWidth="1"/>
    <col min="8966" max="8966" width="10.42578125" style="80" bestFit="1" customWidth="1"/>
    <col min="8967" max="8967" width="11.140625" style="80" customWidth="1"/>
    <col min="8968" max="8968" width="20.28515625" style="80" customWidth="1"/>
    <col min="8969" max="8970" width="21.5703125" style="80" customWidth="1"/>
    <col min="8971" max="9212" width="11.42578125" style="80"/>
    <col min="9213" max="9213" width="43.28515625" style="80" customWidth="1"/>
    <col min="9214" max="9214" width="9.42578125" style="80" customWidth="1"/>
    <col min="9215" max="9215" width="12.42578125" style="80" bestFit="1" customWidth="1"/>
    <col min="9216" max="9217" width="12.42578125" style="80" customWidth="1"/>
    <col min="9218" max="9218" width="25.7109375" style="80" customWidth="1"/>
    <col min="9219" max="9219" width="14" style="80" customWidth="1"/>
    <col min="9220" max="9220" width="8.85546875" style="80" customWidth="1"/>
    <col min="9221" max="9221" width="10.140625" style="80" customWidth="1"/>
    <col min="9222" max="9222" width="10.42578125" style="80" bestFit="1" customWidth="1"/>
    <col min="9223" max="9223" width="11.140625" style="80" customWidth="1"/>
    <col min="9224" max="9224" width="20.28515625" style="80" customWidth="1"/>
    <col min="9225" max="9226" width="21.5703125" style="80" customWidth="1"/>
    <col min="9227" max="9468" width="11.42578125" style="80"/>
    <col min="9469" max="9469" width="43.28515625" style="80" customWidth="1"/>
    <col min="9470" max="9470" width="9.42578125" style="80" customWidth="1"/>
    <col min="9471" max="9471" width="12.42578125" style="80" bestFit="1" customWidth="1"/>
    <col min="9472" max="9473" width="12.42578125" style="80" customWidth="1"/>
    <col min="9474" max="9474" width="25.7109375" style="80" customWidth="1"/>
    <col min="9475" max="9475" width="14" style="80" customWidth="1"/>
    <col min="9476" max="9476" width="8.85546875" style="80" customWidth="1"/>
    <col min="9477" max="9477" width="10.140625" style="80" customWidth="1"/>
    <col min="9478" max="9478" width="10.42578125" style="80" bestFit="1" customWidth="1"/>
    <col min="9479" max="9479" width="11.140625" style="80" customWidth="1"/>
    <col min="9480" max="9480" width="20.28515625" style="80" customWidth="1"/>
    <col min="9481" max="9482" width="21.5703125" style="80" customWidth="1"/>
    <col min="9483" max="9724" width="11.42578125" style="80"/>
    <col min="9725" max="9725" width="43.28515625" style="80" customWidth="1"/>
    <col min="9726" max="9726" width="9.42578125" style="80" customWidth="1"/>
    <col min="9727" max="9727" width="12.42578125" style="80" bestFit="1" customWidth="1"/>
    <col min="9728" max="9729" width="12.42578125" style="80" customWidth="1"/>
    <col min="9730" max="9730" width="25.7109375" style="80" customWidth="1"/>
    <col min="9731" max="9731" width="14" style="80" customWidth="1"/>
    <col min="9732" max="9732" width="8.85546875" style="80" customWidth="1"/>
    <col min="9733" max="9733" width="10.140625" style="80" customWidth="1"/>
    <col min="9734" max="9734" width="10.42578125" style="80" bestFit="1" customWidth="1"/>
    <col min="9735" max="9735" width="11.140625" style="80" customWidth="1"/>
    <col min="9736" max="9736" width="20.28515625" style="80" customWidth="1"/>
    <col min="9737" max="9738" width="21.5703125" style="80" customWidth="1"/>
    <col min="9739" max="9980" width="11.42578125" style="80"/>
    <col min="9981" max="9981" width="43.28515625" style="80" customWidth="1"/>
    <col min="9982" max="9982" width="9.42578125" style="80" customWidth="1"/>
    <col min="9983" max="9983" width="12.42578125" style="80" bestFit="1" customWidth="1"/>
    <col min="9984" max="9985" width="12.42578125" style="80" customWidth="1"/>
    <col min="9986" max="9986" width="25.7109375" style="80" customWidth="1"/>
    <col min="9987" max="9987" width="14" style="80" customWidth="1"/>
    <col min="9988" max="9988" width="8.85546875" style="80" customWidth="1"/>
    <col min="9989" max="9989" width="10.140625" style="80" customWidth="1"/>
    <col min="9990" max="9990" width="10.42578125" style="80" bestFit="1" customWidth="1"/>
    <col min="9991" max="9991" width="11.140625" style="80" customWidth="1"/>
    <col min="9992" max="9992" width="20.28515625" style="80" customWidth="1"/>
    <col min="9993" max="9994" width="21.5703125" style="80" customWidth="1"/>
    <col min="9995" max="10236" width="11.42578125" style="80"/>
    <col min="10237" max="10237" width="43.28515625" style="80" customWidth="1"/>
    <col min="10238" max="10238" width="9.42578125" style="80" customWidth="1"/>
    <col min="10239" max="10239" width="12.42578125" style="80" bestFit="1" customWidth="1"/>
    <col min="10240" max="10241" width="12.42578125" style="80" customWidth="1"/>
    <col min="10242" max="10242" width="25.7109375" style="80" customWidth="1"/>
    <col min="10243" max="10243" width="14" style="80" customWidth="1"/>
    <col min="10244" max="10244" width="8.85546875" style="80" customWidth="1"/>
    <col min="10245" max="10245" width="10.140625" style="80" customWidth="1"/>
    <col min="10246" max="10246" width="10.42578125" style="80" bestFit="1" customWidth="1"/>
    <col min="10247" max="10247" width="11.140625" style="80" customWidth="1"/>
    <col min="10248" max="10248" width="20.28515625" style="80" customWidth="1"/>
    <col min="10249" max="10250" width="21.5703125" style="80" customWidth="1"/>
    <col min="10251" max="10492" width="11.42578125" style="80"/>
    <col min="10493" max="10493" width="43.28515625" style="80" customWidth="1"/>
    <col min="10494" max="10494" width="9.42578125" style="80" customWidth="1"/>
    <col min="10495" max="10495" width="12.42578125" style="80" bestFit="1" customWidth="1"/>
    <col min="10496" max="10497" width="12.42578125" style="80" customWidth="1"/>
    <col min="10498" max="10498" width="25.7109375" style="80" customWidth="1"/>
    <col min="10499" max="10499" width="14" style="80" customWidth="1"/>
    <col min="10500" max="10500" width="8.85546875" style="80" customWidth="1"/>
    <col min="10501" max="10501" width="10.140625" style="80" customWidth="1"/>
    <col min="10502" max="10502" width="10.42578125" style="80" bestFit="1" customWidth="1"/>
    <col min="10503" max="10503" width="11.140625" style="80" customWidth="1"/>
    <col min="10504" max="10504" width="20.28515625" style="80" customWidth="1"/>
    <col min="10505" max="10506" width="21.5703125" style="80" customWidth="1"/>
    <col min="10507" max="10748" width="11.42578125" style="80"/>
    <col min="10749" max="10749" width="43.28515625" style="80" customWidth="1"/>
    <col min="10750" max="10750" width="9.42578125" style="80" customWidth="1"/>
    <col min="10751" max="10751" width="12.42578125" style="80" bestFit="1" customWidth="1"/>
    <col min="10752" max="10753" width="12.42578125" style="80" customWidth="1"/>
    <col min="10754" max="10754" width="25.7109375" style="80" customWidth="1"/>
    <col min="10755" max="10755" width="14" style="80" customWidth="1"/>
    <col min="10756" max="10756" width="8.85546875" style="80" customWidth="1"/>
    <col min="10757" max="10757" width="10.140625" style="80" customWidth="1"/>
    <col min="10758" max="10758" width="10.42578125" style="80" bestFit="1" customWidth="1"/>
    <col min="10759" max="10759" width="11.140625" style="80" customWidth="1"/>
    <col min="10760" max="10760" width="20.28515625" style="80" customWidth="1"/>
    <col min="10761" max="10762" width="21.5703125" style="80" customWidth="1"/>
    <col min="10763" max="11004" width="11.42578125" style="80"/>
    <col min="11005" max="11005" width="43.28515625" style="80" customWidth="1"/>
    <col min="11006" max="11006" width="9.42578125" style="80" customWidth="1"/>
    <col min="11007" max="11007" width="12.42578125" style="80" bestFit="1" customWidth="1"/>
    <col min="11008" max="11009" width="12.42578125" style="80" customWidth="1"/>
    <col min="11010" max="11010" width="25.7109375" style="80" customWidth="1"/>
    <col min="11011" max="11011" width="14" style="80" customWidth="1"/>
    <col min="11012" max="11012" width="8.85546875" style="80" customWidth="1"/>
    <col min="11013" max="11013" width="10.140625" style="80" customWidth="1"/>
    <col min="11014" max="11014" width="10.42578125" style="80" bestFit="1" customWidth="1"/>
    <col min="11015" max="11015" width="11.140625" style="80" customWidth="1"/>
    <col min="11016" max="11016" width="20.28515625" style="80" customWidth="1"/>
    <col min="11017" max="11018" width="21.5703125" style="80" customWidth="1"/>
    <col min="11019" max="11260" width="11.42578125" style="80"/>
    <col min="11261" max="11261" width="43.28515625" style="80" customWidth="1"/>
    <col min="11262" max="11262" width="9.42578125" style="80" customWidth="1"/>
    <col min="11263" max="11263" width="12.42578125" style="80" bestFit="1" customWidth="1"/>
    <col min="11264" max="11265" width="12.42578125" style="80" customWidth="1"/>
    <col min="11266" max="11266" width="25.7109375" style="80" customWidth="1"/>
    <col min="11267" max="11267" width="14" style="80" customWidth="1"/>
    <col min="11268" max="11268" width="8.85546875" style="80" customWidth="1"/>
    <col min="11269" max="11269" width="10.140625" style="80" customWidth="1"/>
    <col min="11270" max="11270" width="10.42578125" style="80" bestFit="1" customWidth="1"/>
    <col min="11271" max="11271" width="11.140625" style="80" customWidth="1"/>
    <col min="11272" max="11272" width="20.28515625" style="80" customWidth="1"/>
    <col min="11273" max="11274" width="21.5703125" style="80" customWidth="1"/>
    <col min="11275" max="11516" width="11.42578125" style="80"/>
    <col min="11517" max="11517" width="43.28515625" style="80" customWidth="1"/>
    <col min="11518" max="11518" width="9.42578125" style="80" customWidth="1"/>
    <col min="11519" max="11519" width="12.42578125" style="80" bestFit="1" customWidth="1"/>
    <col min="11520" max="11521" width="12.42578125" style="80" customWidth="1"/>
    <col min="11522" max="11522" width="25.7109375" style="80" customWidth="1"/>
    <col min="11523" max="11523" width="14" style="80" customWidth="1"/>
    <col min="11524" max="11524" width="8.85546875" style="80" customWidth="1"/>
    <col min="11525" max="11525" width="10.140625" style="80" customWidth="1"/>
    <col min="11526" max="11526" width="10.42578125" style="80" bestFit="1" customWidth="1"/>
    <col min="11527" max="11527" width="11.140625" style="80" customWidth="1"/>
    <col min="11528" max="11528" width="20.28515625" style="80" customWidth="1"/>
    <col min="11529" max="11530" width="21.5703125" style="80" customWidth="1"/>
    <col min="11531" max="11772" width="11.42578125" style="80"/>
    <col min="11773" max="11773" width="43.28515625" style="80" customWidth="1"/>
    <col min="11774" max="11774" width="9.42578125" style="80" customWidth="1"/>
    <col min="11775" max="11775" width="12.42578125" style="80" bestFit="1" customWidth="1"/>
    <col min="11776" max="11777" width="12.42578125" style="80" customWidth="1"/>
    <col min="11778" max="11778" width="25.7109375" style="80" customWidth="1"/>
    <col min="11779" max="11779" width="14" style="80" customWidth="1"/>
    <col min="11780" max="11780" width="8.85546875" style="80" customWidth="1"/>
    <col min="11781" max="11781" width="10.140625" style="80" customWidth="1"/>
    <col min="11782" max="11782" width="10.42578125" style="80" bestFit="1" customWidth="1"/>
    <col min="11783" max="11783" width="11.140625" style="80" customWidth="1"/>
    <col min="11784" max="11784" width="20.28515625" style="80" customWidth="1"/>
    <col min="11785" max="11786" width="21.5703125" style="80" customWidth="1"/>
    <col min="11787" max="12028" width="11.42578125" style="80"/>
    <col min="12029" max="12029" width="43.28515625" style="80" customWidth="1"/>
    <col min="12030" max="12030" width="9.42578125" style="80" customWidth="1"/>
    <col min="12031" max="12031" width="12.42578125" style="80" bestFit="1" customWidth="1"/>
    <col min="12032" max="12033" width="12.42578125" style="80" customWidth="1"/>
    <col min="12034" max="12034" width="25.7109375" style="80" customWidth="1"/>
    <col min="12035" max="12035" width="14" style="80" customWidth="1"/>
    <col min="12036" max="12036" width="8.85546875" style="80" customWidth="1"/>
    <col min="12037" max="12037" width="10.140625" style="80" customWidth="1"/>
    <col min="12038" max="12038" width="10.42578125" style="80" bestFit="1" customWidth="1"/>
    <col min="12039" max="12039" width="11.140625" style="80" customWidth="1"/>
    <col min="12040" max="12040" width="20.28515625" style="80" customWidth="1"/>
    <col min="12041" max="12042" width="21.5703125" style="80" customWidth="1"/>
    <col min="12043" max="12284" width="11.42578125" style="80"/>
    <col min="12285" max="12285" width="43.28515625" style="80" customWidth="1"/>
    <col min="12286" max="12286" width="9.42578125" style="80" customWidth="1"/>
    <col min="12287" max="12287" width="12.42578125" style="80" bestFit="1" customWidth="1"/>
    <col min="12288" max="12289" width="12.42578125" style="80" customWidth="1"/>
    <col min="12290" max="12290" width="25.7109375" style="80" customWidth="1"/>
    <col min="12291" max="12291" width="14" style="80" customWidth="1"/>
    <col min="12292" max="12292" width="8.85546875" style="80" customWidth="1"/>
    <col min="12293" max="12293" width="10.140625" style="80" customWidth="1"/>
    <col min="12294" max="12294" width="10.42578125" style="80" bestFit="1" customWidth="1"/>
    <col min="12295" max="12295" width="11.140625" style="80" customWidth="1"/>
    <col min="12296" max="12296" width="20.28515625" style="80" customWidth="1"/>
    <col min="12297" max="12298" width="21.5703125" style="80" customWidth="1"/>
    <col min="12299" max="12540" width="11.42578125" style="80"/>
    <col min="12541" max="12541" width="43.28515625" style="80" customWidth="1"/>
    <col min="12542" max="12542" width="9.42578125" style="80" customWidth="1"/>
    <col min="12543" max="12543" width="12.42578125" style="80" bestFit="1" customWidth="1"/>
    <col min="12544" max="12545" width="12.42578125" style="80" customWidth="1"/>
    <col min="12546" max="12546" width="25.7109375" style="80" customWidth="1"/>
    <col min="12547" max="12547" width="14" style="80" customWidth="1"/>
    <col min="12548" max="12548" width="8.85546875" style="80" customWidth="1"/>
    <col min="12549" max="12549" width="10.140625" style="80" customWidth="1"/>
    <col min="12550" max="12550" width="10.42578125" style="80" bestFit="1" customWidth="1"/>
    <col min="12551" max="12551" width="11.140625" style="80" customWidth="1"/>
    <col min="12552" max="12552" width="20.28515625" style="80" customWidth="1"/>
    <col min="12553" max="12554" width="21.5703125" style="80" customWidth="1"/>
    <col min="12555" max="12796" width="11.42578125" style="80"/>
    <col min="12797" max="12797" width="43.28515625" style="80" customWidth="1"/>
    <col min="12798" max="12798" width="9.42578125" style="80" customWidth="1"/>
    <col min="12799" max="12799" width="12.42578125" style="80" bestFit="1" customWidth="1"/>
    <col min="12800" max="12801" width="12.42578125" style="80" customWidth="1"/>
    <col min="12802" max="12802" width="25.7109375" style="80" customWidth="1"/>
    <col min="12803" max="12803" width="14" style="80" customWidth="1"/>
    <col min="12804" max="12804" width="8.85546875" style="80" customWidth="1"/>
    <col min="12805" max="12805" width="10.140625" style="80" customWidth="1"/>
    <col min="12806" max="12806" width="10.42578125" style="80" bestFit="1" customWidth="1"/>
    <col min="12807" max="12807" width="11.140625" style="80" customWidth="1"/>
    <col min="12808" max="12808" width="20.28515625" style="80" customWidth="1"/>
    <col min="12809" max="12810" width="21.5703125" style="80" customWidth="1"/>
    <col min="12811" max="13052" width="11.42578125" style="80"/>
    <col min="13053" max="13053" width="43.28515625" style="80" customWidth="1"/>
    <col min="13054" max="13054" width="9.42578125" style="80" customWidth="1"/>
    <col min="13055" max="13055" width="12.42578125" style="80" bestFit="1" customWidth="1"/>
    <col min="13056" max="13057" width="12.42578125" style="80" customWidth="1"/>
    <col min="13058" max="13058" width="25.7109375" style="80" customWidth="1"/>
    <col min="13059" max="13059" width="14" style="80" customWidth="1"/>
    <col min="13060" max="13060" width="8.85546875" style="80" customWidth="1"/>
    <col min="13061" max="13061" width="10.140625" style="80" customWidth="1"/>
    <col min="13062" max="13062" width="10.42578125" style="80" bestFit="1" customWidth="1"/>
    <col min="13063" max="13063" width="11.140625" style="80" customWidth="1"/>
    <col min="13064" max="13064" width="20.28515625" style="80" customWidth="1"/>
    <col min="13065" max="13066" width="21.5703125" style="80" customWidth="1"/>
    <col min="13067" max="13308" width="11.42578125" style="80"/>
    <col min="13309" max="13309" width="43.28515625" style="80" customWidth="1"/>
    <col min="13310" max="13310" width="9.42578125" style="80" customWidth="1"/>
    <col min="13311" max="13311" width="12.42578125" style="80" bestFit="1" customWidth="1"/>
    <col min="13312" max="13313" width="12.42578125" style="80" customWidth="1"/>
    <col min="13314" max="13314" width="25.7109375" style="80" customWidth="1"/>
    <col min="13315" max="13315" width="14" style="80" customWidth="1"/>
    <col min="13316" max="13316" width="8.85546875" style="80" customWidth="1"/>
    <col min="13317" max="13317" width="10.140625" style="80" customWidth="1"/>
    <col min="13318" max="13318" width="10.42578125" style="80" bestFit="1" customWidth="1"/>
    <col min="13319" max="13319" width="11.140625" style="80" customWidth="1"/>
    <col min="13320" max="13320" width="20.28515625" style="80" customWidth="1"/>
    <col min="13321" max="13322" width="21.5703125" style="80" customWidth="1"/>
    <col min="13323" max="13564" width="11.42578125" style="80"/>
    <col min="13565" max="13565" width="43.28515625" style="80" customWidth="1"/>
    <col min="13566" max="13566" width="9.42578125" style="80" customWidth="1"/>
    <col min="13567" max="13567" width="12.42578125" style="80" bestFit="1" customWidth="1"/>
    <col min="13568" max="13569" width="12.42578125" style="80" customWidth="1"/>
    <col min="13570" max="13570" width="25.7109375" style="80" customWidth="1"/>
    <col min="13571" max="13571" width="14" style="80" customWidth="1"/>
    <col min="13572" max="13572" width="8.85546875" style="80" customWidth="1"/>
    <col min="13573" max="13573" width="10.140625" style="80" customWidth="1"/>
    <col min="13574" max="13574" width="10.42578125" style="80" bestFit="1" customWidth="1"/>
    <col min="13575" max="13575" width="11.140625" style="80" customWidth="1"/>
    <col min="13576" max="13576" width="20.28515625" style="80" customWidth="1"/>
    <col min="13577" max="13578" width="21.5703125" style="80" customWidth="1"/>
    <col min="13579" max="13820" width="11.42578125" style="80"/>
    <col min="13821" max="13821" width="43.28515625" style="80" customWidth="1"/>
    <col min="13822" max="13822" width="9.42578125" style="80" customWidth="1"/>
    <col min="13823" max="13823" width="12.42578125" style="80" bestFit="1" customWidth="1"/>
    <col min="13824" max="13825" width="12.42578125" style="80" customWidth="1"/>
    <col min="13826" max="13826" width="25.7109375" style="80" customWidth="1"/>
    <col min="13827" max="13827" width="14" style="80" customWidth="1"/>
    <col min="13828" max="13828" width="8.85546875" style="80" customWidth="1"/>
    <col min="13829" max="13829" width="10.140625" style="80" customWidth="1"/>
    <col min="13830" max="13830" width="10.42578125" style="80" bestFit="1" customWidth="1"/>
    <col min="13831" max="13831" width="11.140625" style="80" customWidth="1"/>
    <col min="13832" max="13832" width="20.28515625" style="80" customWidth="1"/>
    <col min="13833" max="13834" width="21.5703125" style="80" customWidth="1"/>
    <col min="13835" max="14076" width="11.42578125" style="80"/>
    <col min="14077" max="14077" width="43.28515625" style="80" customWidth="1"/>
    <col min="14078" max="14078" width="9.42578125" style="80" customWidth="1"/>
    <col min="14079" max="14079" width="12.42578125" style="80" bestFit="1" customWidth="1"/>
    <col min="14080" max="14081" width="12.42578125" style="80" customWidth="1"/>
    <col min="14082" max="14082" width="25.7109375" style="80" customWidth="1"/>
    <col min="14083" max="14083" width="14" style="80" customWidth="1"/>
    <col min="14084" max="14084" width="8.85546875" style="80" customWidth="1"/>
    <col min="14085" max="14085" width="10.140625" style="80" customWidth="1"/>
    <col min="14086" max="14086" width="10.42578125" style="80" bestFit="1" customWidth="1"/>
    <col min="14087" max="14087" width="11.140625" style="80" customWidth="1"/>
    <col min="14088" max="14088" width="20.28515625" style="80" customWidth="1"/>
    <col min="14089" max="14090" width="21.5703125" style="80" customWidth="1"/>
    <col min="14091" max="14332" width="11.42578125" style="80"/>
    <col min="14333" max="14333" width="43.28515625" style="80" customWidth="1"/>
    <col min="14334" max="14334" width="9.42578125" style="80" customWidth="1"/>
    <col min="14335" max="14335" width="12.42578125" style="80" bestFit="1" customWidth="1"/>
    <col min="14336" max="14337" width="12.42578125" style="80" customWidth="1"/>
    <col min="14338" max="14338" width="25.7109375" style="80" customWidth="1"/>
    <col min="14339" max="14339" width="14" style="80" customWidth="1"/>
    <col min="14340" max="14340" width="8.85546875" style="80" customWidth="1"/>
    <col min="14341" max="14341" width="10.140625" style="80" customWidth="1"/>
    <col min="14342" max="14342" width="10.42578125" style="80" bestFit="1" customWidth="1"/>
    <col min="14343" max="14343" width="11.140625" style="80" customWidth="1"/>
    <col min="14344" max="14344" width="20.28515625" style="80" customWidth="1"/>
    <col min="14345" max="14346" width="21.5703125" style="80" customWidth="1"/>
    <col min="14347" max="14588" width="11.42578125" style="80"/>
    <col min="14589" max="14589" width="43.28515625" style="80" customWidth="1"/>
    <col min="14590" max="14590" width="9.42578125" style="80" customWidth="1"/>
    <col min="14591" max="14591" width="12.42578125" style="80" bestFit="1" customWidth="1"/>
    <col min="14592" max="14593" width="12.42578125" style="80" customWidth="1"/>
    <col min="14594" max="14594" width="25.7109375" style="80" customWidth="1"/>
    <col min="14595" max="14595" width="14" style="80" customWidth="1"/>
    <col min="14596" max="14596" width="8.85546875" style="80" customWidth="1"/>
    <col min="14597" max="14597" width="10.140625" style="80" customWidth="1"/>
    <col min="14598" max="14598" width="10.42578125" style="80" bestFit="1" customWidth="1"/>
    <col min="14599" max="14599" width="11.140625" style="80" customWidth="1"/>
    <col min="14600" max="14600" width="20.28515625" style="80" customWidth="1"/>
    <col min="14601" max="14602" width="21.5703125" style="80" customWidth="1"/>
    <col min="14603" max="14844" width="11.42578125" style="80"/>
    <col min="14845" max="14845" width="43.28515625" style="80" customWidth="1"/>
    <col min="14846" max="14846" width="9.42578125" style="80" customWidth="1"/>
    <col min="14847" max="14847" width="12.42578125" style="80" bestFit="1" customWidth="1"/>
    <col min="14848" max="14849" width="12.42578125" style="80" customWidth="1"/>
    <col min="14850" max="14850" width="25.7109375" style="80" customWidth="1"/>
    <col min="14851" max="14851" width="14" style="80" customWidth="1"/>
    <col min="14852" max="14852" width="8.85546875" style="80" customWidth="1"/>
    <col min="14853" max="14853" width="10.140625" style="80" customWidth="1"/>
    <col min="14854" max="14854" width="10.42578125" style="80" bestFit="1" customWidth="1"/>
    <col min="14855" max="14855" width="11.140625" style="80" customWidth="1"/>
    <col min="14856" max="14856" width="20.28515625" style="80" customWidth="1"/>
    <col min="14857" max="14858" width="21.5703125" style="80" customWidth="1"/>
    <col min="14859" max="15100" width="11.42578125" style="80"/>
    <col min="15101" max="15101" width="43.28515625" style="80" customWidth="1"/>
    <col min="15102" max="15102" width="9.42578125" style="80" customWidth="1"/>
    <col min="15103" max="15103" width="12.42578125" style="80" bestFit="1" customWidth="1"/>
    <col min="15104" max="15105" width="12.42578125" style="80" customWidth="1"/>
    <col min="15106" max="15106" width="25.7109375" style="80" customWidth="1"/>
    <col min="15107" max="15107" width="14" style="80" customWidth="1"/>
    <col min="15108" max="15108" width="8.85546875" style="80" customWidth="1"/>
    <col min="15109" max="15109" width="10.140625" style="80" customWidth="1"/>
    <col min="15110" max="15110" width="10.42578125" style="80" bestFit="1" customWidth="1"/>
    <col min="15111" max="15111" width="11.140625" style="80" customWidth="1"/>
    <col min="15112" max="15112" width="20.28515625" style="80" customWidth="1"/>
    <col min="15113" max="15114" width="21.5703125" style="80" customWidth="1"/>
    <col min="15115" max="15356" width="11.42578125" style="80"/>
    <col min="15357" max="15357" width="43.28515625" style="80" customWidth="1"/>
    <col min="15358" max="15358" width="9.42578125" style="80" customWidth="1"/>
    <col min="15359" max="15359" width="12.42578125" style="80" bestFit="1" customWidth="1"/>
    <col min="15360" max="15361" width="12.42578125" style="80" customWidth="1"/>
    <col min="15362" max="15362" width="25.7109375" style="80" customWidth="1"/>
    <col min="15363" max="15363" width="14" style="80" customWidth="1"/>
    <col min="15364" max="15364" width="8.85546875" style="80" customWidth="1"/>
    <col min="15365" max="15365" width="10.140625" style="80" customWidth="1"/>
    <col min="15366" max="15366" width="10.42578125" style="80" bestFit="1" customWidth="1"/>
    <col min="15367" max="15367" width="11.140625" style="80" customWidth="1"/>
    <col min="15368" max="15368" width="20.28515625" style="80" customWidth="1"/>
    <col min="15369" max="15370" width="21.5703125" style="80" customWidth="1"/>
    <col min="15371" max="15612" width="11.42578125" style="80"/>
    <col min="15613" max="15613" width="43.28515625" style="80" customWidth="1"/>
    <col min="15614" max="15614" width="9.42578125" style="80" customWidth="1"/>
    <col min="15615" max="15615" width="12.42578125" style="80" bestFit="1" customWidth="1"/>
    <col min="15616" max="15617" width="12.42578125" style="80" customWidth="1"/>
    <col min="15618" max="15618" width="25.7109375" style="80" customWidth="1"/>
    <col min="15619" max="15619" width="14" style="80" customWidth="1"/>
    <col min="15620" max="15620" width="8.85546875" style="80" customWidth="1"/>
    <col min="15621" max="15621" width="10.140625" style="80" customWidth="1"/>
    <col min="15622" max="15622" width="10.42578125" style="80" bestFit="1" customWidth="1"/>
    <col min="15623" max="15623" width="11.140625" style="80" customWidth="1"/>
    <col min="15624" max="15624" width="20.28515625" style="80" customWidth="1"/>
    <col min="15625" max="15626" width="21.5703125" style="80" customWidth="1"/>
    <col min="15627" max="15868" width="11.42578125" style="80"/>
    <col min="15869" max="15869" width="43.28515625" style="80" customWidth="1"/>
    <col min="15870" max="15870" width="9.42578125" style="80" customWidth="1"/>
    <col min="15871" max="15871" width="12.42578125" style="80" bestFit="1" customWidth="1"/>
    <col min="15872" max="15873" width="12.42578125" style="80" customWidth="1"/>
    <col min="15874" max="15874" width="25.7109375" style="80" customWidth="1"/>
    <col min="15875" max="15875" width="14" style="80" customWidth="1"/>
    <col min="15876" max="15876" width="8.85546875" style="80" customWidth="1"/>
    <col min="15877" max="15877" width="10.140625" style="80" customWidth="1"/>
    <col min="15878" max="15878" width="10.42578125" style="80" bestFit="1" customWidth="1"/>
    <col min="15879" max="15879" width="11.140625" style="80" customWidth="1"/>
    <col min="15880" max="15880" width="20.28515625" style="80" customWidth="1"/>
    <col min="15881" max="15882" width="21.5703125" style="80" customWidth="1"/>
    <col min="15883" max="16124" width="11.42578125" style="80"/>
    <col min="16125" max="16125" width="43.28515625" style="80" customWidth="1"/>
    <col min="16126" max="16126" width="9.42578125" style="80" customWidth="1"/>
    <col min="16127" max="16127" width="12.42578125" style="80" bestFit="1" customWidth="1"/>
    <col min="16128" max="16129" width="12.42578125" style="80" customWidth="1"/>
    <col min="16130" max="16130" width="25.7109375" style="80" customWidth="1"/>
    <col min="16131" max="16131" width="14" style="80" customWidth="1"/>
    <col min="16132" max="16132" width="8.85546875" style="80" customWidth="1"/>
    <col min="16133" max="16133" width="10.140625" style="80" customWidth="1"/>
    <col min="16134" max="16134" width="10.42578125" style="80" bestFit="1" customWidth="1"/>
    <col min="16135" max="16135" width="11.140625" style="80" customWidth="1"/>
    <col min="16136" max="16136" width="20.28515625" style="80" customWidth="1"/>
    <col min="16137" max="16138" width="21.5703125" style="80" customWidth="1"/>
    <col min="16139" max="16384" width="11.42578125" style="80"/>
  </cols>
  <sheetData>
    <row r="1" spans="1:11" ht="21.75" customHeight="1" x14ac:dyDescent="0.2">
      <c r="A1" s="78" t="s">
        <v>56</v>
      </c>
      <c r="B1" s="92">
        <v>44479</v>
      </c>
      <c r="C1" s="161" t="s">
        <v>444</v>
      </c>
      <c r="D1" s="79" t="s">
        <v>780</v>
      </c>
      <c r="E1" s="435" t="s">
        <v>802</v>
      </c>
      <c r="F1" s="435"/>
      <c r="G1" s="435"/>
      <c r="H1" s="435"/>
      <c r="I1" s="435"/>
      <c r="J1" s="435"/>
      <c r="K1" s="140"/>
    </row>
    <row r="2" spans="1:11" s="128" customFormat="1" ht="37.5" x14ac:dyDescent="0.25">
      <c r="A2" s="82" t="s">
        <v>260</v>
      </c>
      <c r="B2" s="82" t="s">
        <v>101</v>
      </c>
      <c r="C2" s="82" t="s">
        <v>1</v>
      </c>
      <c r="D2" s="82" t="s">
        <v>55</v>
      </c>
      <c r="E2" s="82" t="s">
        <v>58</v>
      </c>
      <c r="F2" s="82" t="s">
        <v>147</v>
      </c>
      <c r="G2" s="82" t="s">
        <v>752</v>
      </c>
      <c r="H2" s="82" t="s">
        <v>3</v>
      </c>
      <c r="I2" s="81" t="s">
        <v>5</v>
      </c>
      <c r="J2" s="82" t="s">
        <v>658</v>
      </c>
    </row>
    <row r="3" spans="1:11" x14ac:dyDescent="0.25">
      <c r="A3" s="85" t="s">
        <v>102</v>
      </c>
      <c r="B3" s="87" t="s">
        <v>63</v>
      </c>
      <c r="C3" s="87" t="s">
        <v>9</v>
      </c>
      <c r="D3" s="21">
        <v>1</v>
      </c>
      <c r="E3" s="90"/>
      <c r="F3" s="87"/>
      <c r="G3" s="21"/>
      <c r="H3" s="87" t="s">
        <v>397</v>
      </c>
      <c r="I3" s="20"/>
      <c r="J3" s="25"/>
    </row>
    <row r="4" spans="1:11" x14ac:dyDescent="0.25">
      <c r="A4" s="85" t="s">
        <v>102</v>
      </c>
      <c r="B4" s="87" t="s">
        <v>103</v>
      </c>
      <c r="C4" s="87" t="s">
        <v>9</v>
      </c>
      <c r="D4" s="21">
        <v>0.75</v>
      </c>
      <c r="E4" s="90"/>
      <c r="F4" s="87"/>
      <c r="G4" s="21"/>
      <c r="H4" s="87" t="s">
        <v>397</v>
      </c>
      <c r="I4" s="20"/>
      <c r="J4" s="25"/>
    </row>
    <row r="5" spans="1:11" x14ac:dyDescent="0.25">
      <c r="A5" s="85" t="s">
        <v>104</v>
      </c>
      <c r="B5" s="87" t="s">
        <v>103</v>
      </c>
      <c r="C5" s="87" t="s">
        <v>105</v>
      </c>
      <c r="D5" s="21">
        <v>0.25</v>
      </c>
      <c r="E5" s="90"/>
      <c r="F5" s="87"/>
      <c r="G5" s="21"/>
      <c r="H5" s="87" t="s">
        <v>397</v>
      </c>
      <c r="I5" s="20"/>
      <c r="J5" s="25"/>
    </row>
    <row r="6" spans="1:11" x14ac:dyDescent="0.25">
      <c r="A6" s="85" t="s">
        <v>106</v>
      </c>
      <c r="B6" s="87" t="s">
        <v>107</v>
      </c>
      <c r="C6" s="87" t="s">
        <v>9</v>
      </c>
      <c r="D6" s="21">
        <v>0.1</v>
      </c>
      <c r="E6" s="90"/>
      <c r="F6" s="87"/>
      <c r="G6" s="21"/>
      <c r="H6" s="87" t="s">
        <v>397</v>
      </c>
      <c r="I6" s="20"/>
      <c r="J6" s="25"/>
    </row>
    <row r="7" spans="1:11" x14ac:dyDescent="0.25">
      <c r="A7" s="129" t="s">
        <v>701</v>
      </c>
      <c r="B7" s="62" t="s">
        <v>103</v>
      </c>
      <c r="C7" s="87" t="s">
        <v>740</v>
      </c>
      <c r="D7" s="50">
        <v>0.8</v>
      </c>
      <c r="E7" s="165"/>
      <c r="F7" s="62"/>
      <c r="G7" s="50"/>
      <c r="H7" s="87" t="s">
        <v>397</v>
      </c>
      <c r="I7" s="20"/>
      <c r="J7" s="25"/>
    </row>
    <row r="8" spans="1:11" x14ac:dyDescent="0.25">
      <c r="A8" s="85" t="s">
        <v>108</v>
      </c>
      <c r="B8" s="87" t="s">
        <v>63</v>
      </c>
      <c r="C8" s="87" t="s">
        <v>9</v>
      </c>
      <c r="D8" s="21">
        <v>0.5</v>
      </c>
      <c r="E8" s="90"/>
      <c r="F8" s="87"/>
      <c r="G8" s="21"/>
      <c r="H8" s="87" t="s">
        <v>397</v>
      </c>
      <c r="I8" s="20"/>
      <c r="J8" s="25"/>
    </row>
    <row r="9" spans="1:11" s="140" customFormat="1" x14ac:dyDescent="0.25">
      <c r="A9" s="85" t="s">
        <v>681</v>
      </c>
      <c r="B9" s="87" t="s">
        <v>103</v>
      </c>
      <c r="C9" s="87" t="s">
        <v>105</v>
      </c>
      <c r="D9" s="21">
        <v>0.5</v>
      </c>
      <c r="E9" s="90"/>
      <c r="F9" s="87"/>
      <c r="G9" s="21"/>
      <c r="H9" s="87" t="s">
        <v>397</v>
      </c>
      <c r="I9" s="20"/>
      <c r="J9" s="25"/>
    </row>
    <row r="10" spans="1:11" s="140" customFormat="1" x14ac:dyDescent="0.25">
      <c r="A10" s="129" t="s">
        <v>109</v>
      </c>
      <c r="B10" s="62" t="s">
        <v>63</v>
      </c>
      <c r="C10" s="87" t="s">
        <v>9</v>
      </c>
      <c r="D10" s="50">
        <v>1</v>
      </c>
      <c r="E10" s="165"/>
      <c r="F10" s="62"/>
      <c r="G10" s="50"/>
      <c r="H10" s="87" t="s">
        <v>397</v>
      </c>
      <c r="I10" s="20"/>
      <c r="J10" s="25"/>
    </row>
    <row r="11" spans="1:11" s="140" customFormat="1" x14ac:dyDescent="0.25">
      <c r="A11" s="129" t="s">
        <v>110</v>
      </c>
      <c r="B11" s="62" t="s">
        <v>103</v>
      </c>
      <c r="C11" s="87" t="s">
        <v>9</v>
      </c>
      <c r="D11" s="50">
        <v>1</v>
      </c>
      <c r="E11" s="165"/>
      <c r="F11" s="62"/>
      <c r="G11" s="50"/>
      <c r="H11" s="87" t="s">
        <v>397</v>
      </c>
      <c r="I11" s="20"/>
      <c r="J11" s="25"/>
    </row>
    <row r="12" spans="1:11" x14ac:dyDescent="0.25">
      <c r="A12" s="85" t="s">
        <v>111</v>
      </c>
      <c r="B12" s="62" t="s">
        <v>103</v>
      </c>
      <c r="C12" s="87" t="s">
        <v>740</v>
      </c>
      <c r="D12" s="50">
        <v>6</v>
      </c>
      <c r="E12" s="165">
        <v>43327</v>
      </c>
      <c r="F12" s="62"/>
      <c r="G12" s="50"/>
      <c r="H12" s="87" t="s">
        <v>397</v>
      </c>
      <c r="I12" s="19"/>
      <c r="J12" s="25"/>
    </row>
    <row r="13" spans="1:11" x14ac:dyDescent="0.25">
      <c r="A13" s="85" t="s">
        <v>111</v>
      </c>
      <c r="B13" s="87"/>
      <c r="C13" s="87" t="s">
        <v>740</v>
      </c>
      <c r="D13" s="50">
        <v>1</v>
      </c>
      <c r="E13" s="165"/>
      <c r="F13" s="62"/>
      <c r="G13" s="50"/>
      <c r="H13" s="130">
        <v>44013</v>
      </c>
      <c r="I13" s="19"/>
      <c r="J13" s="25"/>
    </row>
    <row r="14" spans="1:11" x14ac:dyDescent="0.25">
      <c r="A14" s="166" t="s">
        <v>112</v>
      </c>
      <c r="B14" s="62" t="s">
        <v>113</v>
      </c>
      <c r="C14" s="87" t="s">
        <v>740</v>
      </c>
      <c r="D14" s="50">
        <v>0.9</v>
      </c>
      <c r="E14" s="165"/>
      <c r="F14" s="62"/>
      <c r="G14" s="50"/>
      <c r="H14" s="87" t="s">
        <v>397</v>
      </c>
      <c r="I14" s="20"/>
      <c r="J14" s="25"/>
    </row>
    <row r="15" spans="1:11" x14ac:dyDescent="0.25">
      <c r="A15" s="85" t="s">
        <v>114</v>
      </c>
      <c r="B15" s="62" t="s">
        <v>63</v>
      </c>
      <c r="C15" s="87" t="s">
        <v>9</v>
      </c>
      <c r="D15" s="50">
        <v>0.5</v>
      </c>
      <c r="E15" s="165"/>
      <c r="F15" s="62"/>
      <c r="G15" s="50"/>
      <c r="H15" s="87" t="s">
        <v>397</v>
      </c>
      <c r="I15" s="20"/>
      <c r="J15" s="25"/>
    </row>
    <row r="16" spans="1:11" x14ac:dyDescent="0.25">
      <c r="A16" s="85" t="s">
        <v>114</v>
      </c>
      <c r="B16" s="62"/>
      <c r="C16" s="87" t="s">
        <v>18</v>
      </c>
      <c r="D16" s="50">
        <v>1</v>
      </c>
      <c r="E16" s="165"/>
      <c r="F16" s="62"/>
      <c r="G16" s="50"/>
      <c r="H16" s="87" t="s">
        <v>397</v>
      </c>
      <c r="I16" s="20"/>
      <c r="J16" s="25"/>
    </row>
    <row r="17" spans="1:10" x14ac:dyDescent="0.25">
      <c r="A17" s="173" t="s">
        <v>114</v>
      </c>
      <c r="B17" s="174" t="s">
        <v>1032</v>
      </c>
      <c r="C17" s="174" t="s">
        <v>15</v>
      </c>
      <c r="D17" s="175">
        <v>7.5</v>
      </c>
      <c r="E17" s="258">
        <v>44082</v>
      </c>
      <c r="F17" s="174"/>
      <c r="G17" s="175">
        <v>12</v>
      </c>
      <c r="H17" s="258">
        <v>45807</v>
      </c>
      <c r="I17" s="176"/>
      <c r="J17" s="177"/>
    </row>
    <row r="18" spans="1:10" x14ac:dyDescent="0.25">
      <c r="A18" s="166" t="s">
        <v>586</v>
      </c>
      <c r="B18" s="87" t="s">
        <v>103</v>
      </c>
      <c r="C18" s="87" t="s">
        <v>18</v>
      </c>
      <c r="D18" s="21">
        <v>1.04</v>
      </c>
      <c r="E18" s="90"/>
      <c r="F18" s="87"/>
      <c r="G18" s="21"/>
      <c r="H18" s="87" t="s">
        <v>397</v>
      </c>
      <c r="I18" s="20"/>
      <c r="J18" s="25"/>
    </row>
    <row r="19" spans="1:10" s="140" customFormat="1" x14ac:dyDescent="0.25">
      <c r="A19" s="388" t="s">
        <v>1068</v>
      </c>
      <c r="B19" s="57" t="s">
        <v>103</v>
      </c>
      <c r="C19" s="57" t="s">
        <v>740</v>
      </c>
      <c r="D19" s="370">
        <v>1</v>
      </c>
      <c r="E19" s="276">
        <v>44330</v>
      </c>
      <c r="F19" s="57"/>
      <c r="G19" s="57">
        <v>1</v>
      </c>
      <c r="H19" s="87" t="s">
        <v>397</v>
      </c>
      <c r="I19" s="122"/>
      <c r="J19" s="25"/>
    </row>
    <row r="20" spans="1:10" s="140" customFormat="1" x14ac:dyDescent="0.25">
      <c r="A20" s="166" t="s">
        <v>115</v>
      </c>
      <c r="B20" s="87" t="s">
        <v>63</v>
      </c>
      <c r="C20" s="87" t="s">
        <v>9</v>
      </c>
      <c r="D20" s="21">
        <v>0.8</v>
      </c>
      <c r="E20" s="90"/>
      <c r="F20" s="87"/>
      <c r="G20" s="21"/>
      <c r="H20" s="87" t="s">
        <v>397</v>
      </c>
      <c r="I20" s="20"/>
      <c r="J20" s="25"/>
    </row>
    <row r="21" spans="1:10" s="140" customFormat="1" x14ac:dyDescent="0.25">
      <c r="A21" s="85" t="s">
        <v>119</v>
      </c>
      <c r="B21" s="87" t="s">
        <v>103</v>
      </c>
      <c r="C21" s="87" t="s">
        <v>740</v>
      </c>
      <c r="D21" s="21">
        <v>1.7</v>
      </c>
      <c r="E21" s="90"/>
      <c r="F21" s="87"/>
      <c r="G21" s="21"/>
      <c r="H21" s="87" t="s">
        <v>397</v>
      </c>
      <c r="I21" s="20"/>
      <c r="J21" s="25"/>
    </row>
    <row r="22" spans="1:10" s="140" customFormat="1" x14ac:dyDescent="0.25">
      <c r="A22" s="85" t="s">
        <v>119</v>
      </c>
      <c r="B22" s="87" t="s">
        <v>63</v>
      </c>
      <c r="C22" s="87" t="s">
        <v>9</v>
      </c>
      <c r="D22" s="21">
        <v>0.6</v>
      </c>
      <c r="E22" s="90"/>
      <c r="F22" s="87"/>
      <c r="G22" s="21"/>
      <c r="H22" s="87" t="s">
        <v>397</v>
      </c>
      <c r="I22" s="20"/>
      <c r="J22" s="25"/>
    </row>
    <row r="23" spans="1:10" s="140" customFormat="1" x14ac:dyDescent="0.25">
      <c r="A23" s="85" t="s">
        <v>120</v>
      </c>
      <c r="B23" s="87" t="s">
        <v>103</v>
      </c>
      <c r="C23" s="87" t="s">
        <v>121</v>
      </c>
      <c r="D23" s="21">
        <v>1</v>
      </c>
      <c r="E23" s="90"/>
      <c r="F23" s="87"/>
      <c r="G23" s="21"/>
      <c r="H23" s="87" t="s">
        <v>397</v>
      </c>
      <c r="I23" s="20"/>
      <c r="J23" s="25"/>
    </row>
    <row r="24" spans="1:10" hidden="1" x14ac:dyDescent="0.25">
      <c r="A24" s="85" t="s">
        <v>122</v>
      </c>
      <c r="B24" s="63" t="s">
        <v>113</v>
      </c>
      <c r="C24" s="87" t="s">
        <v>740</v>
      </c>
      <c r="D24" s="21"/>
      <c r="E24" s="89">
        <v>43866</v>
      </c>
      <c r="F24" s="87">
        <v>40023</v>
      </c>
      <c r="G24" s="21"/>
      <c r="H24" s="87" t="s">
        <v>397</v>
      </c>
      <c r="I24" s="19"/>
      <c r="J24" s="38">
        <v>43957</v>
      </c>
    </row>
    <row r="25" spans="1:10" hidden="1" x14ac:dyDescent="0.25">
      <c r="A25" s="85" t="s">
        <v>118</v>
      </c>
      <c r="B25" s="87" t="s">
        <v>103</v>
      </c>
      <c r="C25" s="87" t="s">
        <v>740</v>
      </c>
      <c r="D25" s="21">
        <v>0</v>
      </c>
      <c r="E25" s="90">
        <v>43760</v>
      </c>
      <c r="F25" s="87">
        <v>39921</v>
      </c>
      <c r="G25" s="175"/>
      <c r="H25" s="130">
        <v>44440</v>
      </c>
      <c r="I25" s="19"/>
      <c r="J25" s="38">
        <v>44117</v>
      </c>
    </row>
    <row r="26" spans="1:10" x14ac:dyDescent="0.25">
      <c r="A26" s="166" t="s">
        <v>116</v>
      </c>
      <c r="B26" s="87" t="s">
        <v>103</v>
      </c>
      <c r="C26" s="87" t="s">
        <v>117</v>
      </c>
      <c r="D26" s="21">
        <v>0.7</v>
      </c>
      <c r="E26" s="90"/>
      <c r="F26" s="87"/>
      <c r="G26" s="21"/>
      <c r="H26" s="87" t="s">
        <v>397</v>
      </c>
      <c r="I26" s="20"/>
      <c r="J26" s="25"/>
    </row>
    <row r="27" spans="1:10" x14ac:dyDescent="0.25">
      <c r="A27" s="173" t="s">
        <v>118</v>
      </c>
      <c r="B27" s="174"/>
      <c r="C27" s="87" t="s">
        <v>740</v>
      </c>
      <c r="D27" s="175">
        <v>4.5</v>
      </c>
      <c r="E27" s="258">
        <v>44057</v>
      </c>
      <c r="F27" s="174"/>
      <c r="G27" s="21">
        <v>12</v>
      </c>
      <c r="H27" s="87" t="s">
        <v>397</v>
      </c>
      <c r="I27" s="122"/>
      <c r="J27" s="177"/>
    </row>
    <row r="28" spans="1:10" hidden="1" x14ac:dyDescent="0.25">
      <c r="A28" s="85" t="s">
        <v>122</v>
      </c>
      <c r="B28" s="63" t="s">
        <v>113</v>
      </c>
      <c r="C28" s="87" t="s">
        <v>740</v>
      </c>
      <c r="D28" s="21">
        <v>0</v>
      </c>
      <c r="E28" s="89">
        <v>43677</v>
      </c>
      <c r="F28" s="63">
        <v>39743</v>
      </c>
      <c r="G28" s="21"/>
      <c r="H28" s="130">
        <v>43952</v>
      </c>
      <c r="I28" s="19"/>
      <c r="J28" s="38">
        <v>44117</v>
      </c>
    </row>
    <row r="29" spans="1:10" x14ac:dyDescent="0.25">
      <c r="A29" s="267" t="s">
        <v>118</v>
      </c>
      <c r="B29" s="87" t="s">
        <v>103</v>
      </c>
      <c r="C29" s="87" t="s">
        <v>740</v>
      </c>
      <c r="D29" s="269">
        <v>12</v>
      </c>
      <c r="E29" s="270">
        <v>44127</v>
      </c>
      <c r="F29" s="268"/>
      <c r="G29" s="269">
        <v>12</v>
      </c>
      <c r="H29" s="87" t="s">
        <v>397</v>
      </c>
      <c r="I29" s="271"/>
      <c r="J29" s="272"/>
    </row>
    <row r="30" spans="1:10" x14ac:dyDescent="0.25">
      <c r="A30" s="85" t="s">
        <v>122</v>
      </c>
      <c r="B30" s="63" t="s">
        <v>63</v>
      </c>
      <c r="C30" s="87" t="s">
        <v>9</v>
      </c>
      <c r="D30" s="21">
        <v>0.4</v>
      </c>
      <c r="E30" s="89"/>
      <c r="F30" s="63"/>
      <c r="G30" s="175"/>
      <c r="H30" s="87" t="s">
        <v>397</v>
      </c>
      <c r="I30" s="19"/>
      <c r="J30" s="25"/>
    </row>
    <row r="31" spans="1:10" x14ac:dyDescent="0.25">
      <c r="A31" s="173" t="s">
        <v>122</v>
      </c>
      <c r="B31" s="57" t="s">
        <v>113</v>
      </c>
      <c r="C31" s="87" t="s">
        <v>740</v>
      </c>
      <c r="D31" s="370">
        <v>0</v>
      </c>
      <c r="E31" s="258">
        <v>43992</v>
      </c>
      <c r="F31" s="174"/>
      <c r="G31" s="21">
        <v>12</v>
      </c>
      <c r="H31" s="87" t="s">
        <v>397</v>
      </c>
      <c r="I31" s="176"/>
      <c r="J31" s="177"/>
    </row>
    <row r="32" spans="1:10" x14ac:dyDescent="0.25">
      <c r="A32" s="267" t="s">
        <v>122</v>
      </c>
      <c r="B32" s="268" t="s">
        <v>113</v>
      </c>
      <c r="C32" s="87" t="s">
        <v>740</v>
      </c>
      <c r="D32" s="269">
        <v>12</v>
      </c>
      <c r="E32" s="270">
        <v>44127</v>
      </c>
      <c r="F32" s="268"/>
      <c r="G32" s="273">
        <v>12</v>
      </c>
      <c r="H32" s="87" t="s">
        <v>397</v>
      </c>
      <c r="I32" s="271"/>
      <c r="J32" s="272"/>
    </row>
    <row r="33" spans="1:10" x14ac:dyDescent="0.25">
      <c r="A33" s="166" t="s">
        <v>123</v>
      </c>
      <c r="B33" s="87" t="s">
        <v>63</v>
      </c>
      <c r="C33" s="87" t="s">
        <v>121</v>
      </c>
      <c r="D33" s="21">
        <v>3</v>
      </c>
      <c r="E33" s="90"/>
      <c r="F33" s="87"/>
      <c r="G33" s="21"/>
      <c r="H33" s="87" t="s">
        <v>397</v>
      </c>
      <c r="I33" s="20"/>
      <c r="J33" s="25"/>
    </row>
    <row r="34" spans="1:10" x14ac:dyDescent="0.25">
      <c r="A34" s="85" t="s">
        <v>124</v>
      </c>
      <c r="B34" s="87" t="s">
        <v>103</v>
      </c>
      <c r="C34" s="87" t="s">
        <v>18</v>
      </c>
      <c r="D34" s="21">
        <v>1.4</v>
      </c>
      <c r="E34" s="90"/>
      <c r="F34" s="87"/>
      <c r="G34" s="21"/>
      <c r="H34" s="87" t="s">
        <v>397</v>
      </c>
      <c r="I34" s="19"/>
      <c r="J34" s="25"/>
    </row>
    <row r="35" spans="1:10" x14ac:dyDescent="0.25">
      <c r="A35" s="85" t="s">
        <v>124</v>
      </c>
      <c r="B35" s="87"/>
      <c r="C35" s="87" t="s">
        <v>121</v>
      </c>
      <c r="D35" s="21">
        <v>0.6</v>
      </c>
      <c r="E35" s="90"/>
      <c r="F35" s="87"/>
      <c r="G35" s="21"/>
      <c r="H35" s="87" t="s">
        <v>397</v>
      </c>
      <c r="I35" s="19"/>
      <c r="J35" s="25"/>
    </row>
    <row r="36" spans="1:10" x14ac:dyDescent="0.25">
      <c r="A36" s="85" t="s">
        <v>125</v>
      </c>
      <c r="B36" s="87" t="s">
        <v>113</v>
      </c>
      <c r="C36" s="87" t="s">
        <v>740</v>
      </c>
      <c r="D36" s="21">
        <v>0.7</v>
      </c>
      <c r="E36" s="90"/>
      <c r="F36" s="87"/>
      <c r="G36" s="21"/>
      <c r="H36" s="87" t="s">
        <v>397</v>
      </c>
      <c r="I36" s="19"/>
      <c r="J36" s="25"/>
    </row>
    <row r="37" spans="1:10" x14ac:dyDescent="0.25">
      <c r="A37" s="85" t="s">
        <v>125</v>
      </c>
      <c r="B37" s="87" t="s">
        <v>103</v>
      </c>
      <c r="C37" s="87" t="s">
        <v>740</v>
      </c>
      <c r="D37" s="21">
        <v>2</v>
      </c>
      <c r="E37" s="90"/>
      <c r="F37" s="87"/>
      <c r="G37" s="21"/>
      <c r="H37" s="87" t="s">
        <v>397</v>
      </c>
      <c r="I37" s="19"/>
      <c r="J37" s="25"/>
    </row>
    <row r="38" spans="1:10" x14ac:dyDescent="0.25">
      <c r="A38" s="85" t="s">
        <v>126</v>
      </c>
      <c r="B38" s="87" t="s">
        <v>103</v>
      </c>
      <c r="C38" s="87" t="s">
        <v>127</v>
      </c>
      <c r="D38" s="21">
        <v>1.9</v>
      </c>
      <c r="E38" s="90"/>
      <c r="F38" s="87"/>
      <c r="G38" s="21"/>
      <c r="H38" s="87" t="s">
        <v>397</v>
      </c>
      <c r="I38" s="19"/>
      <c r="J38" s="25"/>
    </row>
    <row r="39" spans="1:10" x14ac:dyDescent="0.25">
      <c r="A39" s="85" t="s">
        <v>128</v>
      </c>
      <c r="B39" s="87" t="s">
        <v>103</v>
      </c>
      <c r="C39" s="87" t="s">
        <v>9</v>
      </c>
      <c r="D39" s="21">
        <v>0.25</v>
      </c>
      <c r="E39" s="90"/>
      <c r="F39" s="87"/>
      <c r="G39" s="21"/>
      <c r="H39" s="87" t="s">
        <v>397</v>
      </c>
      <c r="I39" s="19"/>
      <c r="J39" s="25"/>
    </row>
    <row r="40" spans="1:10" x14ac:dyDescent="0.25">
      <c r="A40" s="85" t="s">
        <v>129</v>
      </c>
      <c r="B40" s="87" t="s">
        <v>130</v>
      </c>
      <c r="C40" s="87" t="s">
        <v>9</v>
      </c>
      <c r="D40" s="21">
        <v>1</v>
      </c>
      <c r="E40" s="90"/>
      <c r="F40" s="87"/>
      <c r="G40" s="21"/>
      <c r="H40" s="87" t="s">
        <v>397</v>
      </c>
      <c r="I40" s="19"/>
      <c r="J40" s="25"/>
    </row>
    <row r="41" spans="1:10" x14ac:dyDescent="0.25">
      <c r="A41" s="166" t="s">
        <v>196</v>
      </c>
      <c r="B41" s="87" t="s">
        <v>103</v>
      </c>
      <c r="C41" s="87" t="s">
        <v>18</v>
      </c>
      <c r="D41" s="21">
        <v>1</v>
      </c>
      <c r="E41" s="90"/>
      <c r="F41" s="87"/>
      <c r="G41" s="21"/>
      <c r="H41" s="87" t="s">
        <v>397</v>
      </c>
      <c r="I41" s="20"/>
      <c r="J41" s="25"/>
    </row>
    <row r="42" spans="1:10" x14ac:dyDescent="0.25">
      <c r="A42" s="166" t="s">
        <v>196</v>
      </c>
      <c r="B42" s="57"/>
      <c r="C42" s="87" t="s">
        <v>127</v>
      </c>
      <c r="D42" s="21">
        <v>0.6</v>
      </c>
      <c r="E42" s="90"/>
      <c r="F42" s="87"/>
      <c r="G42" s="21">
        <v>1</v>
      </c>
      <c r="H42" s="87" t="s">
        <v>397</v>
      </c>
      <c r="I42" s="123"/>
      <c r="J42" s="20"/>
    </row>
    <row r="43" spans="1:10" x14ac:dyDescent="0.25">
      <c r="A43" s="166" t="s">
        <v>682</v>
      </c>
      <c r="B43" s="87" t="s">
        <v>103</v>
      </c>
      <c r="C43" s="87" t="s">
        <v>18</v>
      </c>
      <c r="D43" s="21">
        <v>0.6</v>
      </c>
      <c r="E43" s="90"/>
      <c r="F43" s="87"/>
      <c r="G43" s="21"/>
      <c r="H43" s="87" t="s">
        <v>397</v>
      </c>
      <c r="I43" s="20"/>
      <c r="J43" s="25"/>
    </row>
    <row r="44" spans="1:10" x14ac:dyDescent="0.25">
      <c r="A44" s="85" t="s">
        <v>131</v>
      </c>
      <c r="B44" s="87" t="s">
        <v>103</v>
      </c>
      <c r="C44" s="87" t="s">
        <v>9</v>
      </c>
      <c r="D44" s="21">
        <v>0.5</v>
      </c>
      <c r="E44" s="90"/>
      <c r="F44" s="87"/>
      <c r="G44" s="21"/>
      <c r="H44" s="87" t="s">
        <v>397</v>
      </c>
      <c r="I44" s="19"/>
      <c r="J44" s="25"/>
    </row>
    <row r="45" spans="1:10" x14ac:dyDescent="0.25">
      <c r="A45" s="85" t="s">
        <v>131</v>
      </c>
      <c r="B45" s="87" t="s">
        <v>107</v>
      </c>
      <c r="C45" s="87" t="s">
        <v>741</v>
      </c>
      <c r="D45" s="21">
        <v>0.25</v>
      </c>
      <c r="E45" s="90"/>
      <c r="F45" s="87"/>
      <c r="G45" s="21"/>
      <c r="H45" s="87" t="s">
        <v>397</v>
      </c>
      <c r="I45" s="19"/>
      <c r="J45" s="25"/>
    </row>
    <row r="46" spans="1:10" x14ac:dyDescent="0.25">
      <c r="A46" s="85" t="s">
        <v>132</v>
      </c>
      <c r="B46" s="87" t="s">
        <v>103</v>
      </c>
      <c r="C46" s="87" t="s">
        <v>9</v>
      </c>
      <c r="D46" s="21">
        <v>1</v>
      </c>
      <c r="E46" s="90"/>
      <c r="F46" s="87"/>
      <c r="G46" s="21"/>
      <c r="H46" s="87" t="s">
        <v>397</v>
      </c>
      <c r="I46" s="19"/>
      <c r="J46" s="25"/>
    </row>
    <row r="47" spans="1:10" x14ac:dyDescent="0.25">
      <c r="A47" s="85" t="s">
        <v>133</v>
      </c>
      <c r="B47" s="87" t="s">
        <v>63</v>
      </c>
      <c r="C47" s="87" t="s">
        <v>9</v>
      </c>
      <c r="D47" s="21">
        <v>1</v>
      </c>
      <c r="E47" s="90"/>
      <c r="F47" s="87"/>
      <c r="G47" s="21"/>
      <c r="H47" s="87" t="s">
        <v>397</v>
      </c>
      <c r="I47" s="19"/>
      <c r="J47" s="25"/>
    </row>
    <row r="48" spans="1:10" x14ac:dyDescent="0.25">
      <c r="A48" s="85" t="s">
        <v>133</v>
      </c>
      <c r="B48" s="87" t="s">
        <v>103</v>
      </c>
      <c r="C48" s="87" t="s">
        <v>11</v>
      </c>
      <c r="D48" s="21">
        <v>1</v>
      </c>
      <c r="E48" s="90"/>
      <c r="F48" s="87"/>
      <c r="G48" s="21"/>
      <c r="H48" s="87" t="s">
        <v>397</v>
      </c>
      <c r="I48" s="19"/>
      <c r="J48" s="25"/>
    </row>
    <row r="49" spans="1:10" x14ac:dyDescent="0.25">
      <c r="A49" s="85" t="s">
        <v>134</v>
      </c>
      <c r="B49" s="87"/>
      <c r="C49" s="87" t="s">
        <v>105</v>
      </c>
      <c r="D49" s="21">
        <v>0.25</v>
      </c>
      <c r="E49" s="90"/>
      <c r="F49" s="87"/>
      <c r="G49" s="21"/>
      <c r="H49" s="87" t="s">
        <v>397</v>
      </c>
      <c r="I49" s="19"/>
      <c r="J49" s="25"/>
    </row>
    <row r="50" spans="1:10" x14ac:dyDescent="0.25">
      <c r="A50" s="85" t="s">
        <v>135</v>
      </c>
      <c r="B50" s="87" t="s">
        <v>103</v>
      </c>
      <c r="C50" s="87" t="s">
        <v>740</v>
      </c>
      <c r="D50" s="21">
        <v>0.2</v>
      </c>
      <c r="E50" s="90"/>
      <c r="F50" s="87"/>
      <c r="G50" s="21"/>
      <c r="H50" s="87" t="s">
        <v>397</v>
      </c>
      <c r="I50" s="19"/>
      <c r="J50" s="25"/>
    </row>
    <row r="51" spans="1:10" x14ac:dyDescent="0.25">
      <c r="A51" s="85" t="s">
        <v>135</v>
      </c>
      <c r="B51" s="87" t="s">
        <v>103</v>
      </c>
      <c r="C51" s="87" t="s">
        <v>9</v>
      </c>
      <c r="D51" s="21">
        <v>1.02</v>
      </c>
      <c r="E51" s="90"/>
      <c r="F51" s="87"/>
      <c r="G51" s="21"/>
      <c r="H51" s="87" t="s">
        <v>397</v>
      </c>
      <c r="I51" s="19"/>
      <c r="J51" s="25"/>
    </row>
    <row r="52" spans="1:10" x14ac:dyDescent="0.25">
      <c r="A52" s="85" t="s">
        <v>135</v>
      </c>
      <c r="B52" s="87" t="s">
        <v>63</v>
      </c>
      <c r="C52" s="87" t="s">
        <v>9</v>
      </c>
      <c r="D52" s="21">
        <v>0.1</v>
      </c>
      <c r="E52" s="90"/>
      <c r="F52" s="87"/>
      <c r="G52" s="21"/>
      <c r="H52" s="87" t="s">
        <v>397</v>
      </c>
      <c r="I52" s="20"/>
      <c r="J52" s="25"/>
    </row>
    <row r="53" spans="1:10" x14ac:dyDescent="0.25">
      <c r="A53" s="85" t="s">
        <v>136</v>
      </c>
      <c r="B53" s="87" t="s">
        <v>137</v>
      </c>
      <c r="C53" s="87" t="s">
        <v>9</v>
      </c>
      <c r="D53" s="21">
        <v>1</v>
      </c>
      <c r="E53" s="90"/>
      <c r="F53" s="87"/>
      <c r="G53" s="50"/>
      <c r="H53" s="87" t="s">
        <v>397</v>
      </c>
      <c r="I53" s="20"/>
      <c r="J53" s="25"/>
    </row>
    <row r="54" spans="1:10" x14ac:dyDescent="0.25">
      <c r="A54" s="85" t="s">
        <v>138</v>
      </c>
      <c r="B54" s="62" t="s">
        <v>103</v>
      </c>
      <c r="C54" s="87" t="s">
        <v>18</v>
      </c>
      <c r="D54" s="50">
        <v>1.9</v>
      </c>
      <c r="E54" s="165"/>
      <c r="F54" s="62"/>
      <c r="G54" s="50"/>
      <c r="H54" s="87" t="s">
        <v>397</v>
      </c>
      <c r="I54" s="20"/>
      <c r="J54" s="25"/>
    </row>
    <row r="55" spans="1:10" x14ac:dyDescent="0.25">
      <c r="A55" s="129" t="s">
        <v>139</v>
      </c>
      <c r="B55" s="62" t="s">
        <v>103</v>
      </c>
      <c r="C55" s="87" t="s">
        <v>9</v>
      </c>
      <c r="D55" s="50">
        <v>1</v>
      </c>
      <c r="E55" s="165"/>
      <c r="F55" s="62"/>
      <c r="G55" s="21"/>
      <c r="H55" s="87" t="s">
        <v>397</v>
      </c>
      <c r="I55" s="20"/>
      <c r="J55" s="25"/>
    </row>
    <row r="56" spans="1:10" x14ac:dyDescent="0.25">
      <c r="A56" s="166" t="s">
        <v>140</v>
      </c>
      <c r="B56" s="87" t="s">
        <v>113</v>
      </c>
      <c r="C56" s="87" t="s">
        <v>740</v>
      </c>
      <c r="D56" s="21">
        <v>7</v>
      </c>
      <c r="E56" s="90"/>
      <c r="F56" s="87"/>
      <c r="G56" s="21"/>
      <c r="H56" s="87" t="s">
        <v>397</v>
      </c>
      <c r="I56" s="19"/>
      <c r="J56" s="25"/>
    </row>
    <row r="57" spans="1:10" x14ac:dyDescent="0.25">
      <c r="A57" s="166" t="s">
        <v>742</v>
      </c>
      <c r="B57" s="87" t="s">
        <v>63</v>
      </c>
      <c r="C57" s="87" t="s">
        <v>740</v>
      </c>
      <c r="D57" s="21">
        <v>3.3</v>
      </c>
      <c r="E57" s="90"/>
      <c r="F57" s="87"/>
      <c r="G57" s="21"/>
      <c r="H57" s="87" t="s">
        <v>397</v>
      </c>
      <c r="I57" s="19"/>
      <c r="J57" s="25"/>
    </row>
    <row r="58" spans="1:10" hidden="1" x14ac:dyDescent="0.25">
      <c r="A58" s="85" t="s">
        <v>143</v>
      </c>
      <c r="B58" s="63"/>
      <c r="C58" s="87" t="s">
        <v>740</v>
      </c>
      <c r="D58" s="21">
        <v>0</v>
      </c>
      <c r="E58" s="89">
        <v>43693</v>
      </c>
      <c r="F58" s="63">
        <v>39728</v>
      </c>
      <c r="G58" s="175"/>
      <c r="H58" s="130">
        <v>44317</v>
      </c>
      <c r="I58" s="19"/>
      <c r="J58" s="25" t="s">
        <v>1050</v>
      </c>
    </row>
    <row r="59" spans="1:10" x14ac:dyDescent="0.25">
      <c r="A59" s="166" t="s">
        <v>141</v>
      </c>
      <c r="B59" s="87" t="s">
        <v>107</v>
      </c>
      <c r="C59" s="87" t="s">
        <v>9</v>
      </c>
      <c r="D59" s="21">
        <v>0.7</v>
      </c>
      <c r="E59" s="90"/>
      <c r="F59" s="87"/>
      <c r="G59" s="21"/>
      <c r="H59" s="87" t="s">
        <v>397</v>
      </c>
      <c r="I59" s="19"/>
      <c r="J59" s="25"/>
    </row>
    <row r="60" spans="1:10" x14ac:dyDescent="0.25">
      <c r="A60" s="173" t="s">
        <v>143</v>
      </c>
      <c r="B60" s="57" t="s">
        <v>130</v>
      </c>
      <c r="C60" s="87" t="s">
        <v>740</v>
      </c>
      <c r="D60" s="175">
        <v>1.5</v>
      </c>
      <c r="E60" s="258">
        <v>43992</v>
      </c>
      <c r="F60" s="174"/>
      <c r="G60" s="21">
        <v>12</v>
      </c>
      <c r="H60" s="87" t="s">
        <v>397</v>
      </c>
      <c r="I60" s="122"/>
      <c r="J60" s="177"/>
    </row>
    <row r="61" spans="1:10" x14ac:dyDescent="0.25">
      <c r="A61" s="373" t="s">
        <v>143</v>
      </c>
      <c r="B61" s="57" t="s">
        <v>130</v>
      </c>
      <c r="C61" s="87" t="s">
        <v>740</v>
      </c>
      <c r="D61" s="375">
        <v>12</v>
      </c>
      <c r="E61" s="376">
        <v>44328</v>
      </c>
      <c r="F61" s="374"/>
      <c r="G61" s="374">
        <v>12</v>
      </c>
      <c r="H61" s="374" t="s">
        <v>397</v>
      </c>
      <c r="I61" s="377"/>
      <c r="J61" s="378"/>
    </row>
    <row r="62" spans="1:10" x14ac:dyDescent="0.25">
      <c r="A62" s="85" t="s">
        <v>144</v>
      </c>
      <c r="B62" s="87" t="s">
        <v>103</v>
      </c>
      <c r="C62" s="87" t="s">
        <v>15</v>
      </c>
      <c r="D62" s="21">
        <v>0.6</v>
      </c>
      <c r="E62" s="90">
        <v>43837</v>
      </c>
      <c r="F62" s="87"/>
      <c r="G62" s="175"/>
      <c r="H62" s="90">
        <v>45412</v>
      </c>
      <c r="I62" s="20"/>
      <c r="J62" s="25"/>
    </row>
    <row r="63" spans="1:10" x14ac:dyDescent="0.25">
      <c r="A63" s="173" t="s">
        <v>144</v>
      </c>
      <c r="B63" s="174" t="s">
        <v>1032</v>
      </c>
      <c r="C63" s="174" t="s">
        <v>794</v>
      </c>
      <c r="D63" s="370" t="s">
        <v>1050</v>
      </c>
      <c r="E63" s="258">
        <v>44082</v>
      </c>
      <c r="F63" s="174"/>
      <c r="G63" s="21">
        <v>1</v>
      </c>
      <c r="H63" s="258">
        <v>46111</v>
      </c>
      <c r="I63" s="176"/>
      <c r="J63" s="177"/>
    </row>
    <row r="64" spans="1:10" x14ac:dyDescent="0.25">
      <c r="A64" s="166" t="s">
        <v>142</v>
      </c>
      <c r="B64" s="87" t="s">
        <v>107</v>
      </c>
      <c r="C64" s="87" t="s">
        <v>9</v>
      </c>
      <c r="D64" s="21">
        <v>0.9</v>
      </c>
      <c r="E64" s="90"/>
      <c r="F64" s="87"/>
      <c r="G64" s="21"/>
      <c r="H64" s="87" t="s">
        <v>397</v>
      </c>
      <c r="I64" s="19"/>
      <c r="J64" s="25"/>
    </row>
    <row r="65" spans="1:10" x14ac:dyDescent="0.25">
      <c r="A65" s="166" t="s">
        <v>683</v>
      </c>
      <c r="B65" s="87" t="s">
        <v>103</v>
      </c>
      <c r="C65" s="87" t="s">
        <v>740</v>
      </c>
      <c r="D65" s="21">
        <v>1.4</v>
      </c>
      <c r="E65" s="90"/>
      <c r="F65" s="87"/>
      <c r="G65" s="21"/>
      <c r="H65" s="87" t="s">
        <v>397</v>
      </c>
      <c r="I65" s="20"/>
      <c r="J65" s="25"/>
    </row>
    <row r="66" spans="1:10" x14ac:dyDescent="0.25">
      <c r="A66" s="85" t="s">
        <v>145</v>
      </c>
      <c r="B66" s="87" t="s">
        <v>103</v>
      </c>
      <c r="C66" s="87" t="s">
        <v>18</v>
      </c>
      <c r="D66" s="21">
        <v>0.9</v>
      </c>
      <c r="E66" s="90"/>
      <c r="F66" s="87"/>
      <c r="G66" s="21"/>
      <c r="H66" s="87" t="s">
        <v>397</v>
      </c>
      <c r="I66" s="20"/>
      <c r="J66" s="25"/>
    </row>
    <row r="67" spans="1:10" x14ac:dyDescent="0.25">
      <c r="A67" s="85" t="s">
        <v>145</v>
      </c>
      <c r="B67" s="87" t="s">
        <v>63</v>
      </c>
      <c r="C67" s="87" t="s">
        <v>740</v>
      </c>
      <c r="D67" s="21">
        <v>0.7</v>
      </c>
      <c r="E67" s="90"/>
      <c r="F67" s="87"/>
      <c r="G67" s="21"/>
      <c r="H67" s="87" t="s">
        <v>397</v>
      </c>
      <c r="I67" s="19"/>
      <c r="J67" s="25"/>
    </row>
    <row r="68" spans="1:10" x14ac:dyDescent="0.25">
      <c r="A68" s="85" t="s">
        <v>145</v>
      </c>
      <c r="B68" s="87" t="s">
        <v>63</v>
      </c>
      <c r="C68" s="87" t="s">
        <v>9</v>
      </c>
      <c r="D68" s="21">
        <v>0.3</v>
      </c>
      <c r="E68" s="90"/>
      <c r="F68" s="87"/>
      <c r="G68" s="21"/>
      <c r="H68" s="87" t="s">
        <v>397</v>
      </c>
      <c r="I68" s="19"/>
      <c r="J68" s="25"/>
    </row>
    <row r="69" spans="1:10" x14ac:dyDescent="0.25">
      <c r="A69" s="166" t="s">
        <v>406</v>
      </c>
      <c r="B69" s="87"/>
      <c r="C69" s="87" t="s">
        <v>408</v>
      </c>
      <c r="D69" s="21">
        <v>1</v>
      </c>
      <c r="E69" s="90">
        <v>43972</v>
      </c>
      <c r="F69" s="87"/>
      <c r="G69" s="21">
        <v>1</v>
      </c>
      <c r="H69" s="87" t="s">
        <v>397</v>
      </c>
      <c r="I69" s="123"/>
      <c r="J69" s="25"/>
    </row>
    <row r="70" spans="1:10" x14ac:dyDescent="0.25">
      <c r="A70" s="166" t="s">
        <v>146</v>
      </c>
      <c r="B70" s="87" t="s">
        <v>103</v>
      </c>
      <c r="C70" s="87" t="s">
        <v>740</v>
      </c>
      <c r="D70" s="21">
        <v>1</v>
      </c>
      <c r="E70" s="90"/>
      <c r="F70" s="87"/>
      <c r="G70" s="269"/>
      <c r="H70" s="87" t="s">
        <v>397</v>
      </c>
      <c r="I70" s="20"/>
      <c r="J70" s="25"/>
    </row>
  </sheetData>
  <sheetProtection sheet="1" objects="1" scenarios="1" formatColumns="0" formatRows="0" sort="0" autoFilter="0"/>
  <mergeCells count="1">
    <mergeCell ref="E1:J1"/>
  </mergeCells>
  <phoneticPr fontId="2" type="noConversion"/>
  <conditionalFormatting sqref="H3:H70">
    <cfRule type="cellIs" dxfId="0" priority="1" operator="lessThan">
      <formula>NOW()</formula>
    </cfRule>
  </conditionalFormatting>
  <hyperlinks>
    <hyperlink ref="C1" location="'Estado general'!A14" display="General" xr:uid="{00000000-0004-0000-0F00-000000000000}"/>
    <hyperlink ref="D1" location="'Insumos a comprar'!A1" display="A comprar" xr:uid="{00000000-0004-0000-0F00-000001000000}"/>
  </hyperlinks>
  <pageMargins left="0" right="0" top="0.98425196850393704" bottom="0.98425196850393704" header="0" footer="0"/>
  <pageSetup paperSize="9" scale="61" orientation="portrait" r:id="rId1"/>
  <headerFooter alignWithMargins="0"/>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errorTitle="Falta en &quot;Insumos a comprar&quot;" error="Chequear que esté escrito de igual manera que en &quot;Insumos a comprar&quot;" xr:uid="{00000000-0002-0000-0F00-000000000000}">
          <x14:formula1>
            <xm:f>Datos!$D$2:$D$100</xm:f>
          </x14:formula1>
          <xm:sqref>A3:A70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62B8BBF6-F698-4A89-AD90-63C74EED66C0}">
  <ds:schemaRefs>
    <ds:schemaRef ds:uri="http://schemas.microsoft.com/DataMashup"/>
  </ds:schemaRefs>
</ds:datastoreItem>
</file>

<file path=customXml/itemProps2.xml><?xml version="1.0" encoding="utf-8"?>
<ds:datastoreItem xmlns:ds="http://schemas.openxmlformats.org/officeDocument/2006/customXml" ds:itemID="{2C69C3C8-A46E-495C-B62D-77AF6E84C311}">
  <ds:schemaRefs/>
</ds:datastoreItem>
</file>

<file path=customXml/itemProps3.xml><?xml version="1.0" encoding="utf-8"?>
<ds:datastoreItem xmlns:ds="http://schemas.openxmlformats.org/officeDocument/2006/customXml" ds:itemID="{1FBEEF0B-DA92-40A7-B229-33F446B4F0AB}">
  <ds:schemaRefs/>
</ds:datastoreItem>
</file>

<file path=customXml/itemProps4.xml><?xml version="1.0" encoding="utf-8"?>
<ds:datastoreItem xmlns:ds="http://schemas.openxmlformats.org/officeDocument/2006/customXml" ds:itemID="{91EA41AB-ECA2-4B73-A452-DD9841264BC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vt:i4>
      </vt:variant>
    </vt:vector>
  </HeadingPairs>
  <TitlesOfParts>
    <vt:vector size="24" baseType="lpstr">
      <vt:lpstr>Datos</vt:lpstr>
      <vt:lpstr>Log</vt:lpstr>
      <vt:lpstr>Estado general</vt:lpstr>
      <vt:lpstr>Insumos a comprar</vt:lpstr>
      <vt:lpstr>Acidos bases y otros liquidos</vt:lpstr>
      <vt:lpstr>Botiquin</vt:lpstr>
      <vt:lpstr>CG</vt:lpstr>
      <vt:lpstr>Gases comprimidos</vt:lpstr>
      <vt:lpstr>Guantes e insumos generales</vt:lpstr>
      <vt:lpstr>Lamparas  AA </vt:lpstr>
      <vt:lpstr>Material de vidrio</vt:lpstr>
      <vt:lpstr>Reactivos HACH</vt:lpstr>
      <vt:lpstr>Solidos heladera</vt:lpstr>
      <vt:lpstr>Solidos mas usados</vt:lpstr>
      <vt:lpstr>Solidos menos usados</vt:lpstr>
      <vt:lpstr>Solventes</vt:lpstr>
      <vt:lpstr>'Solidos menos usados'!_FilterDatabase</vt:lpstr>
      <vt:lpstr>'Acidos bases y otros liquidos'!Print_Area</vt:lpstr>
      <vt:lpstr>'CG'!Print_Area</vt:lpstr>
      <vt:lpstr>'Estado general'!Print_Area</vt:lpstr>
      <vt:lpstr>'Lamparas  AA '!Print_Area</vt:lpstr>
      <vt:lpstr>'Solidos heladera'!Print_Area</vt:lpstr>
      <vt:lpstr>'Solidos menos usados'!Print_Area</vt:lpstr>
      <vt:lpstr>Solventes!Print_Area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pirotta</dc:creator>
  <cp:lastModifiedBy>alan pirotta</cp:lastModifiedBy>
  <cp:lastPrinted>2021-06-29T20:53:58Z</cp:lastPrinted>
  <dcterms:created xsi:type="dcterms:W3CDTF">2015-06-05T18:17:20Z</dcterms:created>
  <dcterms:modified xsi:type="dcterms:W3CDTF">2021-10-30T20:33:19Z</dcterms:modified>
</cp:coreProperties>
</file>