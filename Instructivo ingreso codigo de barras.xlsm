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royectosExcel\"/>
    </mc:Choice>
  </mc:AlternateContent>
  <xr:revisionPtr revIDLastSave="0" documentId="13_ncr:1_{5DF533A9-A89C-4086-9BE8-C871BB20A0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ock" sheetId="1" r:id="rId1"/>
    <sheet name="Egreso" sheetId="2" r:id="rId2"/>
    <sheet name="Ingreso" sheetId="3" r:id="rId3"/>
    <sheet name="Preservantes" sheetId="4" r:id="rId4"/>
  </sheets>
  <definedNames>
    <definedName name="ddpres">Preservantes[Código]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1" i="3" l="1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21" i="3"/>
  <c r="C23" i="3"/>
  <c r="D23" i="3"/>
  <c r="E23" i="3"/>
  <c r="F23" i="3"/>
  <c r="G23" i="3"/>
  <c r="C24" i="3"/>
  <c r="D24" i="3"/>
  <c r="E24" i="3"/>
  <c r="F24" i="3"/>
  <c r="G24" i="3"/>
  <c r="C25" i="3"/>
  <c r="D25" i="3"/>
  <c r="E25" i="3"/>
  <c r="F25" i="3"/>
  <c r="G25" i="3"/>
  <c r="C26" i="3"/>
  <c r="D26" i="3"/>
  <c r="E26" i="3"/>
  <c r="F26" i="3"/>
  <c r="G26" i="3"/>
  <c r="C27" i="3"/>
  <c r="D27" i="3"/>
  <c r="E27" i="3"/>
  <c r="F27" i="3"/>
  <c r="G27" i="3"/>
  <c r="C28" i="3"/>
  <c r="D28" i="3"/>
  <c r="E28" i="3"/>
  <c r="F28" i="3"/>
  <c r="G28" i="3"/>
  <c r="C29" i="3"/>
  <c r="D29" i="3"/>
  <c r="E29" i="3"/>
  <c r="F29" i="3"/>
  <c r="G29" i="3"/>
  <c r="C30" i="3"/>
  <c r="D30" i="3"/>
  <c r="E30" i="3"/>
  <c r="F30" i="3"/>
  <c r="G30" i="3"/>
  <c r="C31" i="3"/>
  <c r="D31" i="3"/>
  <c r="E31" i="3"/>
  <c r="F31" i="3"/>
  <c r="G31" i="3"/>
  <c r="C32" i="3"/>
  <c r="D32" i="3"/>
  <c r="E32" i="3"/>
  <c r="F32" i="3"/>
  <c r="G32" i="3"/>
  <c r="C33" i="3"/>
  <c r="D33" i="3"/>
  <c r="E33" i="3"/>
  <c r="F33" i="3"/>
  <c r="G33" i="3"/>
  <c r="C34" i="3"/>
  <c r="D34" i="3"/>
  <c r="E34" i="3"/>
  <c r="F34" i="3"/>
  <c r="G34" i="3"/>
  <c r="C35" i="3"/>
  <c r="D35" i="3"/>
  <c r="E35" i="3"/>
  <c r="F35" i="3"/>
  <c r="G35" i="3"/>
  <c r="C36" i="3"/>
  <c r="D36" i="3"/>
  <c r="E36" i="3"/>
  <c r="F36" i="3"/>
  <c r="G36" i="3"/>
  <c r="C37" i="3"/>
  <c r="D37" i="3"/>
  <c r="E37" i="3"/>
  <c r="F37" i="3"/>
  <c r="G37" i="3"/>
  <c r="C38" i="3"/>
  <c r="D38" i="3"/>
  <c r="E38" i="3"/>
  <c r="F38" i="3"/>
  <c r="G38" i="3"/>
  <c r="C39" i="3"/>
  <c r="D39" i="3"/>
  <c r="E39" i="3"/>
  <c r="F39" i="3"/>
  <c r="G39" i="3"/>
  <c r="C40" i="3"/>
  <c r="D40" i="3"/>
  <c r="E40" i="3"/>
  <c r="F40" i="3"/>
  <c r="G40" i="3"/>
  <c r="C41" i="3"/>
  <c r="D41" i="3"/>
  <c r="E41" i="3"/>
  <c r="F41" i="3"/>
  <c r="G41" i="3"/>
  <c r="C42" i="3"/>
  <c r="D42" i="3"/>
  <c r="E42" i="3"/>
  <c r="F42" i="3"/>
  <c r="G42" i="3"/>
  <c r="C43" i="3"/>
  <c r="D43" i="3"/>
  <c r="E43" i="3"/>
  <c r="F43" i="3"/>
  <c r="G43" i="3"/>
  <c r="C44" i="3"/>
  <c r="D44" i="3"/>
  <c r="E44" i="3"/>
  <c r="F44" i="3"/>
  <c r="G44" i="3"/>
  <c r="C45" i="3"/>
  <c r="D45" i="3"/>
  <c r="E45" i="3"/>
  <c r="F45" i="3"/>
  <c r="G45" i="3"/>
  <c r="C46" i="3"/>
  <c r="D46" i="3"/>
  <c r="E46" i="3"/>
  <c r="F46" i="3"/>
  <c r="G46" i="3"/>
  <c r="C47" i="3"/>
  <c r="D47" i="3"/>
  <c r="E47" i="3"/>
  <c r="F47" i="3"/>
  <c r="G47" i="3"/>
  <c r="C48" i="3"/>
  <c r="D48" i="3"/>
  <c r="E48" i="3"/>
  <c r="F48" i="3"/>
  <c r="G48" i="3"/>
  <c r="C49" i="3"/>
  <c r="D49" i="3"/>
  <c r="E49" i="3"/>
  <c r="F49" i="3"/>
  <c r="G49" i="3"/>
  <c r="C50" i="3"/>
  <c r="D50" i="3"/>
  <c r="E50" i="3"/>
  <c r="F50" i="3"/>
  <c r="G50" i="3"/>
  <c r="C51" i="3"/>
  <c r="D51" i="3"/>
  <c r="E51" i="3"/>
  <c r="F51" i="3"/>
  <c r="G51" i="3"/>
  <c r="C52" i="3"/>
  <c r="D52" i="3"/>
  <c r="E52" i="3"/>
  <c r="F52" i="3"/>
  <c r="G52" i="3"/>
  <c r="C53" i="3"/>
  <c r="D53" i="3"/>
  <c r="E53" i="3"/>
  <c r="F53" i="3"/>
  <c r="G53" i="3"/>
  <c r="C54" i="3"/>
  <c r="D54" i="3"/>
  <c r="E54" i="3"/>
  <c r="F54" i="3"/>
  <c r="G54" i="3"/>
  <c r="C55" i="3"/>
  <c r="D55" i="3"/>
  <c r="E55" i="3"/>
  <c r="F55" i="3"/>
  <c r="G55" i="3"/>
  <c r="C56" i="3"/>
  <c r="D56" i="3"/>
  <c r="E56" i="3"/>
  <c r="F56" i="3"/>
  <c r="G56" i="3"/>
  <c r="C57" i="3"/>
  <c r="D57" i="3"/>
  <c r="E57" i="3"/>
  <c r="F57" i="3"/>
  <c r="G57" i="3"/>
  <c r="C58" i="3"/>
  <c r="D58" i="3"/>
  <c r="E58" i="3"/>
  <c r="F58" i="3"/>
  <c r="G58" i="3"/>
  <c r="C59" i="3"/>
  <c r="D59" i="3"/>
  <c r="E59" i="3"/>
  <c r="F59" i="3"/>
  <c r="G59" i="3"/>
  <c r="C60" i="3"/>
  <c r="D60" i="3"/>
  <c r="E60" i="3"/>
  <c r="F60" i="3"/>
  <c r="G60" i="3"/>
  <c r="C61" i="3"/>
  <c r="D61" i="3"/>
  <c r="E61" i="3"/>
  <c r="F61" i="3"/>
  <c r="G61" i="3"/>
  <c r="C62" i="3"/>
  <c r="D62" i="3"/>
  <c r="E62" i="3"/>
  <c r="F62" i="3"/>
  <c r="G62" i="3"/>
  <c r="C63" i="3"/>
  <c r="D63" i="3"/>
  <c r="E63" i="3"/>
  <c r="F63" i="3"/>
  <c r="G63" i="3"/>
  <c r="C64" i="3"/>
  <c r="D64" i="3"/>
  <c r="E64" i="3"/>
  <c r="F64" i="3"/>
  <c r="G64" i="3"/>
  <c r="C65" i="3"/>
  <c r="D65" i="3"/>
  <c r="E65" i="3"/>
  <c r="F65" i="3"/>
  <c r="G65" i="3"/>
  <c r="C66" i="3"/>
  <c r="D66" i="3"/>
  <c r="E66" i="3"/>
  <c r="F66" i="3"/>
  <c r="G66" i="3"/>
  <c r="C67" i="3"/>
  <c r="D67" i="3"/>
  <c r="E67" i="3"/>
  <c r="F67" i="3"/>
  <c r="G67" i="3"/>
  <c r="C68" i="3"/>
  <c r="D68" i="3"/>
  <c r="E68" i="3"/>
  <c r="F68" i="3"/>
  <c r="G68" i="3"/>
  <c r="C69" i="3"/>
  <c r="D69" i="3"/>
  <c r="E69" i="3"/>
  <c r="F69" i="3"/>
  <c r="G69" i="3"/>
  <c r="C70" i="3"/>
  <c r="D70" i="3"/>
  <c r="E70" i="3"/>
  <c r="F70" i="3"/>
  <c r="G70" i="3"/>
  <c r="C71" i="3"/>
  <c r="D71" i="3"/>
  <c r="E71" i="3"/>
  <c r="F71" i="3"/>
  <c r="G71" i="3"/>
  <c r="C72" i="3"/>
  <c r="D72" i="3"/>
  <c r="E72" i="3"/>
  <c r="F72" i="3"/>
  <c r="G72" i="3"/>
  <c r="C73" i="3"/>
  <c r="D73" i="3"/>
  <c r="E73" i="3"/>
  <c r="F73" i="3"/>
  <c r="G73" i="3"/>
  <c r="C74" i="3"/>
  <c r="D74" i="3"/>
  <c r="E74" i="3"/>
  <c r="F74" i="3"/>
  <c r="G74" i="3"/>
  <c r="C75" i="3"/>
  <c r="D75" i="3"/>
  <c r="E75" i="3"/>
  <c r="F75" i="3"/>
  <c r="G75" i="3"/>
  <c r="C76" i="3"/>
  <c r="D76" i="3"/>
  <c r="E76" i="3"/>
  <c r="F76" i="3"/>
  <c r="G76" i="3"/>
  <c r="C77" i="3"/>
  <c r="D77" i="3"/>
  <c r="E77" i="3"/>
  <c r="F77" i="3"/>
  <c r="G77" i="3"/>
  <c r="C78" i="3"/>
  <c r="D78" i="3"/>
  <c r="E78" i="3"/>
  <c r="F78" i="3"/>
  <c r="G78" i="3"/>
  <c r="C79" i="3"/>
  <c r="D79" i="3"/>
  <c r="E79" i="3"/>
  <c r="F79" i="3"/>
  <c r="G79" i="3"/>
  <c r="C80" i="3"/>
  <c r="D80" i="3"/>
  <c r="E80" i="3"/>
  <c r="F80" i="3"/>
  <c r="G80" i="3"/>
  <c r="C81" i="3"/>
  <c r="D81" i="3"/>
  <c r="E81" i="3"/>
  <c r="F81" i="3"/>
  <c r="G81" i="3"/>
  <c r="C82" i="3"/>
  <c r="D82" i="3"/>
  <c r="E82" i="3"/>
  <c r="F82" i="3"/>
  <c r="G82" i="3"/>
  <c r="C83" i="3"/>
  <c r="D83" i="3"/>
  <c r="E83" i="3"/>
  <c r="F83" i="3"/>
  <c r="G83" i="3"/>
  <c r="C84" i="3"/>
  <c r="D84" i="3"/>
  <c r="E84" i="3"/>
  <c r="F84" i="3"/>
  <c r="G84" i="3"/>
  <c r="C85" i="3"/>
  <c r="D85" i="3"/>
  <c r="E85" i="3"/>
  <c r="F85" i="3"/>
  <c r="G85" i="3"/>
  <c r="C86" i="3"/>
  <c r="D86" i="3"/>
  <c r="E86" i="3"/>
  <c r="F86" i="3"/>
  <c r="G86" i="3"/>
  <c r="C87" i="3"/>
  <c r="D87" i="3"/>
  <c r="E87" i="3"/>
  <c r="F87" i="3"/>
  <c r="G87" i="3"/>
  <c r="C88" i="3"/>
  <c r="D88" i="3"/>
  <c r="E88" i="3"/>
  <c r="F88" i="3"/>
  <c r="G88" i="3"/>
  <c r="C89" i="3"/>
  <c r="D89" i="3"/>
  <c r="E89" i="3"/>
  <c r="F89" i="3"/>
  <c r="G89" i="3"/>
  <c r="C90" i="3"/>
  <c r="D90" i="3"/>
  <c r="E90" i="3"/>
  <c r="F90" i="3"/>
  <c r="G90" i="3"/>
  <c r="C91" i="3"/>
  <c r="D91" i="3"/>
  <c r="E91" i="3"/>
  <c r="F91" i="3"/>
  <c r="G91" i="3"/>
  <c r="C92" i="3"/>
  <c r="D92" i="3"/>
  <c r="E92" i="3"/>
  <c r="F92" i="3"/>
  <c r="G92" i="3"/>
  <c r="C93" i="3"/>
  <c r="D93" i="3"/>
  <c r="E93" i="3"/>
  <c r="F93" i="3"/>
  <c r="G93" i="3"/>
  <c r="C94" i="3"/>
  <c r="D94" i="3"/>
  <c r="E94" i="3"/>
  <c r="F94" i="3"/>
  <c r="G94" i="3"/>
  <c r="C95" i="3"/>
  <c r="D95" i="3"/>
  <c r="E95" i="3"/>
  <c r="F95" i="3"/>
  <c r="G95" i="3"/>
  <c r="C96" i="3"/>
  <c r="D96" i="3"/>
  <c r="E96" i="3"/>
  <c r="F96" i="3"/>
  <c r="G96" i="3"/>
  <c r="C97" i="3"/>
  <c r="D97" i="3"/>
  <c r="E97" i="3"/>
  <c r="F97" i="3"/>
  <c r="G97" i="3"/>
  <c r="C98" i="3"/>
  <c r="D98" i="3"/>
  <c r="E98" i="3"/>
  <c r="F98" i="3"/>
  <c r="G98" i="3"/>
  <c r="C99" i="3"/>
  <c r="D99" i="3"/>
  <c r="E99" i="3"/>
  <c r="F99" i="3"/>
  <c r="G99" i="3"/>
  <c r="C100" i="3"/>
  <c r="D100" i="3"/>
  <c r="E100" i="3"/>
  <c r="F100" i="3"/>
  <c r="G100" i="3"/>
  <c r="C101" i="3"/>
  <c r="D101" i="3"/>
  <c r="E101" i="3"/>
  <c r="F101" i="3"/>
  <c r="G101" i="3"/>
  <c r="C102" i="3"/>
  <c r="D102" i="3"/>
  <c r="E102" i="3"/>
  <c r="F102" i="3"/>
  <c r="G102" i="3"/>
  <c r="C103" i="3"/>
  <c r="D103" i="3"/>
  <c r="E103" i="3"/>
  <c r="F103" i="3"/>
  <c r="G103" i="3"/>
  <c r="C104" i="3"/>
  <c r="D104" i="3"/>
  <c r="E104" i="3"/>
  <c r="F104" i="3"/>
  <c r="G104" i="3"/>
  <c r="C105" i="3"/>
  <c r="D105" i="3"/>
  <c r="E105" i="3"/>
  <c r="F105" i="3"/>
  <c r="G105" i="3"/>
  <c r="C106" i="3"/>
  <c r="D106" i="3"/>
  <c r="E106" i="3"/>
  <c r="F106" i="3"/>
  <c r="G106" i="3"/>
  <c r="C107" i="3"/>
  <c r="D107" i="3"/>
  <c r="E107" i="3"/>
  <c r="F107" i="3"/>
  <c r="G107" i="3"/>
  <c r="C108" i="3"/>
  <c r="D108" i="3"/>
  <c r="E108" i="3"/>
  <c r="F108" i="3"/>
  <c r="G108" i="3"/>
  <c r="C109" i="3"/>
  <c r="D109" i="3"/>
  <c r="E109" i="3"/>
  <c r="F109" i="3"/>
  <c r="G109" i="3"/>
  <c r="C110" i="3"/>
  <c r="D110" i="3"/>
  <c r="E110" i="3"/>
  <c r="F110" i="3"/>
  <c r="G110" i="3"/>
  <c r="C111" i="3"/>
  <c r="D111" i="3"/>
  <c r="E111" i="3"/>
  <c r="F111" i="3"/>
  <c r="G111" i="3"/>
  <c r="C112" i="3"/>
  <c r="D112" i="3"/>
  <c r="E112" i="3"/>
  <c r="F112" i="3"/>
  <c r="G112" i="3"/>
  <c r="C113" i="3"/>
  <c r="D113" i="3"/>
  <c r="E113" i="3"/>
  <c r="F113" i="3"/>
  <c r="G113" i="3"/>
  <c r="C114" i="3"/>
  <c r="D114" i="3"/>
  <c r="E114" i="3"/>
  <c r="F114" i="3"/>
  <c r="G114" i="3"/>
  <c r="C115" i="3"/>
  <c r="D115" i="3"/>
  <c r="E115" i="3"/>
  <c r="F115" i="3"/>
  <c r="G115" i="3"/>
  <c r="C116" i="3"/>
  <c r="D116" i="3"/>
  <c r="E116" i="3"/>
  <c r="F116" i="3"/>
  <c r="G116" i="3"/>
  <c r="C117" i="3"/>
  <c r="D117" i="3"/>
  <c r="E117" i="3"/>
  <c r="F117" i="3"/>
  <c r="G117" i="3"/>
  <c r="C118" i="3"/>
  <c r="D118" i="3"/>
  <c r="E118" i="3"/>
  <c r="F118" i="3"/>
  <c r="G118" i="3"/>
  <c r="C119" i="3"/>
  <c r="D119" i="3"/>
  <c r="E119" i="3"/>
  <c r="F119" i="3"/>
  <c r="G119" i="3"/>
  <c r="C120" i="3"/>
  <c r="D120" i="3"/>
  <c r="E120" i="3"/>
  <c r="F120" i="3"/>
  <c r="G120" i="3"/>
  <c r="C121" i="3"/>
  <c r="D121" i="3"/>
  <c r="E121" i="3"/>
  <c r="F121" i="3"/>
  <c r="G121" i="3"/>
  <c r="C122" i="3"/>
  <c r="D122" i="3"/>
  <c r="E122" i="3"/>
  <c r="F122" i="3"/>
  <c r="G122" i="3"/>
  <c r="C123" i="3"/>
  <c r="D123" i="3"/>
  <c r="E123" i="3"/>
  <c r="F123" i="3"/>
  <c r="G123" i="3"/>
  <c r="C124" i="3"/>
  <c r="D124" i="3"/>
  <c r="E124" i="3"/>
  <c r="F124" i="3"/>
  <c r="G124" i="3"/>
  <c r="C125" i="3"/>
  <c r="D125" i="3"/>
  <c r="E125" i="3"/>
  <c r="F125" i="3"/>
  <c r="G125" i="3"/>
  <c r="C126" i="3"/>
  <c r="D126" i="3"/>
  <c r="E126" i="3"/>
  <c r="F126" i="3"/>
  <c r="G126" i="3"/>
  <c r="C127" i="3"/>
  <c r="D127" i="3"/>
  <c r="E127" i="3"/>
  <c r="F127" i="3"/>
  <c r="G127" i="3"/>
  <c r="C128" i="3"/>
  <c r="D128" i="3"/>
  <c r="E128" i="3"/>
  <c r="F128" i="3"/>
  <c r="G128" i="3"/>
  <c r="C129" i="3"/>
  <c r="D129" i="3"/>
  <c r="E129" i="3"/>
  <c r="F129" i="3"/>
  <c r="G129" i="3"/>
  <c r="C130" i="3"/>
  <c r="D130" i="3"/>
  <c r="E130" i="3"/>
  <c r="F130" i="3"/>
  <c r="G130" i="3"/>
  <c r="C131" i="3"/>
  <c r="D131" i="3"/>
  <c r="E131" i="3"/>
  <c r="F131" i="3"/>
  <c r="G131" i="3"/>
  <c r="C132" i="3"/>
  <c r="D132" i="3"/>
  <c r="E132" i="3"/>
  <c r="F132" i="3"/>
  <c r="G132" i="3"/>
  <c r="C133" i="3"/>
  <c r="D133" i="3"/>
  <c r="E133" i="3"/>
  <c r="F133" i="3"/>
  <c r="G133" i="3"/>
  <c r="C134" i="3"/>
  <c r="D134" i="3"/>
  <c r="E134" i="3"/>
  <c r="F134" i="3"/>
  <c r="G134" i="3"/>
  <c r="C135" i="3"/>
  <c r="D135" i="3"/>
  <c r="E135" i="3"/>
  <c r="F135" i="3"/>
  <c r="G135" i="3"/>
  <c r="C136" i="3"/>
  <c r="D136" i="3"/>
  <c r="E136" i="3"/>
  <c r="F136" i="3"/>
  <c r="G136" i="3"/>
  <c r="C137" i="3"/>
  <c r="D137" i="3"/>
  <c r="E137" i="3"/>
  <c r="F137" i="3"/>
  <c r="G137" i="3"/>
  <c r="C138" i="3"/>
  <c r="D138" i="3"/>
  <c r="E138" i="3"/>
  <c r="F138" i="3"/>
  <c r="G138" i="3"/>
  <c r="C139" i="3"/>
  <c r="D139" i="3"/>
  <c r="E139" i="3"/>
  <c r="F139" i="3"/>
  <c r="G139" i="3"/>
  <c r="C140" i="3"/>
  <c r="D140" i="3"/>
  <c r="E140" i="3"/>
  <c r="F140" i="3"/>
  <c r="G140" i="3"/>
  <c r="C141" i="3"/>
  <c r="D141" i="3"/>
  <c r="E141" i="3"/>
  <c r="F141" i="3"/>
  <c r="G141" i="3"/>
  <c r="C142" i="3"/>
  <c r="D142" i="3"/>
  <c r="E142" i="3"/>
  <c r="F142" i="3"/>
  <c r="G142" i="3"/>
  <c r="C143" i="3"/>
  <c r="D143" i="3"/>
  <c r="E143" i="3"/>
  <c r="F143" i="3"/>
  <c r="G143" i="3"/>
  <c r="C144" i="3"/>
  <c r="D144" i="3"/>
  <c r="E144" i="3"/>
  <c r="F144" i="3"/>
  <c r="G144" i="3"/>
  <c r="C145" i="3"/>
  <c r="D145" i="3"/>
  <c r="E145" i="3"/>
  <c r="F145" i="3"/>
  <c r="G145" i="3"/>
  <c r="C146" i="3"/>
  <c r="D146" i="3"/>
  <c r="E146" i="3"/>
  <c r="F146" i="3"/>
  <c r="G146" i="3"/>
  <c r="C147" i="3"/>
  <c r="D147" i="3"/>
  <c r="E147" i="3"/>
  <c r="F147" i="3"/>
  <c r="G147" i="3"/>
  <c r="C148" i="3"/>
  <c r="D148" i="3"/>
  <c r="E148" i="3"/>
  <c r="F148" i="3"/>
  <c r="G148" i="3"/>
  <c r="C149" i="3"/>
  <c r="D149" i="3"/>
  <c r="E149" i="3"/>
  <c r="F149" i="3"/>
  <c r="G149" i="3"/>
  <c r="C150" i="3"/>
  <c r="D150" i="3"/>
  <c r="E150" i="3"/>
  <c r="F150" i="3"/>
  <c r="G150" i="3"/>
  <c r="C151" i="3"/>
  <c r="D151" i="3"/>
  <c r="E151" i="3"/>
  <c r="F151" i="3"/>
  <c r="G151" i="3"/>
  <c r="C152" i="3"/>
  <c r="D152" i="3"/>
  <c r="E152" i="3"/>
  <c r="F152" i="3"/>
  <c r="G152" i="3"/>
  <c r="C153" i="3"/>
  <c r="D153" i="3"/>
  <c r="E153" i="3"/>
  <c r="F153" i="3"/>
  <c r="G153" i="3"/>
  <c r="C154" i="3"/>
  <c r="D154" i="3"/>
  <c r="E154" i="3"/>
  <c r="F154" i="3"/>
  <c r="G154" i="3"/>
  <c r="C155" i="3"/>
  <c r="D155" i="3"/>
  <c r="E155" i="3"/>
  <c r="F155" i="3"/>
  <c r="G155" i="3"/>
  <c r="C156" i="3"/>
  <c r="D156" i="3"/>
  <c r="E156" i="3"/>
  <c r="F156" i="3"/>
  <c r="G156" i="3"/>
  <c r="C157" i="3"/>
  <c r="D157" i="3"/>
  <c r="E157" i="3"/>
  <c r="F157" i="3"/>
  <c r="G157" i="3"/>
  <c r="C158" i="3"/>
  <c r="D158" i="3"/>
  <c r="E158" i="3"/>
  <c r="F158" i="3"/>
  <c r="G158" i="3"/>
  <c r="C159" i="3"/>
  <c r="D159" i="3"/>
  <c r="E159" i="3"/>
  <c r="F159" i="3"/>
  <c r="G159" i="3"/>
  <c r="C160" i="3"/>
  <c r="D160" i="3"/>
  <c r="E160" i="3"/>
  <c r="F160" i="3"/>
  <c r="G160" i="3"/>
  <c r="C161" i="3"/>
  <c r="D161" i="3"/>
  <c r="E161" i="3"/>
  <c r="F161" i="3"/>
  <c r="G161" i="3"/>
  <c r="C162" i="3"/>
  <c r="D162" i="3"/>
  <c r="E162" i="3"/>
  <c r="F162" i="3"/>
  <c r="G162" i="3"/>
  <c r="C163" i="3"/>
  <c r="D163" i="3"/>
  <c r="E163" i="3"/>
  <c r="F163" i="3"/>
  <c r="G163" i="3"/>
  <c r="C164" i="3"/>
  <c r="D164" i="3"/>
  <c r="E164" i="3"/>
  <c r="F164" i="3"/>
  <c r="G164" i="3"/>
  <c r="C165" i="3"/>
  <c r="D165" i="3"/>
  <c r="E165" i="3"/>
  <c r="F165" i="3"/>
  <c r="G165" i="3"/>
  <c r="C166" i="3"/>
  <c r="D166" i="3"/>
  <c r="E166" i="3"/>
  <c r="F166" i="3"/>
  <c r="G166" i="3"/>
  <c r="C167" i="3"/>
  <c r="D167" i="3"/>
  <c r="E167" i="3"/>
  <c r="F167" i="3"/>
  <c r="G167" i="3"/>
  <c r="C168" i="3"/>
  <c r="D168" i="3"/>
  <c r="E168" i="3"/>
  <c r="F168" i="3"/>
  <c r="G168" i="3"/>
  <c r="C169" i="3"/>
  <c r="D169" i="3"/>
  <c r="E169" i="3"/>
  <c r="F169" i="3"/>
  <c r="G169" i="3"/>
  <c r="C170" i="3"/>
  <c r="D170" i="3"/>
  <c r="E170" i="3"/>
  <c r="F170" i="3"/>
  <c r="G170" i="3"/>
  <c r="C171" i="3"/>
  <c r="D171" i="3"/>
  <c r="E171" i="3"/>
  <c r="F171" i="3"/>
  <c r="G171" i="3"/>
  <c r="C172" i="3"/>
  <c r="D172" i="3"/>
  <c r="E172" i="3"/>
  <c r="F172" i="3"/>
  <c r="G172" i="3"/>
  <c r="C173" i="3"/>
  <c r="D173" i="3"/>
  <c r="E173" i="3"/>
  <c r="F173" i="3"/>
  <c r="G173" i="3"/>
  <c r="C174" i="3"/>
  <c r="D174" i="3"/>
  <c r="E174" i="3"/>
  <c r="F174" i="3"/>
  <c r="G174" i="3"/>
  <c r="C175" i="3"/>
  <c r="D175" i="3"/>
  <c r="E175" i="3"/>
  <c r="F175" i="3"/>
  <c r="G175" i="3"/>
  <c r="C176" i="3"/>
  <c r="D176" i="3"/>
  <c r="E176" i="3"/>
  <c r="F176" i="3"/>
  <c r="G176" i="3"/>
  <c r="C177" i="3"/>
  <c r="D177" i="3"/>
  <c r="E177" i="3"/>
  <c r="F177" i="3"/>
  <c r="G177" i="3"/>
  <c r="C178" i="3"/>
  <c r="D178" i="3"/>
  <c r="E178" i="3"/>
  <c r="F178" i="3"/>
  <c r="G178" i="3"/>
  <c r="C179" i="3"/>
  <c r="D179" i="3"/>
  <c r="E179" i="3"/>
  <c r="F179" i="3"/>
  <c r="G179" i="3"/>
  <c r="C180" i="3"/>
  <c r="D180" i="3"/>
  <c r="E180" i="3"/>
  <c r="F180" i="3"/>
  <c r="G180" i="3"/>
  <c r="C181" i="3"/>
  <c r="D181" i="3"/>
  <c r="E181" i="3"/>
  <c r="F181" i="3"/>
  <c r="G181" i="3"/>
  <c r="C182" i="3"/>
  <c r="D182" i="3"/>
  <c r="E182" i="3"/>
  <c r="F182" i="3"/>
  <c r="G182" i="3"/>
  <c r="C183" i="3"/>
  <c r="D183" i="3"/>
  <c r="E183" i="3"/>
  <c r="F183" i="3"/>
  <c r="G183" i="3"/>
  <c r="C184" i="3"/>
  <c r="D184" i="3"/>
  <c r="E184" i="3"/>
  <c r="F184" i="3"/>
  <c r="G184" i="3"/>
  <c r="C185" i="3"/>
  <c r="D185" i="3"/>
  <c r="E185" i="3"/>
  <c r="F185" i="3"/>
  <c r="G185" i="3"/>
  <c r="C186" i="3"/>
  <c r="D186" i="3"/>
  <c r="E186" i="3"/>
  <c r="F186" i="3"/>
  <c r="G186" i="3"/>
  <c r="C187" i="3"/>
  <c r="D187" i="3"/>
  <c r="E187" i="3"/>
  <c r="F187" i="3"/>
  <c r="G187" i="3"/>
  <c r="C188" i="3"/>
  <c r="D188" i="3"/>
  <c r="E188" i="3"/>
  <c r="F188" i="3"/>
  <c r="G188" i="3"/>
  <c r="C189" i="3"/>
  <c r="D189" i="3"/>
  <c r="E189" i="3"/>
  <c r="F189" i="3"/>
  <c r="G189" i="3"/>
  <c r="C190" i="3"/>
  <c r="D190" i="3"/>
  <c r="E190" i="3"/>
  <c r="F190" i="3"/>
  <c r="G190" i="3"/>
  <c r="C191" i="3"/>
  <c r="D191" i="3"/>
  <c r="E191" i="3"/>
  <c r="F191" i="3"/>
  <c r="G191" i="3"/>
  <c r="C192" i="3"/>
  <c r="D192" i="3"/>
  <c r="E192" i="3"/>
  <c r="F192" i="3"/>
  <c r="G192" i="3"/>
  <c r="C193" i="3"/>
  <c r="D193" i="3"/>
  <c r="E193" i="3"/>
  <c r="F193" i="3"/>
  <c r="G193" i="3"/>
  <c r="C194" i="3"/>
  <c r="D194" i="3"/>
  <c r="E194" i="3"/>
  <c r="F194" i="3"/>
  <c r="G194" i="3"/>
  <c r="C195" i="3"/>
  <c r="D195" i="3"/>
  <c r="E195" i="3"/>
  <c r="F195" i="3"/>
  <c r="G195" i="3"/>
  <c r="C196" i="3"/>
  <c r="D196" i="3"/>
  <c r="E196" i="3"/>
  <c r="F196" i="3"/>
  <c r="G196" i="3"/>
  <c r="C197" i="3"/>
  <c r="D197" i="3"/>
  <c r="E197" i="3"/>
  <c r="F197" i="3"/>
  <c r="G197" i="3"/>
  <c r="C198" i="3"/>
  <c r="D198" i="3"/>
  <c r="E198" i="3"/>
  <c r="F198" i="3"/>
  <c r="G198" i="3"/>
  <c r="C199" i="3"/>
  <c r="D199" i="3"/>
  <c r="E199" i="3"/>
  <c r="F199" i="3"/>
  <c r="G199" i="3"/>
  <c r="C200" i="3"/>
  <c r="D200" i="3"/>
  <c r="E200" i="3"/>
  <c r="F200" i="3"/>
  <c r="G200" i="3"/>
  <c r="A22" i="3"/>
  <c r="B22" i="3" s="1"/>
  <c r="N6" i="1" l="1"/>
  <c r="N43" i="1"/>
  <c r="N46" i="1"/>
  <c r="N52" i="1"/>
  <c r="N77" i="1"/>
  <c r="N80" i="1"/>
  <c r="N88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H2" i="1"/>
  <c r="H3" i="1"/>
  <c r="K3" i="1" s="1"/>
  <c r="M3" i="1" s="1"/>
  <c r="H4" i="1"/>
  <c r="L4" i="1" s="1"/>
  <c r="H5" i="1"/>
  <c r="H6" i="1"/>
  <c r="H7" i="1"/>
  <c r="H8" i="1"/>
  <c r="K8" i="1" s="1"/>
  <c r="M8" i="1" s="1"/>
  <c r="H9" i="1"/>
  <c r="H10" i="1"/>
  <c r="H11" i="1"/>
  <c r="K11" i="1" s="1"/>
  <c r="M11" i="1" s="1"/>
  <c r="H12" i="1"/>
  <c r="H13" i="1"/>
  <c r="H14" i="1"/>
  <c r="K14" i="1" s="1"/>
  <c r="M14" i="1" s="1"/>
  <c r="H15" i="1"/>
  <c r="H16" i="1"/>
  <c r="K16" i="1" s="1"/>
  <c r="M16" i="1" s="1"/>
  <c r="H17" i="1"/>
  <c r="H18" i="1"/>
  <c r="K18" i="1" s="1"/>
  <c r="M18" i="1" s="1"/>
  <c r="H19" i="1"/>
  <c r="H20" i="1"/>
  <c r="H21" i="1"/>
  <c r="H22" i="1"/>
  <c r="K22" i="1" s="1"/>
  <c r="H23" i="1"/>
  <c r="H24" i="1"/>
  <c r="K24" i="1" s="1"/>
  <c r="M24" i="1" s="1"/>
  <c r="H25" i="1"/>
  <c r="L25" i="1" s="1"/>
  <c r="H26" i="1"/>
  <c r="K26" i="1" s="1"/>
  <c r="M26" i="1" s="1"/>
  <c r="H27" i="1"/>
  <c r="K27" i="1" s="1"/>
  <c r="M27" i="1" s="1"/>
  <c r="H28" i="1"/>
  <c r="K28" i="1" s="1"/>
  <c r="H29" i="1"/>
  <c r="H30" i="1"/>
  <c r="L30" i="1" s="1"/>
  <c r="H31" i="1"/>
  <c r="H32" i="1"/>
  <c r="K32" i="1" s="1"/>
  <c r="M32" i="1" s="1"/>
  <c r="H33" i="1"/>
  <c r="H34" i="1"/>
  <c r="L34" i="1" s="1"/>
  <c r="H35" i="1"/>
  <c r="H36" i="1"/>
  <c r="K36" i="1" s="1"/>
  <c r="M36" i="1" s="1"/>
  <c r="H37" i="1"/>
  <c r="H38" i="1"/>
  <c r="L38" i="1" s="1"/>
  <c r="H39" i="1"/>
  <c r="H40" i="1"/>
  <c r="K40" i="1" s="1"/>
  <c r="H41" i="1"/>
  <c r="L41" i="1" s="1"/>
  <c r="H42" i="1"/>
  <c r="K42" i="1" s="1"/>
  <c r="H43" i="1"/>
  <c r="H44" i="1"/>
  <c r="L44" i="1" s="1"/>
  <c r="H45" i="1"/>
  <c r="H46" i="1"/>
  <c r="H47" i="1"/>
  <c r="H48" i="1"/>
  <c r="H49" i="1"/>
  <c r="H50" i="1"/>
  <c r="L50" i="1" s="1"/>
  <c r="H51" i="1"/>
  <c r="K51" i="1" s="1"/>
  <c r="H52" i="1"/>
  <c r="H53" i="1"/>
  <c r="H54" i="1"/>
  <c r="K54" i="1" s="1"/>
  <c r="H55" i="1"/>
  <c r="H56" i="1"/>
  <c r="K56" i="1" s="1"/>
  <c r="H57" i="1"/>
  <c r="H58" i="1"/>
  <c r="K58" i="1" s="1"/>
  <c r="M58" i="1" s="1"/>
  <c r="H59" i="1"/>
  <c r="K59" i="1" s="1"/>
  <c r="H60" i="1"/>
  <c r="K60" i="1" s="1"/>
  <c r="H61" i="1"/>
  <c r="H62" i="1"/>
  <c r="K62" i="1" s="1"/>
  <c r="H63" i="1"/>
  <c r="H64" i="1"/>
  <c r="K64" i="1" s="1"/>
  <c r="H65" i="1"/>
  <c r="K65" i="1" s="1"/>
  <c r="H66" i="1"/>
  <c r="K66" i="1" s="1"/>
  <c r="H67" i="1"/>
  <c r="K67" i="1" s="1"/>
  <c r="H68" i="1"/>
  <c r="K68" i="1" s="1"/>
  <c r="H69" i="1"/>
  <c r="H70" i="1"/>
  <c r="H71" i="1"/>
  <c r="H72" i="1"/>
  <c r="L72" i="1" s="1"/>
  <c r="H73" i="1"/>
  <c r="H74" i="1"/>
  <c r="K74" i="1" s="1"/>
  <c r="H75" i="1"/>
  <c r="K75" i="1" s="1"/>
  <c r="M75" i="1" s="1"/>
  <c r="H76" i="1"/>
  <c r="K76" i="1" s="1"/>
  <c r="M76" i="1" s="1"/>
  <c r="H77" i="1"/>
  <c r="H78" i="1"/>
  <c r="K78" i="1" s="1"/>
  <c r="H79" i="1"/>
  <c r="H80" i="1"/>
  <c r="H81" i="1"/>
  <c r="H82" i="1"/>
  <c r="K82" i="1" s="1"/>
  <c r="H83" i="1"/>
  <c r="L83" i="1" s="1"/>
  <c r="H84" i="1"/>
  <c r="L84" i="1" s="1"/>
  <c r="H85" i="1"/>
  <c r="H86" i="1"/>
  <c r="K86" i="1" s="1"/>
  <c r="H87" i="1"/>
  <c r="K87" i="1" s="1"/>
  <c r="H88" i="1"/>
  <c r="H89" i="1"/>
  <c r="H90" i="1"/>
  <c r="K90" i="1" s="1"/>
  <c r="H91" i="1"/>
  <c r="K91" i="1" s="1"/>
  <c r="M91" i="1" s="1"/>
  <c r="H92" i="1"/>
  <c r="K92" i="1" s="1"/>
  <c r="H93" i="1"/>
  <c r="H94" i="1"/>
  <c r="L94" i="1" s="1"/>
  <c r="H95" i="1"/>
  <c r="H96" i="1"/>
  <c r="L96" i="1" s="1"/>
  <c r="H97" i="1"/>
  <c r="H98" i="1"/>
  <c r="K98" i="1" s="1"/>
  <c r="H99" i="1"/>
  <c r="L99" i="1" s="1"/>
  <c r="H100" i="1"/>
  <c r="L100" i="1" s="1"/>
  <c r="H101" i="1"/>
  <c r="H102" i="1"/>
  <c r="K102" i="1" s="1"/>
  <c r="H103" i="1"/>
  <c r="L103" i="1" s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K5" i="1"/>
  <c r="M5" i="1" s="1"/>
  <c r="K7" i="1"/>
  <c r="M7" i="1" s="1"/>
  <c r="K9" i="1"/>
  <c r="M9" i="1" s="1"/>
  <c r="K13" i="1"/>
  <c r="M13" i="1" s="1"/>
  <c r="K15" i="1"/>
  <c r="M15" i="1" s="1"/>
  <c r="K21" i="1"/>
  <c r="M21" i="1" s="1"/>
  <c r="K23" i="1"/>
  <c r="M23" i="1" s="1"/>
  <c r="K25" i="1"/>
  <c r="M25" i="1" s="1"/>
  <c r="K29" i="1"/>
  <c r="K31" i="1"/>
  <c r="M31" i="1" s="1"/>
  <c r="K33" i="1"/>
  <c r="K39" i="1"/>
  <c r="M39" i="1" s="1"/>
  <c r="K45" i="1"/>
  <c r="K49" i="1"/>
  <c r="K50" i="1"/>
  <c r="K53" i="1"/>
  <c r="K55" i="1"/>
  <c r="K57" i="1"/>
  <c r="K61" i="1"/>
  <c r="M61" i="1" s="1"/>
  <c r="K63" i="1"/>
  <c r="M63" i="1" s="1"/>
  <c r="K69" i="1"/>
  <c r="M69" i="1" s="1"/>
  <c r="K71" i="1"/>
  <c r="K73" i="1"/>
  <c r="M73" i="1" s="1"/>
  <c r="K77" i="1"/>
  <c r="M77" i="1" s="1"/>
  <c r="K79" i="1"/>
  <c r="K81" i="1"/>
  <c r="K85" i="1"/>
  <c r="K93" i="1"/>
  <c r="K95" i="1"/>
  <c r="M95" i="1" s="1"/>
  <c r="K97" i="1"/>
  <c r="K101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L2" i="1"/>
  <c r="L5" i="1"/>
  <c r="L7" i="1"/>
  <c r="L9" i="1"/>
  <c r="L11" i="1"/>
  <c r="L13" i="1"/>
  <c r="L15" i="1"/>
  <c r="L16" i="1"/>
  <c r="L17" i="1"/>
  <c r="L19" i="1"/>
  <c r="L21" i="1"/>
  <c r="L23" i="1"/>
  <c r="L24" i="1"/>
  <c r="L27" i="1"/>
  <c r="L29" i="1"/>
  <c r="L31" i="1"/>
  <c r="L32" i="1"/>
  <c r="L33" i="1"/>
  <c r="L35" i="1"/>
  <c r="L39" i="1"/>
  <c r="L40" i="1"/>
  <c r="L45" i="1"/>
  <c r="L49" i="1"/>
  <c r="L53" i="1"/>
  <c r="L54" i="1"/>
  <c r="L55" i="1"/>
  <c r="L56" i="1"/>
  <c r="L57" i="1"/>
  <c r="L58" i="1"/>
  <c r="L60" i="1"/>
  <c r="L61" i="1"/>
  <c r="L62" i="1"/>
  <c r="L63" i="1"/>
  <c r="L65" i="1"/>
  <c r="L66" i="1"/>
  <c r="L67" i="1"/>
  <c r="L69" i="1"/>
  <c r="L71" i="1"/>
  <c r="L73" i="1"/>
  <c r="L74" i="1"/>
  <c r="L75" i="1"/>
  <c r="L79" i="1"/>
  <c r="L81" i="1"/>
  <c r="L85" i="1"/>
  <c r="L86" i="1"/>
  <c r="L87" i="1"/>
  <c r="L89" i="1"/>
  <c r="L91" i="1"/>
  <c r="L93" i="1"/>
  <c r="L95" i="1"/>
  <c r="L97" i="1"/>
  <c r="L98" i="1"/>
  <c r="L101" i="1"/>
  <c r="L102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K89" i="1" l="1"/>
  <c r="K88" i="1"/>
  <c r="M88" i="1" s="1"/>
  <c r="K80" i="1"/>
  <c r="M80" i="1" s="1"/>
  <c r="K70" i="1"/>
  <c r="K46" i="1"/>
  <c r="M46" i="1" s="1"/>
  <c r="K6" i="1"/>
  <c r="M6" i="1" s="1"/>
  <c r="K37" i="1"/>
  <c r="K52" i="1"/>
  <c r="M52" i="1" s="1"/>
  <c r="K43" i="1"/>
  <c r="M43" i="1" s="1"/>
  <c r="K19" i="1"/>
  <c r="K2" i="1"/>
  <c r="M2" i="1" s="1"/>
  <c r="F20" i="3"/>
  <c r="D22" i="3"/>
  <c r="G20" i="3"/>
  <c r="E22" i="3"/>
  <c r="C21" i="3"/>
  <c r="F22" i="3"/>
  <c r="D21" i="3"/>
  <c r="G22" i="3"/>
  <c r="D19" i="3"/>
  <c r="E21" i="3"/>
  <c r="E19" i="3"/>
  <c r="E20" i="3"/>
  <c r="C20" i="3"/>
  <c r="F21" i="3"/>
  <c r="F19" i="3"/>
  <c r="G19" i="3"/>
  <c r="D20" i="3"/>
  <c r="G21" i="3"/>
  <c r="C22" i="3"/>
  <c r="K94" i="1"/>
  <c r="L37" i="1"/>
  <c r="N37" i="1" s="1"/>
  <c r="L92" i="1"/>
  <c r="L78" i="1"/>
  <c r="N78" i="1" s="1"/>
  <c r="K103" i="1"/>
  <c r="N103" i="1" s="1"/>
  <c r="K17" i="1"/>
  <c r="M17" i="1" s="1"/>
  <c r="K20" i="1"/>
  <c r="M20" i="1" s="1"/>
  <c r="K12" i="1"/>
  <c r="M12" i="1" s="1"/>
  <c r="K35" i="1"/>
  <c r="M35" i="1" s="1"/>
  <c r="K48" i="1"/>
  <c r="N48" i="1" s="1"/>
  <c r="K47" i="1"/>
  <c r="M47" i="1" s="1"/>
  <c r="L10" i="1"/>
  <c r="L82" i="1"/>
  <c r="N82" i="1" s="1"/>
  <c r="L59" i="1"/>
  <c r="N59" i="1" s="1"/>
  <c r="L48" i="1"/>
  <c r="L3" i="1"/>
  <c r="K72" i="1"/>
  <c r="N72" i="1" s="1"/>
  <c r="K30" i="1"/>
  <c r="M30" i="1" s="1"/>
  <c r="K10" i="1"/>
  <c r="M10" i="1" s="1"/>
  <c r="K83" i="1"/>
  <c r="N83" i="1" s="1"/>
  <c r="L8" i="1"/>
  <c r="N8" i="1" s="1"/>
  <c r="K84" i="1"/>
  <c r="M84" i="1" s="1"/>
  <c r="N89" i="1"/>
  <c r="N79" i="1"/>
  <c r="K34" i="1"/>
  <c r="M34" i="1" s="1"/>
  <c r="N98" i="1"/>
  <c r="N85" i="1"/>
  <c r="N93" i="1"/>
  <c r="K38" i="1"/>
  <c r="M38" i="1" s="1"/>
  <c r="N101" i="1"/>
  <c r="N97" i="1"/>
  <c r="N102" i="1"/>
  <c r="M102" i="1"/>
  <c r="M101" i="1"/>
  <c r="K100" i="1"/>
  <c r="M103" i="1"/>
  <c r="K99" i="1"/>
  <c r="K96" i="1"/>
  <c r="N95" i="1"/>
  <c r="M97" i="1"/>
  <c r="M98" i="1"/>
  <c r="N92" i="1"/>
  <c r="M92" i="1"/>
  <c r="M90" i="1"/>
  <c r="L90" i="1"/>
  <c r="N90" i="1" s="1"/>
  <c r="N94" i="1"/>
  <c r="M94" i="1"/>
  <c r="M93" i="1"/>
  <c r="N91" i="1"/>
  <c r="M89" i="1"/>
  <c r="N86" i="1"/>
  <c r="N81" i="1"/>
  <c r="N87" i="1"/>
  <c r="M87" i="1"/>
  <c r="M86" i="1"/>
  <c r="M85" i="1"/>
  <c r="M82" i="1"/>
  <c r="M81" i="1"/>
  <c r="M79" i="1"/>
  <c r="M78" i="1"/>
  <c r="L76" i="1"/>
  <c r="N76" i="1" s="1"/>
  <c r="L68" i="1"/>
  <c r="N68" i="1" s="1"/>
  <c r="L22" i="1"/>
  <c r="N22" i="1" s="1"/>
  <c r="L14" i="1"/>
  <c r="N14" i="1" s="1"/>
  <c r="L36" i="1"/>
  <c r="N36" i="1" s="1"/>
  <c r="L28" i="1"/>
  <c r="N28" i="1" s="1"/>
  <c r="L20" i="1"/>
  <c r="N20" i="1" s="1"/>
  <c r="L12" i="1"/>
  <c r="L26" i="1"/>
  <c r="N26" i="1" s="1"/>
  <c r="L18" i="1"/>
  <c r="N65" i="1"/>
  <c r="N62" i="1"/>
  <c r="N60" i="1"/>
  <c r="N53" i="1"/>
  <c r="N50" i="1"/>
  <c r="N58" i="1"/>
  <c r="N49" i="1"/>
  <c r="N45" i="1"/>
  <c r="N74" i="1"/>
  <c r="M74" i="1"/>
  <c r="N75" i="1"/>
  <c r="N73" i="1"/>
  <c r="N71" i="1"/>
  <c r="M71" i="1"/>
  <c r="N70" i="1"/>
  <c r="M70" i="1"/>
  <c r="M68" i="1"/>
  <c r="N66" i="1"/>
  <c r="M66" i="1"/>
  <c r="N67" i="1"/>
  <c r="M67" i="1"/>
  <c r="N69" i="1"/>
  <c r="M65" i="1"/>
  <c r="M64" i="1"/>
  <c r="M62" i="1"/>
  <c r="L64" i="1"/>
  <c r="N64" i="1" s="1"/>
  <c r="N63" i="1"/>
  <c r="N61" i="1"/>
  <c r="M60" i="1"/>
  <c r="M59" i="1"/>
  <c r="N57" i="1"/>
  <c r="N56" i="1"/>
  <c r="N55" i="1"/>
  <c r="N54" i="1"/>
  <c r="M55" i="1"/>
  <c r="M54" i="1"/>
  <c r="M57" i="1"/>
  <c r="M56" i="1"/>
  <c r="M53" i="1"/>
  <c r="L51" i="1"/>
  <c r="N51" i="1" s="1"/>
  <c r="M51" i="1"/>
  <c r="M50" i="1"/>
  <c r="M49" i="1"/>
  <c r="L47" i="1"/>
  <c r="M45" i="1"/>
  <c r="K44" i="1"/>
  <c r="K4" i="1"/>
  <c r="M4" i="1" s="1"/>
  <c r="N19" i="1"/>
  <c r="L42" i="1"/>
  <c r="N42" i="1" s="1"/>
  <c r="M42" i="1"/>
  <c r="K41" i="1"/>
  <c r="N41" i="1" s="1"/>
  <c r="N40" i="1"/>
  <c r="M40" i="1"/>
  <c r="N33" i="1"/>
  <c r="N39" i="1"/>
  <c r="M37" i="1"/>
  <c r="N35" i="1"/>
  <c r="M33" i="1"/>
  <c r="N31" i="1"/>
  <c r="N29" i="1"/>
  <c r="M29" i="1"/>
  <c r="N32" i="1"/>
  <c r="M28" i="1"/>
  <c r="N27" i="1"/>
  <c r="N25" i="1"/>
  <c r="N23" i="1"/>
  <c r="N24" i="1"/>
  <c r="M22" i="1"/>
  <c r="N21" i="1"/>
  <c r="M19" i="1"/>
  <c r="N17" i="1"/>
  <c r="N15" i="1"/>
  <c r="N18" i="1"/>
  <c r="N16" i="1"/>
  <c r="N13" i="1"/>
  <c r="N11" i="1"/>
  <c r="N9" i="1"/>
  <c r="N12" i="1"/>
  <c r="N7" i="1"/>
  <c r="N5" i="1"/>
  <c r="N3" i="1"/>
  <c r="N2" i="1"/>
  <c r="M72" i="1" l="1"/>
  <c r="N30" i="1"/>
  <c r="M48" i="1"/>
  <c r="N47" i="1"/>
  <c r="M83" i="1"/>
  <c r="N10" i="1"/>
  <c r="N38" i="1"/>
  <c r="N84" i="1"/>
  <c r="N34" i="1"/>
  <c r="N100" i="1"/>
  <c r="M100" i="1"/>
  <c r="N99" i="1"/>
  <c r="M99" i="1"/>
  <c r="N96" i="1"/>
  <c r="M96" i="1"/>
  <c r="N4" i="1"/>
  <c r="N44" i="1"/>
  <c r="M44" i="1"/>
  <c r="M41" i="1"/>
  <c r="D6" i="3" l="1"/>
  <c r="C6" i="3"/>
  <c r="G6" i="3"/>
  <c r="F6" i="3"/>
  <c r="E6" i="3"/>
  <c r="L88" i="1"/>
  <c r="L80" i="1"/>
  <c r="E43" i="2"/>
  <c r="F46" i="2"/>
  <c r="D43" i="2"/>
  <c r="E46" i="2"/>
  <c r="C43" i="2"/>
  <c r="G43" i="2"/>
  <c r="D46" i="2"/>
  <c r="F43" i="2"/>
  <c r="C46" i="2"/>
  <c r="G46" i="2"/>
  <c r="L46" i="1"/>
  <c r="L52" i="1"/>
  <c r="L77" i="1"/>
  <c r="L70" i="1"/>
  <c r="L43" i="1"/>
  <c r="E6" i="2"/>
  <c r="F6" i="2"/>
  <c r="G6" i="2"/>
  <c r="C6" i="2"/>
  <c r="D6" i="2"/>
  <c r="L6" i="1"/>
  <c r="C5" i="3" l="1"/>
  <c r="F18" i="3"/>
  <c r="G68" i="2"/>
  <c r="F11" i="3"/>
  <c r="E71" i="2"/>
  <c r="E10" i="3"/>
  <c r="D65" i="2"/>
  <c r="D9" i="3"/>
  <c r="G15" i="3"/>
  <c r="F72" i="2"/>
  <c r="E12" i="3"/>
  <c r="E66" i="2"/>
  <c r="C18" i="3"/>
  <c r="G9" i="3"/>
  <c r="G65" i="2"/>
  <c r="E14" i="3"/>
  <c r="E68" i="2"/>
  <c r="D5" i="3"/>
  <c r="C13" i="3"/>
  <c r="G4" i="3"/>
  <c r="F70" i="2"/>
  <c r="E18" i="3"/>
  <c r="D73" i="2"/>
  <c r="D17" i="3"/>
  <c r="C67" i="2"/>
  <c r="G71" i="2"/>
  <c r="E74" i="2"/>
  <c r="D3" i="3"/>
  <c r="G17" i="3"/>
  <c r="G73" i="2"/>
  <c r="F8" i="3"/>
  <c r="F67" i="2"/>
  <c r="D13" i="3"/>
  <c r="C71" i="2"/>
  <c r="G12" i="3"/>
  <c r="C14" i="3"/>
  <c r="G5" i="3"/>
  <c r="G69" i="2"/>
  <c r="F4" i="3"/>
  <c r="E64" i="2"/>
  <c r="E3" i="3"/>
  <c r="C75" i="2"/>
  <c r="C9" i="3"/>
  <c r="F14" i="3"/>
  <c r="F65" i="2"/>
  <c r="D11" i="3"/>
  <c r="C69" i="2"/>
  <c r="C3" i="3"/>
  <c r="F16" i="3"/>
  <c r="F75" i="2"/>
  <c r="E7" i="3"/>
  <c r="D70" i="2"/>
  <c r="D14" i="3"/>
  <c r="C64" i="2"/>
  <c r="D7" i="3"/>
  <c r="G13" i="3"/>
  <c r="C7" i="3"/>
  <c r="F12" i="3"/>
  <c r="E72" i="2"/>
  <c r="E11" i="3"/>
  <c r="D66" i="2"/>
  <c r="C17" i="3"/>
  <c r="G8" i="3"/>
  <c r="F73" i="2"/>
  <c r="D68" i="2"/>
  <c r="C11" i="3"/>
  <c r="G2" i="3"/>
  <c r="G66" i="2"/>
  <c r="E15" i="3"/>
  <c r="E69" i="2"/>
  <c r="E8" i="3"/>
  <c r="C72" i="2"/>
  <c r="D15" i="3"/>
  <c r="C65" i="2"/>
  <c r="C15" i="3"/>
  <c r="F71" i="2"/>
  <c r="D74" i="2"/>
  <c r="D2" i="3"/>
  <c r="G16" i="3"/>
  <c r="G64" i="2"/>
  <c r="E5" i="3"/>
  <c r="E67" i="2"/>
  <c r="C19" i="3"/>
  <c r="G10" i="3"/>
  <c r="G74" i="2"/>
  <c r="F9" i="3"/>
  <c r="F68" i="2"/>
  <c r="E16" i="3"/>
  <c r="D71" i="2"/>
  <c r="E9" i="3"/>
  <c r="C73" i="2"/>
  <c r="D8" i="3"/>
  <c r="G14" i="3"/>
  <c r="G70" i="2"/>
  <c r="F5" i="3"/>
  <c r="E65" i="2"/>
  <c r="D10" i="3"/>
  <c r="C68" i="2"/>
  <c r="G72" i="2"/>
  <c r="E13" i="3"/>
  <c r="E75" i="2"/>
  <c r="D4" i="3"/>
  <c r="G18" i="3"/>
  <c r="C4" i="3"/>
  <c r="F17" i="3"/>
  <c r="G67" i="2"/>
  <c r="F2" i="3"/>
  <c r="E70" i="2"/>
  <c r="E17" i="3"/>
  <c r="D64" i="2"/>
  <c r="D16" i="3"/>
  <c r="C66" i="2"/>
  <c r="C8" i="3"/>
  <c r="F13" i="3"/>
  <c r="E73" i="2"/>
  <c r="D18" i="3"/>
  <c r="D67" i="2"/>
  <c r="C2" i="3"/>
  <c r="F7" i="3"/>
  <c r="F66" i="2"/>
  <c r="D12" i="3"/>
  <c r="C70" i="2"/>
  <c r="C12" i="3"/>
  <c r="G3" i="3"/>
  <c r="G75" i="2"/>
  <c r="F10" i="3"/>
  <c r="F69" i="2"/>
  <c r="F3" i="3"/>
  <c r="D72" i="2"/>
  <c r="E2" i="3"/>
  <c r="C74" i="2"/>
  <c r="C16" i="3"/>
  <c r="G7" i="3"/>
  <c r="F64" i="2"/>
  <c r="E4" i="3"/>
  <c r="D75" i="2"/>
  <c r="C10" i="3"/>
  <c r="F15" i="3"/>
  <c r="F74" i="2"/>
  <c r="D69" i="2"/>
  <c r="G11" i="3"/>
  <c r="E51" i="2"/>
  <c r="C48" i="2"/>
  <c r="F54" i="2"/>
  <c r="D59" i="2"/>
  <c r="G57" i="2"/>
  <c r="E62" i="2"/>
  <c r="D45" i="2"/>
  <c r="D62" i="2"/>
  <c r="C45" i="2"/>
  <c r="C62" i="2"/>
  <c r="E59" i="2"/>
  <c r="C56" i="2"/>
  <c r="F62" i="2"/>
  <c r="E45" i="2"/>
  <c r="C50" i="2"/>
  <c r="F48" i="2"/>
  <c r="D53" i="2"/>
  <c r="G51" i="2"/>
  <c r="E48" i="2"/>
  <c r="C53" i="2"/>
  <c r="F51" i="2"/>
  <c r="D48" i="2"/>
  <c r="G54" i="2"/>
  <c r="C47" i="2"/>
  <c r="F45" i="2"/>
  <c r="D50" i="2"/>
  <c r="G48" i="2"/>
  <c r="E53" i="2"/>
  <c r="C58" i="2"/>
  <c r="F56" i="2"/>
  <c r="D61" i="2"/>
  <c r="G59" i="2"/>
  <c r="E56" i="2"/>
  <c r="C61" i="2"/>
  <c r="F59" i="2"/>
  <c r="D56" i="2"/>
  <c r="G62" i="2"/>
  <c r="C55" i="2"/>
  <c r="F53" i="2"/>
  <c r="D58" i="2"/>
  <c r="G56" i="2"/>
  <c r="E61" i="2"/>
  <c r="D44" i="2"/>
  <c r="G50" i="2"/>
  <c r="E47" i="2"/>
  <c r="C44" i="2"/>
  <c r="F50" i="2"/>
  <c r="D47" i="2"/>
  <c r="G45" i="2"/>
  <c r="E50" i="2"/>
  <c r="C63" i="2"/>
  <c r="F61" i="2"/>
  <c r="E44" i="2"/>
  <c r="C49" i="2"/>
  <c r="F47" i="2"/>
  <c r="D52" i="2"/>
  <c r="G58" i="2"/>
  <c r="E55" i="2"/>
  <c r="C52" i="2"/>
  <c r="F58" i="2"/>
  <c r="D55" i="2"/>
  <c r="G53" i="2"/>
  <c r="E58" i="2"/>
  <c r="D49" i="2"/>
  <c r="G47" i="2"/>
  <c r="E52" i="2"/>
  <c r="C57" i="2"/>
  <c r="F55" i="2"/>
  <c r="D60" i="2"/>
  <c r="E63" i="2"/>
  <c r="C60" i="2"/>
  <c r="G44" i="2"/>
  <c r="D63" i="2"/>
  <c r="G61" i="2"/>
  <c r="F44" i="2"/>
  <c r="D57" i="2"/>
  <c r="G55" i="2"/>
  <c r="E60" i="2"/>
  <c r="F63" i="2"/>
  <c r="C51" i="2"/>
  <c r="F49" i="2"/>
  <c r="G52" i="2"/>
  <c r="E49" i="2"/>
  <c r="F52" i="2"/>
  <c r="G63" i="2"/>
  <c r="D51" i="2"/>
  <c r="G49" i="2"/>
  <c r="E54" i="2"/>
  <c r="C59" i="2"/>
  <c r="F57" i="2"/>
  <c r="D54" i="2"/>
  <c r="G60" i="2"/>
  <c r="E57" i="2"/>
  <c r="C54" i="2"/>
  <c r="F60" i="2"/>
  <c r="D7" i="2"/>
  <c r="E22" i="2"/>
  <c r="F37" i="2"/>
  <c r="D8" i="2"/>
  <c r="E23" i="2"/>
  <c r="F38" i="2"/>
  <c r="C2" i="2"/>
  <c r="D9" i="2"/>
  <c r="E16" i="2"/>
  <c r="F31" i="2"/>
  <c r="D10" i="2"/>
  <c r="E17" i="2"/>
  <c r="F24" i="2"/>
  <c r="G39" i="2"/>
  <c r="D3" i="2"/>
  <c r="E18" i="2"/>
  <c r="F25" i="2"/>
  <c r="G32" i="2"/>
  <c r="E11" i="2"/>
  <c r="F26" i="2"/>
  <c r="G33" i="2"/>
  <c r="E12" i="2"/>
  <c r="F27" i="2"/>
  <c r="G42" i="2"/>
  <c r="E21" i="2"/>
  <c r="F36" i="2"/>
  <c r="D15" i="2"/>
  <c r="E30" i="2"/>
  <c r="C9" i="2"/>
  <c r="D16" i="2"/>
  <c r="E31" i="2"/>
  <c r="C10" i="2"/>
  <c r="D17" i="2"/>
  <c r="E24" i="2"/>
  <c r="F39" i="2"/>
  <c r="C3" i="2"/>
  <c r="D18" i="2"/>
  <c r="E25" i="2"/>
  <c r="F32" i="2"/>
  <c r="D11" i="2"/>
  <c r="E26" i="2"/>
  <c r="F33" i="2"/>
  <c r="G40" i="2"/>
  <c r="D4" i="2"/>
  <c r="E19" i="2"/>
  <c r="F34" i="2"/>
  <c r="G41" i="2"/>
  <c r="D5" i="2"/>
  <c r="E20" i="2"/>
  <c r="F35" i="2"/>
  <c r="D14" i="2"/>
  <c r="E29" i="2"/>
  <c r="C8" i="2"/>
  <c r="D23" i="2"/>
  <c r="E38" i="2"/>
  <c r="G4" i="2"/>
  <c r="C17" i="2"/>
  <c r="D24" i="2"/>
  <c r="E39" i="2"/>
  <c r="G5" i="2"/>
  <c r="C18" i="2"/>
  <c r="D25" i="2"/>
  <c r="E32" i="2"/>
  <c r="C11" i="2"/>
  <c r="D26" i="2"/>
  <c r="E33" i="2"/>
  <c r="F40" i="2"/>
  <c r="C4" i="2"/>
  <c r="D19" i="2"/>
  <c r="E34" i="2"/>
  <c r="F41" i="2"/>
  <c r="D12" i="2"/>
  <c r="E27" i="2"/>
  <c r="F42" i="2"/>
  <c r="D13" i="2"/>
  <c r="E28" i="2"/>
  <c r="C7" i="2"/>
  <c r="D22" i="2"/>
  <c r="E37" i="2"/>
  <c r="G3" i="2"/>
  <c r="C16" i="2"/>
  <c r="D31" i="2"/>
  <c r="G12" i="2"/>
  <c r="C25" i="2"/>
  <c r="D32" i="2"/>
  <c r="G13" i="2"/>
  <c r="C26" i="2"/>
  <c r="D33" i="2"/>
  <c r="E40" i="2"/>
  <c r="C19" i="2"/>
  <c r="D34" i="2"/>
  <c r="E41" i="2"/>
  <c r="C12" i="2"/>
  <c r="D27" i="2"/>
  <c r="E42" i="2"/>
  <c r="C5" i="2"/>
  <c r="D20" i="2"/>
  <c r="E35" i="2"/>
  <c r="D21" i="2"/>
  <c r="E36" i="2"/>
  <c r="G2" i="2"/>
  <c r="C15" i="2"/>
  <c r="D30" i="2"/>
  <c r="G11" i="2"/>
  <c r="C24" i="2"/>
  <c r="D39" i="2"/>
  <c r="F5" i="2"/>
  <c r="G20" i="2"/>
  <c r="C33" i="2"/>
  <c r="D40" i="2"/>
  <c r="G21" i="2"/>
  <c r="C34" i="2"/>
  <c r="D41" i="2"/>
  <c r="G14" i="2"/>
  <c r="C27" i="2"/>
  <c r="D42" i="2"/>
  <c r="G7" i="2"/>
  <c r="C20" i="2"/>
  <c r="D35" i="2"/>
  <c r="C13" i="2"/>
  <c r="D28" i="2"/>
  <c r="C14" i="2"/>
  <c r="D29" i="2"/>
  <c r="G10" i="2"/>
  <c r="C23" i="2"/>
  <c r="D38" i="2"/>
  <c r="F4" i="2"/>
  <c r="G19" i="2"/>
  <c r="C32" i="2"/>
  <c r="F13" i="2"/>
  <c r="G28" i="2"/>
  <c r="C41" i="2"/>
  <c r="F14" i="2"/>
  <c r="G29" i="2"/>
  <c r="C42" i="2"/>
  <c r="F7" i="2"/>
  <c r="G22" i="2"/>
  <c r="C35" i="2"/>
  <c r="G15" i="2"/>
  <c r="C28" i="2"/>
  <c r="G8" i="2"/>
  <c r="C21" i="2"/>
  <c r="D36" i="2"/>
  <c r="F2" i="2"/>
  <c r="G9" i="2"/>
  <c r="C22" i="2"/>
  <c r="D37" i="2"/>
  <c r="F3" i="2"/>
  <c r="G18" i="2"/>
  <c r="C31" i="2"/>
  <c r="F12" i="2"/>
  <c r="G27" i="2"/>
  <c r="C40" i="2"/>
  <c r="F21" i="2"/>
  <c r="G36" i="2"/>
  <c r="E7" i="2"/>
  <c r="F22" i="2"/>
  <c r="G37" i="2"/>
  <c r="F15" i="2"/>
  <c r="G30" i="2"/>
  <c r="F8" i="2"/>
  <c r="G23" i="2"/>
  <c r="C36" i="2"/>
  <c r="E2" i="2"/>
  <c r="F9" i="2"/>
  <c r="G16" i="2"/>
  <c r="C29" i="2"/>
  <c r="F10" i="2"/>
  <c r="G17" i="2"/>
  <c r="C30" i="2"/>
  <c r="F11" i="2"/>
  <c r="G26" i="2"/>
  <c r="C39" i="2"/>
  <c r="E5" i="2"/>
  <c r="F20" i="2"/>
  <c r="G35" i="2"/>
  <c r="E14" i="2"/>
  <c r="F29" i="2"/>
  <c r="E15" i="2"/>
  <c r="F30" i="2"/>
  <c r="E8" i="2"/>
  <c r="F23" i="2"/>
  <c r="G38" i="2"/>
  <c r="D2" i="2"/>
  <c r="E9" i="2"/>
  <c r="F16" i="2"/>
  <c r="G31" i="2"/>
  <c r="E10" i="2"/>
  <c r="F17" i="2"/>
  <c r="G24" i="2"/>
  <c r="C37" i="2"/>
  <c r="E3" i="2"/>
  <c r="F18" i="2"/>
  <c r="G25" i="2"/>
  <c r="C38" i="2"/>
  <c r="E4" i="2"/>
  <c r="F19" i="2"/>
  <c r="G34" i="2"/>
  <c r="E13" i="2"/>
  <c r="F28" i="2"/>
</calcChain>
</file>

<file path=xl/sharedStrings.xml><?xml version="1.0" encoding="utf-8"?>
<sst xmlns="http://schemas.openxmlformats.org/spreadsheetml/2006/main" count="737" uniqueCount="193">
  <si>
    <t>Efluente Líquido</t>
  </si>
  <si>
    <t>vc1</t>
  </si>
  <si>
    <t>p50</t>
  </si>
  <si>
    <t>pu</t>
  </si>
  <si>
    <t>pn</t>
  </si>
  <si>
    <t>noh</t>
  </si>
  <si>
    <t>his</t>
  </si>
  <si>
    <t>p12</t>
  </si>
  <si>
    <t>ho3</t>
  </si>
  <si>
    <t>bac</t>
  </si>
  <si>
    <t>Agua de Consumo</t>
  </si>
  <si>
    <t>vn1</t>
  </si>
  <si>
    <t>2053-20</t>
  </si>
  <si>
    <t>n°CC</t>
  </si>
  <si>
    <t>OT</t>
  </si>
  <si>
    <t>Cliente</t>
  </si>
  <si>
    <t>Mes</t>
  </si>
  <si>
    <t>Matriz</t>
  </si>
  <si>
    <t>Pres</t>
  </si>
  <si>
    <t>Código de barras</t>
  </si>
  <si>
    <t>n°</t>
  </si>
  <si>
    <t>Observaciones</t>
  </si>
  <si>
    <t>Cantidad</t>
  </si>
  <si>
    <t>Cadena</t>
  </si>
  <si>
    <t>Egreso</t>
  </si>
  <si>
    <t>Ingreso</t>
  </si>
  <si>
    <t>Prep?</t>
  </si>
  <si>
    <t>Aprob?</t>
  </si>
  <si>
    <t>SBA</t>
  </si>
  <si>
    <t>Código</t>
  </si>
  <si>
    <t>Significado</t>
  </si>
  <si>
    <t>Vidrio 1lt s/preservante</t>
  </si>
  <si>
    <t>Vidrio 1lt c/H2SO4</t>
  </si>
  <si>
    <t>s50</t>
  </si>
  <si>
    <t>Vidrio 50ml s/preservante</t>
  </si>
  <si>
    <t>Plastico usado</t>
  </si>
  <si>
    <t>Vidrio 50ml c/Sulfúrico</t>
  </si>
  <si>
    <t>Plástico nueva</t>
  </si>
  <si>
    <t>Hisopos</t>
  </si>
  <si>
    <t>NaOh</t>
  </si>
  <si>
    <t>mps</t>
  </si>
  <si>
    <t>Frasco de MPS</t>
  </si>
  <si>
    <t>HNO3</t>
  </si>
  <si>
    <t>Microbiológico</t>
  </si>
  <si>
    <t>Plástico nueva 1/2</t>
  </si>
  <si>
    <t>Control</t>
  </si>
  <si>
    <t>Ok</t>
  </si>
  <si>
    <t>Error</t>
  </si>
  <si>
    <t>vacio</t>
  </si>
  <si>
    <t>Corregido</t>
  </si>
  <si>
    <t>Pozo Freático</t>
  </si>
  <si>
    <t>VACIO</t>
  </si>
  <si>
    <t>Vidrio 1/4lt c/H2SO4</t>
  </si>
  <si>
    <t>pla</t>
  </si>
  <si>
    <t>Placas microbilogia</t>
  </si>
  <si>
    <t>rem</t>
  </si>
  <si>
    <t>Remitida</t>
  </si>
  <si>
    <t>CTMyMC</t>
  </si>
  <si>
    <t>v14</t>
  </si>
  <si>
    <t>6002-21</t>
  </si>
  <si>
    <t>3036-21</t>
  </si>
  <si>
    <t>CTMA</t>
  </si>
  <si>
    <t>BOMBA</t>
  </si>
  <si>
    <t>7025-21</t>
  </si>
  <si>
    <t>5001-21</t>
  </si>
  <si>
    <t>voc</t>
  </si>
  <si>
    <t>met</t>
  </si>
  <si>
    <t>ami</t>
  </si>
  <si>
    <t>mpr</t>
  </si>
  <si>
    <t>Metales</t>
  </si>
  <si>
    <t>Aminas</t>
  </si>
  <si>
    <t>Material P. Total</t>
  </si>
  <si>
    <t>Material P. Respirable</t>
  </si>
  <si>
    <t>Organicos</t>
  </si>
  <si>
    <t>nox</t>
  </si>
  <si>
    <t>so2</t>
  </si>
  <si>
    <t>hcl</t>
  </si>
  <si>
    <t>h2s</t>
  </si>
  <si>
    <t>sul</t>
  </si>
  <si>
    <t>nh3</t>
  </si>
  <si>
    <t>D. Nitrogeno</t>
  </si>
  <si>
    <t>Amoniaco</t>
  </si>
  <si>
    <t>Acido Cloridrico</t>
  </si>
  <si>
    <t>Acido Sulfurico</t>
  </si>
  <si>
    <t>D. Azufre</t>
  </si>
  <si>
    <t>Acido Sulfhidrico</t>
  </si>
  <si>
    <t>mer</t>
  </si>
  <si>
    <t>Mercaptano</t>
  </si>
  <si>
    <t>3023-21</t>
  </si>
  <si>
    <t>RECURSO HIDR. SUBTERRANEO</t>
  </si>
  <si>
    <t>BOMBA 3</t>
  </si>
  <si>
    <t>PF1</t>
  </si>
  <si>
    <t>PF2</t>
  </si>
  <si>
    <t>PF3</t>
  </si>
  <si>
    <t>Conducto de Emisión Gaseosa</t>
  </si>
  <si>
    <t>Niebla alcalina</t>
  </si>
  <si>
    <t>Acido cianhidrico</t>
  </si>
  <si>
    <t>hcn</t>
  </si>
  <si>
    <t>nal</t>
  </si>
  <si>
    <t>mpT</t>
  </si>
  <si>
    <t>Fen</t>
  </si>
  <si>
    <t>fenol/ cresoles</t>
  </si>
  <si>
    <t>HCL</t>
  </si>
  <si>
    <t>asb</t>
  </si>
  <si>
    <t>Asbesto (aire)</t>
  </si>
  <si>
    <t>suelos-barro-asbesto (sólido)</t>
  </si>
  <si>
    <t>2114-21</t>
  </si>
  <si>
    <t>CISTERNA CONESA</t>
  </si>
  <si>
    <t>CISTERNA HUIDOBRO</t>
  </si>
  <si>
    <t>CISTERNA CRAMER</t>
  </si>
  <si>
    <t>para pH</t>
  </si>
  <si>
    <t>2106300001pn</t>
  </si>
  <si>
    <t>2106300002bac</t>
  </si>
  <si>
    <t>2106300001p50</t>
  </si>
  <si>
    <t>2106300001ho3</t>
  </si>
  <si>
    <t>2106300014pn</t>
  </si>
  <si>
    <t>2106300014p50</t>
  </si>
  <si>
    <t>2106300014vn1</t>
  </si>
  <si>
    <t>2106300013p50</t>
  </si>
  <si>
    <t>2106300012pn</t>
  </si>
  <si>
    <t>2106300012p50</t>
  </si>
  <si>
    <t>2106300012vn1</t>
  </si>
  <si>
    <t>2106300013vn1</t>
  </si>
  <si>
    <t>2106300013pn</t>
  </si>
  <si>
    <t>2106300014vc1</t>
  </si>
  <si>
    <t>2106300014pu</t>
  </si>
  <si>
    <t>2106300014v14</t>
  </si>
  <si>
    <t>2106300003vn1</t>
  </si>
  <si>
    <t>2106300003vc1</t>
  </si>
  <si>
    <t>2106300004vn1</t>
  </si>
  <si>
    <t>2106300004p12</t>
  </si>
  <si>
    <t>2106300005vn1</t>
  </si>
  <si>
    <t>2106300005p12</t>
  </si>
  <si>
    <t>2106300003ho3</t>
  </si>
  <si>
    <t>2106300003p12</t>
  </si>
  <si>
    <t>2106300004vc1</t>
  </si>
  <si>
    <t>2106300004ho3</t>
  </si>
  <si>
    <t>2106300005vc1</t>
  </si>
  <si>
    <t>2106300005ho3</t>
  </si>
  <si>
    <t>2106300006pn</t>
  </si>
  <si>
    <t>2106300009bac</t>
  </si>
  <si>
    <t>2106300007pn</t>
  </si>
  <si>
    <t>2106300010bac</t>
  </si>
  <si>
    <t>2106300008pn</t>
  </si>
  <si>
    <t>2106300011bac</t>
  </si>
  <si>
    <t>2106300006p50</t>
  </si>
  <si>
    <t>2106300006vn1</t>
  </si>
  <si>
    <t>2106300007p50</t>
  </si>
  <si>
    <t>2106300007vn1</t>
  </si>
  <si>
    <t>2106300008p50</t>
  </si>
  <si>
    <t>2106300008vn1</t>
  </si>
  <si>
    <t>PRENSA</t>
  </si>
  <si>
    <t>MAQ.CONTINUA</t>
  </si>
  <si>
    <t>CALDERA</t>
  </si>
  <si>
    <t>BOMBA VACIO 2</t>
  </si>
  <si>
    <t>BOMBA VACIO 1</t>
  </si>
  <si>
    <t>Vacio</t>
  </si>
  <si>
    <t>será 06/07 ?</t>
  </si>
  <si>
    <t>2107020002pn</t>
  </si>
  <si>
    <t>2107020001bac</t>
  </si>
  <si>
    <t>2107020003noh</t>
  </si>
  <si>
    <t>2107020003p50</t>
  </si>
  <si>
    <t>2107020003vn1</t>
  </si>
  <si>
    <t>2107020004ho3</t>
  </si>
  <si>
    <t>2107020004pn</t>
  </si>
  <si>
    <t>2107020005noh</t>
  </si>
  <si>
    <t>2107020005p50</t>
  </si>
  <si>
    <t>2107020005vn1</t>
  </si>
  <si>
    <t>2107020006p12</t>
  </si>
  <si>
    <t>2107020003ho3</t>
  </si>
  <si>
    <t>2107020003pn</t>
  </si>
  <si>
    <t>2107020004noh</t>
  </si>
  <si>
    <t>2107020004p50</t>
  </si>
  <si>
    <t>2107020004vn1</t>
  </si>
  <si>
    <t>2107020005ho3</t>
  </si>
  <si>
    <t>2107020005pn</t>
  </si>
  <si>
    <t>2107020006p50</t>
  </si>
  <si>
    <t>2106300013vn106300012210630001421063000142106300014vn1</t>
  </si>
  <si>
    <t>2106300012vn12106300014v12106300013p+P40730</t>
  </si>
  <si>
    <t>2106300012p+P407550</t>
  </si>
  <si>
    <t>Empresa1</t>
  </si>
  <si>
    <t>Empresa2</t>
  </si>
  <si>
    <t>Empresa3</t>
  </si>
  <si>
    <t>Empresa4</t>
  </si>
  <si>
    <t>Empresa5</t>
  </si>
  <si>
    <t>Empresa6</t>
  </si>
  <si>
    <t>Empresa7</t>
  </si>
  <si>
    <t>Empresa8</t>
  </si>
  <si>
    <t>Empresa9</t>
  </si>
  <si>
    <t>Empresa10</t>
  </si>
  <si>
    <t>CÁMARA DE ECUALIZACIÓN</t>
  </si>
  <si>
    <t>Detalle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</si>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</sst>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mmm\-yy;@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0" applyNumberFormat="0" applyFill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7" applyNumberFormat="0" applyAlignment="0" applyProtection="0"/>
    <xf numFmtId="0" fontId="15" fillId="7" borderId="8" applyNumberFormat="0" applyAlignment="0" applyProtection="0"/>
    <xf numFmtId="0" fontId="16" fillId="7" borderId="7" applyNumberFormat="0" applyAlignment="0" applyProtection="0"/>
    <xf numFmtId="0" fontId="17" fillId="0" borderId="9" applyNumberFormat="0" applyFill="0" applyAlignment="0" applyProtection="0"/>
    <xf numFmtId="0" fontId="6" fillId="8" borderId="10" applyNumberFormat="0" applyAlignment="0" applyProtection="0"/>
    <xf numFmtId="0" fontId="1" fillId="0" borderId="0" applyNumberFormat="0" applyFill="0" applyBorder="0" applyAlignment="0" applyProtection="0"/>
    <xf numFmtId="0" fontId="5" fillId="9" borderId="11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12" applyNumberFormat="0" applyFill="0" applyAlignment="0" applyProtection="0"/>
    <xf numFmtId="0" fontId="19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19" fillId="33" borderId="0" applyNumberFormat="0" applyBorder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left"/>
      <protection locked="0"/>
    </xf>
    <xf numFmtId="17" fontId="0" fillId="0" borderId="0" xfId="0" applyNumberFormat="1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wrapText="1"/>
      <protection locked="0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3" xfId="0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wrapText="1"/>
      <protection locked="0"/>
    </xf>
    <xf numFmtId="0" fontId="5" fillId="0" borderId="0" xfId="0" applyFont="1" applyFill="1" applyProtection="1">
      <protection locked="0"/>
    </xf>
    <xf numFmtId="0" fontId="0" fillId="0" borderId="0" xfId="0" applyProtection="1"/>
    <xf numFmtId="0" fontId="5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7" fontId="5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17" fontId="0" fillId="0" borderId="0" xfId="0" applyNumberFormat="1" applyFont="1" applyFill="1" applyAlignment="1" applyProtection="1">
      <alignment horizontal="left"/>
      <protection locked="0"/>
    </xf>
    <xf numFmtId="17" fontId="0" fillId="0" borderId="0" xfId="0" applyNumberFormat="1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17" fontId="0" fillId="0" borderId="0" xfId="0" applyNumberFormat="1" applyFill="1" applyAlignment="1" applyProtection="1">
      <alignment horizontal="center" vertical="center"/>
    </xf>
    <xf numFmtId="17" fontId="0" fillId="0" borderId="0" xfId="0" applyNumberFormat="1" applyFill="1" applyAlignment="1" applyProtection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2">
    <dxf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22" formatCode="mmm\-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164" formatCode="[$-C0A]mmm\-yy;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4" formatCode="[$-C0A]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rgb="FFFF000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ock" displayName="Stock" ref="A1:O200" totalsRowShown="0" headerRowDxfId="111" dataDxfId="110" tableBorderDxfId="109">
  <autoFilter ref="A1:O200" xr:uid="{00000000-0009-0000-0100-000001000000}"/>
  <tableColumns count="15">
    <tableColumn id="1" xr3:uid="{00000000-0010-0000-0000-000001000000}" name="n°CC" dataDxfId="6"/>
    <tableColumn id="2" xr3:uid="{00000000-0010-0000-0000-000002000000}" name="OT" dataDxfId="5"/>
    <tableColumn id="3" xr3:uid="{00000000-0010-0000-0000-000003000000}" name="Cliente" dataDxfId="4"/>
    <tableColumn id="4" xr3:uid="{00000000-0010-0000-0000-000004000000}" name="Mes" dataDxfId="3"/>
    <tableColumn id="5" xr3:uid="{00000000-0010-0000-0000-000005000000}" name="Detalle" dataDxfId="2"/>
    <tableColumn id="6" xr3:uid="{00000000-0010-0000-0000-000006000000}" name="Matriz" dataDxfId="108"/>
    <tableColumn id="7" xr3:uid="{00000000-0010-0000-0000-000007000000}" name="Pres" dataDxfId="107"/>
    <tableColumn id="8" xr3:uid="{00000000-0010-0000-0000-000008000000}" name="Código de barras" dataDxfId="106">
      <calculatedColumnFormula>TRIM(IF(Stock[n°CC]=0,"",Stock[n°CC]&amp;""&amp;Stock[Pres]))</calculatedColumnFormula>
    </tableColumn>
    <tableColumn id="9" xr3:uid="{00000000-0010-0000-0000-000009000000}" name="n°" dataDxfId="105"/>
    <tableColumn id="20" xr3:uid="{00000000-0010-0000-0000-000014000000}" name="Control" dataDxfId="104"/>
    <tableColumn id="10" xr3:uid="{00000000-0010-0000-0000-00000A000000}" name="Egreso" dataDxfId="103">
      <calculatedColumnFormula>IF(Stock[n°CC]=0,"",SUMIF(Egreso[Código de barras],Stock[Código de barras],Egreso[Cantidad]))</calculatedColumnFormula>
    </tableColumn>
    <tableColumn id="11" xr3:uid="{00000000-0010-0000-0000-00000B000000}" name="Ingreso" dataDxfId="102">
      <calculatedColumnFormula>IF(Stock[n°CC]=0,"",SUMIF(Ingreso[Código de barras],Stock[Código de barras],Ingreso[Cantidad]))</calculatedColumnFormula>
    </tableColumn>
    <tableColumn id="12" xr3:uid="{00000000-0010-0000-0000-00000C000000}" name="Prep?" dataDxfId="101">
      <calculatedColumnFormula>IF(Stock[n°CC]=0,"",IF(Stock[n°]=Stock[Egreso],"Si","No"))</calculatedColumnFormula>
    </tableColumn>
    <tableColumn id="13" xr3:uid="{00000000-0010-0000-0000-00000D000000}" name="Aprob?" dataDxfId="100">
      <calculatedColumnFormula>IF(OR(Stock[n°CC]=0,Stock[n°CC]="vacio"),"",IF(AND(Stock[n°]=Stock[Egreso],Stock[Egreso]=Stock[Ingreso]),"Si","No"))</calculatedColumnFormula>
    </tableColumn>
    <tableColumn id="16" xr3:uid="{00000000-0010-0000-0000-000010000000}" name="Observaciones" dataDxfId="9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greso" displayName="Egreso" ref="A1:G200" totalsRowShown="0" headerRowDxfId="98" dataDxfId="86">
  <autoFilter ref="A1:G200" xr:uid="{00000000-0009-0000-0100-000003000000}"/>
  <tableColumns count="7">
    <tableColumn id="1" xr3:uid="{00000000-0010-0000-0100-000001000000}" name="Código de barras" dataDxfId="92"/>
    <tableColumn id="2" xr3:uid="{00000000-0010-0000-0100-000002000000}" name="Cantidad" dataDxfId="91">
      <calculatedColumnFormula>IF(A2=0,"",1)</calculatedColumnFormula>
    </tableColumn>
    <tableColumn id="3" xr3:uid="{00000000-0010-0000-0100-000003000000}" name="Cadena" dataDxfId="90">
      <calculatedColumnFormula>IF(Egreso[Código de barras]=0,"",INDEX(Stock[n°CC],MATCH(Egreso[Código de barras],Stock[Código de barras],0)))</calculatedColumnFormula>
    </tableColumn>
    <tableColumn id="4" xr3:uid="{00000000-0010-0000-0100-000004000000}" name="Cliente" dataDxfId="89">
      <calculatedColumnFormula>IF(Egreso[Código de barras]=0,"",INDEX(Stock[Cliente],MATCH(Egreso[Código de barras],Stock[Código de barras],0)))</calculatedColumnFormula>
    </tableColumn>
    <tableColumn id="5" xr3:uid="{00000000-0010-0000-0100-000005000000}" name="Mes" dataDxfId="1">
      <calculatedColumnFormula>IF(Egreso[Código de barras]=0,"",INDEX(Stock[Mes],MATCH(Egreso[Código de barras],Stock[Código de barras],0)))</calculatedColumnFormula>
    </tableColumn>
    <tableColumn id="6" xr3:uid="{00000000-0010-0000-0100-000006000000}" name="Detalle" dataDxfId="88">
      <calculatedColumnFormula>IF(Egreso[Código de barras]=0,"",INDEX(Stock[Detalle],MATCH(Egreso[Código de barras],Stock[Código de barras],0)))</calculatedColumnFormula>
    </tableColumn>
    <tableColumn id="7" xr3:uid="{00000000-0010-0000-0100-000007000000}" name="Matriz" dataDxfId="87">
      <calculatedColumnFormula>IF(Egreso[Código de barras]=0,"",INDEX(Stock[Matriz],MATCH(Egreso[Código de barras],Stock[Código de barras],0)))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Ingreso" displayName="Ingreso" ref="A1:G200" totalsRowShown="0" headerRowDxfId="97" dataDxfId="79">
  <autoFilter ref="A1:G200" xr:uid="{00000000-0009-0000-0100-000002000000}"/>
  <tableColumns count="7">
    <tableColumn id="1" xr3:uid="{00000000-0010-0000-0200-000001000000}" name="Código de barras" dataDxfId="85"/>
    <tableColumn id="2" xr3:uid="{00000000-0010-0000-0200-000002000000}" name="Cantidad" dataDxfId="84">
      <calculatedColumnFormula>IF(A2=0,"",1)</calculatedColumnFormula>
    </tableColumn>
    <tableColumn id="3" xr3:uid="{00000000-0010-0000-0200-000003000000}" name="Cadena" dataDxfId="83">
      <calculatedColumnFormula>IF(Ingreso[Código de barras]=0,"",INDEX(Stock[n°CC],MATCH(Ingreso[Código de barras],Stock[Código de barras],0)))</calculatedColumnFormula>
    </tableColumn>
    <tableColumn id="4" xr3:uid="{00000000-0010-0000-0200-000004000000}" name="Cliente" dataDxfId="82">
      <calculatedColumnFormula>IF(Ingreso[Código de barras]=0,"",INDEX(Stock[Cliente],MATCH(Ingreso[Código de barras],Stock[Código de barras],0)))</calculatedColumnFormula>
    </tableColumn>
    <tableColumn id="5" xr3:uid="{00000000-0010-0000-0200-000005000000}" name="Mes" dataDxfId="0">
      <calculatedColumnFormula>IF(Ingreso[Código de barras]=0,"",INDEX(Stock[Mes],MATCH(Ingreso[Código de barras],Stock[Código de barras],0)))</calculatedColumnFormula>
    </tableColumn>
    <tableColumn id="6" xr3:uid="{00000000-0010-0000-0200-000006000000}" name="Detalle" dataDxfId="81">
      <calculatedColumnFormula>IF(Ingreso[Código de barras]=0,"",INDEX(Stock[Detalle],MATCH(Ingreso[Código de barras],Stock[Código de barras],0)))</calculatedColumnFormula>
    </tableColumn>
    <tableColumn id="7" xr3:uid="{00000000-0010-0000-0200-000007000000}" name="Matriz" dataDxfId="80">
      <calculatedColumnFormula>IF(Ingreso[Código de barras]=0,"",INDEX(Stock[Matriz],MATCH(Ingreso[Código de barras],Stock[Código de barras],0)))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eservantes" displayName="Preservantes" ref="A1:B34" totalsRowShown="0" headerRowDxfId="96" dataDxfId="95">
  <autoFilter ref="A1:B34" xr:uid="{00000000-0009-0000-0100-000004000000}"/>
  <tableColumns count="2">
    <tableColumn id="1" xr3:uid="{00000000-0010-0000-0300-000001000000}" name="Código" dataDxfId="94"/>
    <tableColumn id="2" xr3:uid="{00000000-0010-0000-0300-000002000000}" name="Significado" dataDxfId="93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70" zoomScale="80" zoomScaleNormal="80" workbookViewId="0">
      <selection activeCell="D111" sqref="D111"/>
    </sheetView>
  </sheetViews>
  <sheetFormatPr defaultColWidth="11.42578125" defaultRowHeight="15" x14ac:dyDescent="0.25"/>
  <cols>
    <col min="1" max="1" width="12" style="32" bestFit="1" customWidth="1"/>
    <col min="2" max="2" width="9.140625" style="32"/>
    <col min="3" max="3" width="15" style="32" bestFit="1" customWidth="1"/>
    <col min="4" max="4" width="15.85546875" style="32" customWidth="1"/>
    <col min="5" max="5" width="26.5703125" style="32" bestFit="1" customWidth="1"/>
    <col min="6" max="6" width="28.5703125" style="1" customWidth="1"/>
    <col min="7" max="7" width="6.7109375" style="1" customWidth="1"/>
    <col min="8" max="8" width="15.5703125" style="20" customWidth="1"/>
    <col min="9" max="9" width="4.85546875" style="1" customWidth="1"/>
    <col min="10" max="10" width="9.7109375" style="1" customWidth="1"/>
    <col min="11" max="11" width="7.140625" style="20" customWidth="1"/>
    <col min="12" max="12" width="6.42578125" style="20" customWidth="1"/>
    <col min="13" max="13" width="7.85546875" style="20" customWidth="1"/>
    <col min="14" max="14" width="8.85546875" style="20" customWidth="1"/>
    <col min="15" max="15" width="45.42578125" style="1" customWidth="1"/>
    <col min="16" max="16384" width="11.42578125" style="20"/>
  </cols>
  <sheetData>
    <row r="1" spans="1:15" ht="37.5" x14ac:dyDescent="0.25">
      <c r="A1" s="8" t="s">
        <v>13</v>
      </c>
      <c r="B1" s="9" t="s">
        <v>14</v>
      </c>
      <c r="C1" s="9" t="s">
        <v>15</v>
      </c>
      <c r="D1" s="9" t="s">
        <v>16</v>
      </c>
      <c r="E1" s="9" t="s">
        <v>191</v>
      </c>
      <c r="F1" s="9" t="s">
        <v>17</v>
      </c>
      <c r="G1" s="10" t="s">
        <v>18</v>
      </c>
      <c r="H1" s="9" t="s">
        <v>19</v>
      </c>
      <c r="I1" s="9" t="s">
        <v>20</v>
      </c>
      <c r="J1" s="9" t="s">
        <v>45</v>
      </c>
      <c r="K1" s="10" t="s">
        <v>24</v>
      </c>
      <c r="L1" s="10" t="s">
        <v>25</v>
      </c>
      <c r="M1" s="10" t="s">
        <v>26</v>
      </c>
      <c r="N1" s="10" t="s">
        <v>27</v>
      </c>
      <c r="O1" s="11" t="s">
        <v>21</v>
      </c>
    </row>
    <row r="2" spans="1:15" x14ac:dyDescent="0.25">
      <c r="A2" s="15">
        <v>2106300002</v>
      </c>
      <c r="B2" s="5" t="s">
        <v>106</v>
      </c>
      <c r="C2" s="5" t="s">
        <v>180</v>
      </c>
      <c r="D2" s="35">
        <v>44348</v>
      </c>
      <c r="E2" s="35"/>
      <c r="F2" s="4" t="s">
        <v>10</v>
      </c>
      <c r="G2" s="14" t="s">
        <v>9</v>
      </c>
      <c r="H2" s="16" t="str">
        <f>TRIM(IF(Stock[n°CC]=0,"",Stock[n°CC]&amp;""&amp;Stock[Pres]))</f>
        <v>2106300002bac</v>
      </c>
      <c r="I2" s="19">
        <v>1</v>
      </c>
      <c r="J2" s="17" t="s">
        <v>46</v>
      </c>
      <c r="K2" s="21">
        <f>IF(Stock[n°CC]=0,"",SUMIF(Egreso[Código de barras],Stock[Código de barras],Egreso[Cantidad]))</f>
        <v>1</v>
      </c>
      <c r="L2" s="21">
        <f>IF(Stock[n°CC]=0,"",SUMIF(Ingreso[Código de barras],Stock[Código de barras],Ingreso[Cantidad]))</f>
        <v>1</v>
      </c>
      <c r="M2" s="22" t="str">
        <f>IF(Stock[n°CC]=0,"",IF(Stock[n°]=Stock[Egreso],"Si","No"))</f>
        <v>Si</v>
      </c>
      <c r="N2" s="22" t="str">
        <f>IF(OR(Stock[n°CC]=0,Stock[n°CC]="vacio"),"",IF(AND(Stock[n°]=Stock[Egreso],Stock[Egreso]=Stock[Ingreso]),"Si","No"))</f>
        <v>Si</v>
      </c>
      <c r="O2" s="18"/>
    </row>
    <row r="3" spans="1:15" x14ac:dyDescent="0.25">
      <c r="A3" s="15">
        <v>2106300001</v>
      </c>
      <c r="B3" s="5" t="s">
        <v>106</v>
      </c>
      <c r="C3" s="5" t="s">
        <v>180</v>
      </c>
      <c r="D3" s="35">
        <v>44348</v>
      </c>
      <c r="E3" s="35"/>
      <c r="F3" s="4" t="s">
        <v>10</v>
      </c>
      <c r="G3" s="14" t="s">
        <v>2</v>
      </c>
      <c r="H3" s="16" t="str">
        <f>TRIM(IF(Stock[n°CC]=0,"",Stock[n°CC]&amp;""&amp;Stock[Pres]))</f>
        <v>2106300001p50</v>
      </c>
      <c r="I3" s="19">
        <v>1</v>
      </c>
      <c r="J3" s="17" t="s">
        <v>46</v>
      </c>
      <c r="K3" s="21">
        <f>IF(Stock[n°CC]=0,"",SUMIF(Egreso[Código de barras],Stock[Código de barras],Egreso[Cantidad]))</f>
        <v>1</v>
      </c>
      <c r="L3" s="21">
        <f>IF(Stock[n°CC]=0,"",SUMIF(Ingreso[Código de barras],Stock[Código de barras],Ingreso[Cantidad]))</f>
        <v>1</v>
      </c>
      <c r="M3" s="22" t="str">
        <f>IF(Stock[n°CC]=0,"",IF(Stock[n°]=Stock[Egreso],"Si","No"))</f>
        <v>Si</v>
      </c>
      <c r="N3" s="22" t="str">
        <f>IF(OR(Stock[n°CC]=0,Stock[n°CC]="vacio"),"",IF(AND(Stock[n°]=Stock[Egreso],Stock[Egreso]=Stock[Ingreso]),"Si","No"))</f>
        <v>Si</v>
      </c>
      <c r="O3" s="18"/>
    </row>
    <row r="4" spans="1:15" x14ac:dyDescent="0.25">
      <c r="A4" s="15">
        <v>2106300001</v>
      </c>
      <c r="B4" s="5" t="s">
        <v>106</v>
      </c>
      <c r="C4" s="5" t="s">
        <v>180</v>
      </c>
      <c r="D4" s="35">
        <v>44348</v>
      </c>
      <c r="E4" s="35"/>
      <c r="F4" s="4" t="s">
        <v>10</v>
      </c>
      <c r="G4" s="14" t="s">
        <v>4</v>
      </c>
      <c r="H4" s="16" t="str">
        <f>TRIM(IF(Stock[n°CC]=0,"",Stock[n°CC]&amp;""&amp;Stock[Pres]))</f>
        <v>2106300001pn</v>
      </c>
      <c r="I4" s="19">
        <v>1</v>
      </c>
      <c r="J4" s="17" t="s">
        <v>46</v>
      </c>
      <c r="K4" s="21">
        <f>IF(Stock[n°CC]=0,"",SUMIF(Egreso[Código de barras],Stock[Código de barras],Egreso[Cantidad]))</f>
        <v>1</v>
      </c>
      <c r="L4" s="21">
        <f>IF(Stock[n°CC]=0,"",SUMIF(Ingreso[Código de barras],Stock[Código de barras],Ingreso[Cantidad]))</f>
        <v>1</v>
      </c>
      <c r="M4" s="22" t="str">
        <f>IF(Stock[n°CC]=0,"",IF(Stock[n°]=Stock[Egreso],"Si","No"))</f>
        <v>Si</v>
      </c>
      <c r="N4" s="22" t="str">
        <f>IF(OR(Stock[n°CC]=0,Stock[n°CC]="vacio"),"",IF(AND(Stock[n°]=Stock[Egreso],Stock[Egreso]=Stock[Ingreso]),"Si","No"))</f>
        <v>Si</v>
      </c>
      <c r="O4" s="18"/>
    </row>
    <row r="5" spans="1:15" x14ac:dyDescent="0.25">
      <c r="A5" s="15">
        <v>2106300001</v>
      </c>
      <c r="B5" s="5" t="s">
        <v>106</v>
      </c>
      <c r="C5" s="5" t="s">
        <v>180</v>
      </c>
      <c r="D5" s="35">
        <v>44348</v>
      </c>
      <c r="E5" s="35"/>
      <c r="F5" s="4" t="s">
        <v>10</v>
      </c>
      <c r="G5" s="14" t="s">
        <v>8</v>
      </c>
      <c r="H5" s="16" t="str">
        <f>TRIM(IF(Stock[n°CC]=0,"",Stock[n°CC]&amp;""&amp;Stock[Pres]))</f>
        <v>2106300001ho3</v>
      </c>
      <c r="I5" s="19">
        <v>1</v>
      </c>
      <c r="J5" s="17" t="s">
        <v>46</v>
      </c>
      <c r="K5" s="21">
        <f>IF(Stock[n°CC]=0,"",SUMIF(Egreso[Código de barras],Stock[Código de barras],Egreso[Cantidad]))</f>
        <v>1</v>
      </c>
      <c r="L5" s="21">
        <f>IF(Stock[n°CC]=0,"",SUMIF(Ingreso[Código de barras],Stock[Código de barras],Ingreso[Cantidad]))</f>
        <v>1</v>
      </c>
      <c r="M5" s="22" t="str">
        <f>IF(Stock[n°CC]=0,"",IF(Stock[n°]=Stock[Egreso],"Si","No"))</f>
        <v>Si</v>
      </c>
      <c r="N5" s="22" t="str">
        <f>IF(OR(Stock[n°CC]=0,Stock[n°CC]="vacio"),"",IF(AND(Stock[n°]=Stock[Egreso],Stock[Egreso]=Stock[Ingreso]),"Si","No"))</f>
        <v>Si</v>
      </c>
      <c r="O5" s="18"/>
    </row>
    <row r="6" spans="1:15" x14ac:dyDescent="0.25">
      <c r="A6" s="5" t="s">
        <v>48</v>
      </c>
      <c r="B6" s="15"/>
      <c r="C6" s="15"/>
      <c r="D6" s="15"/>
      <c r="E6" s="35"/>
      <c r="F6" s="14"/>
      <c r="G6" s="14"/>
      <c r="H6" s="16" t="str">
        <f>TRIM(IF(Stock[n°CC]=0,"",Stock[n°CC]&amp;""&amp;Stock[Pres]))</f>
        <v>vacio</v>
      </c>
      <c r="I6" s="19">
        <v>1</v>
      </c>
      <c r="J6" s="17"/>
      <c r="K6" s="21">
        <f>IF(Stock[n°CC]=0,"",SUMIF(Egreso[Código de barras],Stock[Código de barras],Egreso[Cantidad]))</f>
        <v>3</v>
      </c>
      <c r="L6" s="21">
        <f>IF(Stock[n°CC]=0,"",SUMIF(Ingreso[Código de barras],Stock[Código de barras],Ingreso[Cantidad]))</f>
        <v>2</v>
      </c>
      <c r="M6" s="22" t="str">
        <f>IF(Stock[n°CC]=0,"",IF(Stock[n°]=Stock[Egreso],"Si","No"))</f>
        <v>No</v>
      </c>
      <c r="N6" s="22" t="str">
        <f>IF(OR(Stock[n°CC]=0,Stock[n°CC]="vacio"),"",IF(AND(Stock[n°]=Stock[Egreso],Stock[Egreso]=Stock[Ingreso]),"Si","No"))</f>
        <v/>
      </c>
      <c r="O6" s="18"/>
    </row>
    <row r="7" spans="1:15" x14ac:dyDescent="0.25">
      <c r="A7" s="15">
        <v>2106300012</v>
      </c>
      <c r="B7" s="15" t="s">
        <v>60</v>
      </c>
      <c r="C7" s="15" t="s">
        <v>181</v>
      </c>
      <c r="D7" s="35">
        <v>44348</v>
      </c>
      <c r="E7" s="32" t="s">
        <v>190</v>
      </c>
      <c r="F7" s="14" t="s">
        <v>0</v>
      </c>
      <c r="G7" s="14" t="s">
        <v>2</v>
      </c>
      <c r="H7" s="16" t="str">
        <f>TRIM(IF(Stock[n°CC]=0,"",Stock[n°CC]&amp;""&amp;Stock[Pres]))</f>
        <v>2106300012p50</v>
      </c>
      <c r="I7" s="19">
        <v>1</v>
      </c>
      <c r="J7" s="17" t="s">
        <v>46</v>
      </c>
      <c r="K7" s="21">
        <f>IF(Stock[n°CC]=0,"",SUMIF(Egreso[Código de barras],Stock[Código de barras],Egreso[Cantidad]))</f>
        <v>1</v>
      </c>
      <c r="L7" s="21">
        <f>IF(Stock[n°CC]=0,"",SUMIF(Ingreso[Código de barras],Stock[Código de barras],Ingreso[Cantidad]))</f>
        <v>1</v>
      </c>
      <c r="M7" s="22" t="str">
        <f>IF(Stock[n°CC]=0,"",IF(Stock[n°]=Stock[Egreso],"Si","No"))</f>
        <v>Si</v>
      </c>
      <c r="N7" s="22" t="str">
        <f>IF(OR(Stock[n°CC]=0,Stock[n°CC]="vacio"),"",IF(AND(Stock[n°]=Stock[Egreso],Stock[Egreso]=Stock[Ingreso]),"Si","No"))</f>
        <v>Si</v>
      </c>
      <c r="O7" s="18"/>
    </row>
    <row r="8" spans="1:15" x14ac:dyDescent="0.25">
      <c r="A8" s="15">
        <v>2106300012</v>
      </c>
      <c r="B8" s="15" t="s">
        <v>60</v>
      </c>
      <c r="C8" s="15" t="s">
        <v>181</v>
      </c>
      <c r="D8" s="35">
        <v>44348</v>
      </c>
      <c r="E8" s="32" t="s">
        <v>190</v>
      </c>
      <c r="F8" s="14" t="s">
        <v>0</v>
      </c>
      <c r="G8" s="14" t="s">
        <v>11</v>
      </c>
      <c r="H8" s="16" t="str">
        <f>TRIM(IF(Stock[n°CC]=0,"",Stock[n°CC]&amp;""&amp;Stock[Pres]))</f>
        <v>2106300012vn1</v>
      </c>
      <c r="I8" s="19">
        <v>1</v>
      </c>
      <c r="J8" s="17" t="s">
        <v>46</v>
      </c>
      <c r="K8" s="21">
        <f>IF(Stock[n°CC]=0,"",SUMIF(Egreso[Código de barras],Stock[Código de barras],Egreso[Cantidad]))</f>
        <v>1</v>
      </c>
      <c r="L8" s="21">
        <f>IF(Stock[n°CC]=0,"",SUMIF(Ingreso[Código de barras],Stock[Código de barras],Ingreso[Cantidad]))</f>
        <v>1</v>
      </c>
      <c r="M8" s="22" t="str">
        <f>IF(Stock[n°CC]=0,"",IF(Stock[n°]=Stock[Egreso],"Si","No"))</f>
        <v>Si</v>
      </c>
      <c r="N8" s="22" t="str">
        <f>IF(OR(Stock[n°CC]=0,Stock[n°CC]="vacio"),"",IF(AND(Stock[n°]=Stock[Egreso],Stock[Egreso]=Stock[Ingreso]),"Si","No"))</f>
        <v>Si</v>
      </c>
      <c r="O8" s="18"/>
    </row>
    <row r="9" spans="1:15" x14ac:dyDescent="0.25">
      <c r="A9" s="15">
        <v>2106300012</v>
      </c>
      <c r="B9" s="15" t="s">
        <v>60</v>
      </c>
      <c r="C9" s="15" t="s">
        <v>181</v>
      </c>
      <c r="D9" s="35">
        <v>44348</v>
      </c>
      <c r="E9" s="32" t="s">
        <v>190</v>
      </c>
      <c r="F9" s="14" t="s">
        <v>0</v>
      </c>
      <c r="G9" s="14" t="s">
        <v>4</v>
      </c>
      <c r="H9" s="16" t="str">
        <f>TRIM(IF(Stock[n°CC]=0,"",Stock[n°CC]&amp;""&amp;Stock[Pres]))</f>
        <v>2106300012pn</v>
      </c>
      <c r="I9" s="19">
        <v>1</v>
      </c>
      <c r="J9" s="17" t="s">
        <v>46</v>
      </c>
      <c r="K9" s="21">
        <f>IF(Stock[n°CC]=0,"",SUMIF(Egreso[Código de barras],Stock[Código de barras],Egreso[Cantidad]))</f>
        <v>1</v>
      </c>
      <c r="L9" s="21">
        <f>IF(Stock[n°CC]=0,"",SUMIF(Ingreso[Código de barras],Stock[Código de barras],Ingreso[Cantidad]))</f>
        <v>1</v>
      </c>
      <c r="M9" s="22" t="str">
        <f>IF(Stock[n°CC]=0,"",IF(Stock[n°]=Stock[Egreso],"Si","No"))</f>
        <v>Si</v>
      </c>
      <c r="N9" s="22" t="str">
        <f>IF(OR(Stock[n°CC]=0,Stock[n°CC]="vacio"),"",IF(AND(Stock[n°]=Stock[Egreso],Stock[Egreso]=Stock[Ingreso]),"Si","No"))</f>
        <v>Si</v>
      </c>
      <c r="O9" s="18"/>
    </row>
    <row r="10" spans="1:15" x14ac:dyDescent="0.25">
      <c r="A10" s="15">
        <v>2106300013</v>
      </c>
      <c r="B10" s="15" t="s">
        <v>60</v>
      </c>
      <c r="C10" s="15" t="s">
        <v>181</v>
      </c>
      <c r="D10" s="35">
        <v>44348</v>
      </c>
      <c r="E10" s="32" t="s">
        <v>190</v>
      </c>
      <c r="F10" s="14" t="s">
        <v>0</v>
      </c>
      <c r="G10" s="14" t="s">
        <v>11</v>
      </c>
      <c r="H10" s="16" t="str">
        <f>TRIM(IF(Stock[n°CC]=0,"",Stock[n°CC]&amp;""&amp;Stock[Pres]))</f>
        <v>2106300013vn1</v>
      </c>
      <c r="I10" s="19">
        <v>1</v>
      </c>
      <c r="J10" s="17" t="s">
        <v>46</v>
      </c>
      <c r="K10" s="21">
        <f>IF(Stock[n°CC]=0,"",SUMIF(Egreso[Código de barras],Stock[Código de barras],Egreso[Cantidad]))</f>
        <v>1</v>
      </c>
      <c r="L10" s="21">
        <f>IF(Stock[n°CC]=0,"",SUMIF(Ingreso[Código de barras],Stock[Código de barras],Ingreso[Cantidad]))</f>
        <v>1</v>
      </c>
      <c r="M10" s="22" t="str">
        <f>IF(Stock[n°CC]=0,"",IF(Stock[n°]=Stock[Egreso],"Si","No"))</f>
        <v>Si</v>
      </c>
      <c r="N10" s="22" t="str">
        <f>IF(OR(Stock[n°CC]=0,Stock[n°CC]="vacio"),"",IF(AND(Stock[n°]=Stock[Egreso],Stock[Egreso]=Stock[Ingreso]),"Si","No"))</f>
        <v>Si</v>
      </c>
      <c r="O10" s="18"/>
    </row>
    <row r="11" spans="1:15" x14ac:dyDescent="0.25">
      <c r="A11" s="15">
        <v>2106300013</v>
      </c>
      <c r="B11" s="15" t="s">
        <v>60</v>
      </c>
      <c r="C11" s="15" t="s">
        <v>181</v>
      </c>
      <c r="D11" s="35">
        <v>44348</v>
      </c>
      <c r="E11" s="32" t="s">
        <v>190</v>
      </c>
      <c r="F11" s="14" t="s">
        <v>0</v>
      </c>
      <c r="G11" s="14" t="s">
        <v>2</v>
      </c>
      <c r="H11" s="16" t="str">
        <f>TRIM(IF(Stock[n°CC]=0,"",Stock[n°CC]&amp;""&amp;Stock[Pres]))</f>
        <v>2106300013p50</v>
      </c>
      <c r="I11" s="19">
        <v>1</v>
      </c>
      <c r="J11" s="17" t="s">
        <v>46</v>
      </c>
      <c r="K11" s="21">
        <f>IF(Stock[n°CC]=0,"",SUMIF(Egreso[Código de barras],Stock[Código de barras],Egreso[Cantidad]))</f>
        <v>1</v>
      </c>
      <c r="L11" s="21">
        <f>IF(Stock[n°CC]=0,"",SUMIF(Ingreso[Código de barras],Stock[Código de barras],Ingreso[Cantidad]))</f>
        <v>1</v>
      </c>
      <c r="M11" s="22" t="str">
        <f>IF(Stock[n°CC]=0,"",IF(Stock[n°]=Stock[Egreso],"Si","No"))</f>
        <v>Si</v>
      </c>
      <c r="N11" s="22" t="str">
        <f>IF(OR(Stock[n°CC]=0,Stock[n°CC]="vacio"),"",IF(AND(Stock[n°]=Stock[Egreso],Stock[Egreso]=Stock[Ingreso]),"Si","No"))</f>
        <v>Si</v>
      </c>
      <c r="O11" s="18"/>
    </row>
    <row r="12" spans="1:15" x14ac:dyDescent="0.25">
      <c r="A12" s="15">
        <v>2106300013</v>
      </c>
      <c r="B12" s="15" t="s">
        <v>60</v>
      </c>
      <c r="C12" s="15" t="s">
        <v>181</v>
      </c>
      <c r="D12" s="35">
        <v>44348</v>
      </c>
      <c r="E12" s="32" t="s">
        <v>190</v>
      </c>
      <c r="F12" s="14" t="s">
        <v>0</v>
      </c>
      <c r="G12" s="14" t="s">
        <v>4</v>
      </c>
      <c r="H12" s="16" t="str">
        <f>TRIM(IF(Stock[n°CC]=0,"",Stock[n°CC]&amp;""&amp;Stock[Pres]))</f>
        <v>2106300013pn</v>
      </c>
      <c r="I12" s="19">
        <v>1</v>
      </c>
      <c r="J12" s="17" t="s">
        <v>46</v>
      </c>
      <c r="K12" s="21">
        <f>IF(Stock[n°CC]=0,"",SUMIF(Egreso[Código de barras],Stock[Código de barras],Egreso[Cantidad]))</f>
        <v>1</v>
      </c>
      <c r="L12" s="21">
        <f>IF(Stock[n°CC]=0,"",SUMIF(Ingreso[Código de barras],Stock[Código de barras],Ingreso[Cantidad]))</f>
        <v>1</v>
      </c>
      <c r="M12" s="22" t="str">
        <f>IF(Stock[n°CC]=0,"",IF(Stock[n°]=Stock[Egreso],"Si","No"))</f>
        <v>Si</v>
      </c>
      <c r="N12" s="22" t="str">
        <f>IF(OR(Stock[n°CC]=0,Stock[n°CC]="vacio"),"",IF(AND(Stock[n°]=Stock[Egreso],Stock[Egreso]=Stock[Ingreso]),"Si","No"))</f>
        <v>Si</v>
      </c>
      <c r="O12" s="18"/>
    </row>
    <row r="13" spans="1:15" x14ac:dyDescent="0.25">
      <c r="A13" s="15">
        <v>2106300014</v>
      </c>
      <c r="B13" s="15" t="s">
        <v>60</v>
      </c>
      <c r="C13" s="15" t="s">
        <v>181</v>
      </c>
      <c r="D13" s="35">
        <v>44348</v>
      </c>
      <c r="E13" s="32" t="s">
        <v>57</v>
      </c>
      <c r="F13" s="14" t="s">
        <v>0</v>
      </c>
      <c r="G13" s="14" t="s">
        <v>1</v>
      </c>
      <c r="H13" s="16" t="str">
        <f>TRIM(IF(Stock[n°CC]=0,"",Stock[n°CC]&amp;""&amp;Stock[Pres]))</f>
        <v>2106300014vc1</v>
      </c>
      <c r="I13" s="19">
        <v>1</v>
      </c>
      <c r="J13" s="17" t="s">
        <v>46</v>
      </c>
      <c r="K13" s="21">
        <f>IF(Stock[n°CC]=0,"",SUMIF(Egreso[Código de barras],Stock[Código de barras],Egreso[Cantidad]))</f>
        <v>1</v>
      </c>
      <c r="L13" s="21">
        <f>IF(Stock[n°CC]=0,"",SUMIF(Ingreso[Código de barras],Stock[Código de barras],Ingreso[Cantidad]))</f>
        <v>0</v>
      </c>
      <c r="M13" s="22" t="str">
        <f>IF(Stock[n°CC]=0,"",IF(Stock[n°]=Stock[Egreso],"Si","No"))</f>
        <v>Si</v>
      </c>
      <c r="N13" s="22" t="str">
        <f>IF(OR(Stock[n°CC]=0,Stock[n°CC]="vacio"),"",IF(AND(Stock[n°]=Stock[Egreso],Stock[Egreso]=Stock[Ingreso]),"Si","No"))</f>
        <v>No</v>
      </c>
      <c r="O13" s="18"/>
    </row>
    <row r="14" spans="1:15" x14ac:dyDescent="0.25">
      <c r="A14" s="15">
        <v>2106300014</v>
      </c>
      <c r="B14" s="15" t="s">
        <v>60</v>
      </c>
      <c r="C14" s="15" t="s">
        <v>181</v>
      </c>
      <c r="D14" s="35">
        <v>44348</v>
      </c>
      <c r="E14" s="32" t="s">
        <v>57</v>
      </c>
      <c r="F14" s="14" t="s">
        <v>0</v>
      </c>
      <c r="G14" s="14" t="s">
        <v>11</v>
      </c>
      <c r="H14" s="16" t="str">
        <f>TRIM(IF(Stock[n°CC]=0,"",Stock[n°CC]&amp;""&amp;Stock[Pres]))</f>
        <v>2106300014vn1</v>
      </c>
      <c r="I14" s="19">
        <v>1</v>
      </c>
      <c r="J14" s="17" t="s">
        <v>46</v>
      </c>
      <c r="K14" s="21">
        <f>IF(Stock[n°CC]=0,"",SUMIF(Egreso[Código de barras],Stock[Código de barras],Egreso[Cantidad]))</f>
        <v>1</v>
      </c>
      <c r="L14" s="21">
        <f>IF(Stock[n°CC]=0,"",SUMIF(Ingreso[Código de barras],Stock[Código de barras],Ingreso[Cantidad]))</f>
        <v>0</v>
      </c>
      <c r="M14" s="22" t="str">
        <f>IF(Stock[n°CC]=0,"",IF(Stock[n°]=Stock[Egreso],"Si","No"))</f>
        <v>Si</v>
      </c>
      <c r="N14" s="22" t="str">
        <f>IF(OR(Stock[n°CC]=0,Stock[n°CC]="vacio"),"",IF(AND(Stock[n°]=Stock[Egreso],Stock[Egreso]=Stock[Ingreso]),"Si","No"))</f>
        <v>No</v>
      </c>
      <c r="O14" s="18"/>
    </row>
    <row r="15" spans="1:15" x14ac:dyDescent="0.25">
      <c r="A15" s="15">
        <v>2106300014</v>
      </c>
      <c r="B15" s="15" t="s">
        <v>60</v>
      </c>
      <c r="C15" s="15" t="s">
        <v>181</v>
      </c>
      <c r="D15" s="35">
        <v>44348</v>
      </c>
      <c r="E15" s="32" t="s">
        <v>57</v>
      </c>
      <c r="F15" s="14" t="s">
        <v>0</v>
      </c>
      <c r="G15" s="14" t="s">
        <v>2</v>
      </c>
      <c r="H15" s="16" t="str">
        <f>TRIM(IF(Stock[n°CC]=0,"",Stock[n°CC]&amp;""&amp;Stock[Pres]))</f>
        <v>2106300014p50</v>
      </c>
      <c r="I15" s="19">
        <v>1</v>
      </c>
      <c r="J15" s="17" t="s">
        <v>46</v>
      </c>
      <c r="K15" s="21">
        <f>IF(Stock[n°CC]=0,"",SUMIF(Egreso[Código de barras],Stock[Código de barras],Egreso[Cantidad]))</f>
        <v>1</v>
      </c>
      <c r="L15" s="21">
        <f>IF(Stock[n°CC]=0,"",SUMIF(Ingreso[Código de barras],Stock[Código de barras],Ingreso[Cantidad]))</f>
        <v>0</v>
      </c>
      <c r="M15" s="22" t="str">
        <f>IF(Stock[n°CC]=0,"",IF(Stock[n°]=Stock[Egreso],"Si","No"))</f>
        <v>Si</v>
      </c>
      <c r="N15" s="22" t="str">
        <f>IF(OR(Stock[n°CC]=0,Stock[n°CC]="vacio"),"",IF(AND(Stock[n°]=Stock[Egreso],Stock[Egreso]=Stock[Ingreso]),"Si","No"))</f>
        <v>No</v>
      </c>
      <c r="O15" s="18"/>
    </row>
    <row r="16" spans="1:15" x14ac:dyDescent="0.25">
      <c r="A16" s="15">
        <v>2106300014</v>
      </c>
      <c r="B16" s="15" t="s">
        <v>60</v>
      </c>
      <c r="C16" s="15" t="s">
        <v>181</v>
      </c>
      <c r="D16" s="35">
        <v>44348</v>
      </c>
      <c r="E16" s="32" t="s">
        <v>57</v>
      </c>
      <c r="F16" s="14" t="s">
        <v>0</v>
      </c>
      <c r="G16" s="14" t="s">
        <v>3</v>
      </c>
      <c r="H16" s="16" t="str">
        <f>TRIM(IF(Stock[n°CC]=0,"",Stock[n°CC]&amp;""&amp;Stock[Pres]))</f>
        <v>2106300014pu</v>
      </c>
      <c r="I16" s="19">
        <v>1</v>
      </c>
      <c r="J16" s="17" t="s">
        <v>46</v>
      </c>
      <c r="K16" s="21">
        <f>IF(Stock[n°CC]=0,"",SUMIF(Egreso[Código de barras],Stock[Código de barras],Egreso[Cantidad]))</f>
        <v>1</v>
      </c>
      <c r="L16" s="21">
        <f>IF(Stock[n°CC]=0,"",SUMIF(Ingreso[Código de barras],Stock[Código de barras],Ingreso[Cantidad]))</f>
        <v>0</v>
      </c>
      <c r="M16" s="22" t="str">
        <f>IF(Stock[n°CC]=0,"",IF(Stock[n°]=Stock[Egreso],"Si","No"))</f>
        <v>Si</v>
      </c>
      <c r="N16" s="22" t="str">
        <f>IF(OR(Stock[n°CC]=0,Stock[n°CC]="vacio"),"",IF(AND(Stock[n°]=Stock[Egreso],Stock[Egreso]=Stock[Ingreso]),"Si","No"))</f>
        <v>No</v>
      </c>
      <c r="O16" s="18"/>
    </row>
    <row r="17" spans="1:15" x14ac:dyDescent="0.25">
      <c r="A17" s="15">
        <v>2106300014</v>
      </c>
      <c r="B17" s="15" t="s">
        <v>60</v>
      </c>
      <c r="C17" s="15" t="s">
        <v>181</v>
      </c>
      <c r="D17" s="35">
        <v>44348</v>
      </c>
      <c r="E17" s="32" t="s">
        <v>57</v>
      </c>
      <c r="F17" s="14" t="s">
        <v>0</v>
      </c>
      <c r="G17" s="14" t="s">
        <v>4</v>
      </c>
      <c r="H17" s="16" t="str">
        <f>TRIM(IF(Stock[n°CC]=0,"",Stock[n°CC]&amp;""&amp;Stock[Pres]))</f>
        <v>2106300014pn</v>
      </c>
      <c r="I17" s="19">
        <v>1</v>
      </c>
      <c r="J17" s="17" t="s">
        <v>46</v>
      </c>
      <c r="K17" s="21">
        <f>IF(Stock[n°CC]=0,"",SUMIF(Egreso[Código de barras],Stock[Código de barras],Egreso[Cantidad]))</f>
        <v>1</v>
      </c>
      <c r="L17" s="21">
        <f>IF(Stock[n°CC]=0,"",SUMIF(Ingreso[Código de barras],Stock[Código de barras],Ingreso[Cantidad]))</f>
        <v>0</v>
      </c>
      <c r="M17" s="22" t="str">
        <f>IF(Stock[n°CC]=0,"",IF(Stock[n°]=Stock[Egreso],"Si","No"))</f>
        <v>Si</v>
      </c>
      <c r="N17" s="22" t="str">
        <f>IF(OR(Stock[n°CC]=0,Stock[n°CC]="vacio"),"",IF(AND(Stock[n°]=Stock[Egreso],Stock[Egreso]=Stock[Ingreso]),"Si","No"))</f>
        <v>No</v>
      </c>
      <c r="O17" s="18"/>
    </row>
    <row r="18" spans="1:15" x14ac:dyDescent="0.25">
      <c r="A18" s="15">
        <v>2106300014</v>
      </c>
      <c r="B18" s="15" t="s">
        <v>60</v>
      </c>
      <c r="C18" s="15" t="s">
        <v>181</v>
      </c>
      <c r="D18" s="35">
        <v>44348</v>
      </c>
      <c r="E18" s="32" t="s">
        <v>57</v>
      </c>
      <c r="F18" s="14" t="s">
        <v>0</v>
      </c>
      <c r="G18" s="14" t="s">
        <v>58</v>
      </c>
      <c r="H18" s="16" t="str">
        <f>TRIM(IF(Stock[n°CC]=0,"",Stock[n°CC]&amp;""&amp;Stock[Pres]))</f>
        <v>2106300014v14</v>
      </c>
      <c r="I18" s="19">
        <v>1</v>
      </c>
      <c r="J18" s="17" t="s">
        <v>46</v>
      </c>
      <c r="K18" s="21">
        <f>IF(Stock[n°CC]=0,"",SUMIF(Egreso[Código de barras],Stock[Código de barras],Egreso[Cantidad]))</f>
        <v>1</v>
      </c>
      <c r="L18" s="21">
        <f>IF(Stock[n°CC]=0,"",SUMIF(Ingreso[Código de barras],Stock[Código de barras],Ingreso[Cantidad]))</f>
        <v>0</v>
      </c>
      <c r="M18" s="22" t="str">
        <f>IF(Stock[n°CC]=0,"",IF(Stock[n°]=Stock[Egreso],"Si","No"))</f>
        <v>Si</v>
      </c>
      <c r="N18" s="22" t="str">
        <f>IF(OR(Stock[n°CC]=0,Stock[n°CC]="vacio"),"",IF(AND(Stock[n°]=Stock[Egreso],Stock[Egreso]=Stock[Ingreso]),"Si","No"))</f>
        <v>No</v>
      </c>
      <c r="O18" s="18"/>
    </row>
    <row r="19" spans="1:15" x14ac:dyDescent="0.25">
      <c r="A19" s="15">
        <v>2106300005</v>
      </c>
      <c r="B19" s="15" t="s">
        <v>60</v>
      </c>
      <c r="C19" s="15" t="s">
        <v>181</v>
      </c>
      <c r="D19" s="35">
        <v>44348</v>
      </c>
      <c r="E19" s="37" t="s">
        <v>91</v>
      </c>
      <c r="F19" s="4" t="s">
        <v>50</v>
      </c>
      <c r="G19" s="14" t="s">
        <v>8</v>
      </c>
      <c r="H19" s="16" t="str">
        <f>TRIM(IF(Stock[n°CC]=0,"",Stock[n°CC]&amp;""&amp;Stock[Pres]))</f>
        <v>2106300005ho3</v>
      </c>
      <c r="I19" s="19">
        <v>1</v>
      </c>
      <c r="J19" s="17" t="s">
        <v>46</v>
      </c>
      <c r="K19" s="21">
        <f>IF(Stock[n°CC]=0,"",SUMIF(Egreso[Código de barras],Stock[Código de barras],Egreso[Cantidad]))</f>
        <v>1</v>
      </c>
      <c r="L19" s="21">
        <f>IF(Stock[n°CC]=0,"",SUMIF(Ingreso[Código de barras],Stock[Código de barras],Ingreso[Cantidad]))</f>
        <v>0</v>
      </c>
      <c r="M19" s="22" t="str">
        <f>IF(Stock[n°CC]=0,"",IF(Stock[n°]=Stock[Egreso],"Si","No"))</f>
        <v>Si</v>
      </c>
      <c r="N19" s="22" t="str">
        <f>IF(OR(Stock[n°CC]=0,Stock[n°CC]="vacio"),"",IF(AND(Stock[n°]=Stock[Egreso],Stock[Egreso]=Stock[Ingreso]),"Si","No"))</f>
        <v>No</v>
      </c>
      <c r="O19" s="18"/>
    </row>
    <row r="20" spans="1:15" x14ac:dyDescent="0.25">
      <c r="A20" s="15">
        <v>2106300005</v>
      </c>
      <c r="B20" s="15" t="s">
        <v>60</v>
      </c>
      <c r="C20" s="15" t="s">
        <v>181</v>
      </c>
      <c r="D20" s="35">
        <v>44348</v>
      </c>
      <c r="E20" s="37" t="s">
        <v>91</v>
      </c>
      <c r="F20" s="4" t="s">
        <v>50</v>
      </c>
      <c r="G20" s="14" t="s">
        <v>11</v>
      </c>
      <c r="H20" s="16" t="str">
        <f>TRIM(IF(Stock[n°CC]=0,"",Stock[n°CC]&amp;""&amp;Stock[Pres]))</f>
        <v>2106300005vn1</v>
      </c>
      <c r="I20" s="19">
        <v>1</v>
      </c>
      <c r="J20" s="17" t="s">
        <v>46</v>
      </c>
      <c r="K20" s="21">
        <f>IF(Stock[n°CC]=0,"",SUMIF(Egreso[Código de barras],Stock[Código de barras],Egreso[Cantidad]))</f>
        <v>1</v>
      </c>
      <c r="L20" s="21">
        <f>IF(Stock[n°CC]=0,"",SUMIF(Ingreso[Código de barras],Stock[Código de barras],Ingreso[Cantidad]))</f>
        <v>0</v>
      </c>
      <c r="M20" s="22" t="str">
        <f>IF(Stock[n°CC]=0,"",IF(Stock[n°]=Stock[Egreso],"Si","No"))</f>
        <v>Si</v>
      </c>
      <c r="N20" s="22" t="str">
        <f>IF(OR(Stock[n°CC]=0,Stock[n°CC]="vacio"),"",IF(AND(Stock[n°]=Stock[Egreso],Stock[Egreso]=Stock[Ingreso]),"Si","No"))</f>
        <v>No</v>
      </c>
      <c r="O20" s="18"/>
    </row>
    <row r="21" spans="1:15" x14ac:dyDescent="0.25">
      <c r="A21" s="15">
        <v>2106300005</v>
      </c>
      <c r="B21" s="15" t="s">
        <v>60</v>
      </c>
      <c r="C21" s="15" t="s">
        <v>181</v>
      </c>
      <c r="D21" s="35">
        <v>44348</v>
      </c>
      <c r="E21" s="37" t="s">
        <v>91</v>
      </c>
      <c r="F21" s="4" t="s">
        <v>50</v>
      </c>
      <c r="G21" s="14" t="s">
        <v>1</v>
      </c>
      <c r="H21" s="16" t="str">
        <f>TRIM(IF(Stock[n°CC]=0,"",Stock[n°CC]&amp;""&amp;Stock[Pres]))</f>
        <v>2106300005vc1</v>
      </c>
      <c r="I21" s="19">
        <v>1</v>
      </c>
      <c r="J21" s="17" t="s">
        <v>46</v>
      </c>
      <c r="K21" s="21">
        <f>IF(Stock[n°CC]=0,"",SUMIF(Egreso[Código de barras],Stock[Código de barras],Egreso[Cantidad]))</f>
        <v>1</v>
      </c>
      <c r="L21" s="21">
        <f>IF(Stock[n°CC]=0,"",SUMIF(Ingreso[Código de barras],Stock[Código de barras],Ingreso[Cantidad]))</f>
        <v>0</v>
      </c>
      <c r="M21" s="22" t="str">
        <f>IF(Stock[n°CC]=0,"",IF(Stock[n°]=Stock[Egreso],"Si","No"))</f>
        <v>Si</v>
      </c>
      <c r="N21" s="22" t="str">
        <f>IF(OR(Stock[n°CC]=0,Stock[n°CC]="vacio"),"",IF(AND(Stock[n°]=Stock[Egreso],Stock[Egreso]=Stock[Ingreso]),"Si","No"))</f>
        <v>No</v>
      </c>
      <c r="O21" s="18"/>
    </row>
    <row r="22" spans="1:15" x14ac:dyDescent="0.25">
      <c r="A22" s="15">
        <v>2106300004</v>
      </c>
      <c r="B22" s="15" t="s">
        <v>60</v>
      </c>
      <c r="C22" s="15" t="s">
        <v>181</v>
      </c>
      <c r="D22" s="35">
        <v>44348</v>
      </c>
      <c r="E22" s="37" t="s">
        <v>92</v>
      </c>
      <c r="F22" s="4" t="s">
        <v>50</v>
      </c>
      <c r="G22" s="14" t="s">
        <v>8</v>
      </c>
      <c r="H22" s="16" t="str">
        <f>TRIM(IF(Stock[n°CC]=0,"",Stock[n°CC]&amp;""&amp;Stock[Pres]))</f>
        <v>2106300004ho3</v>
      </c>
      <c r="I22" s="19">
        <v>1</v>
      </c>
      <c r="J22" s="17" t="s">
        <v>46</v>
      </c>
      <c r="K22" s="21">
        <f>IF(Stock[n°CC]=0,"",SUMIF(Egreso[Código de barras],Stock[Código de barras],Egreso[Cantidad]))</f>
        <v>1</v>
      </c>
      <c r="L22" s="21">
        <f>IF(Stock[n°CC]=0,"",SUMIF(Ingreso[Código de barras],Stock[Código de barras],Ingreso[Cantidad]))</f>
        <v>2</v>
      </c>
      <c r="M22" s="22" t="str">
        <f>IF(Stock[n°CC]=0,"",IF(Stock[n°]=Stock[Egreso],"Si","No"))</f>
        <v>Si</v>
      </c>
      <c r="N22" s="22" t="str">
        <f>IF(OR(Stock[n°CC]=0,Stock[n°CC]="vacio"),"",IF(AND(Stock[n°]=Stock[Egreso],Stock[Egreso]=Stock[Ingreso]),"Si","No"))</f>
        <v>No</v>
      </c>
      <c r="O22" s="18"/>
    </row>
    <row r="23" spans="1:15" x14ac:dyDescent="0.25">
      <c r="A23" s="15">
        <v>2106300004</v>
      </c>
      <c r="B23" s="15" t="s">
        <v>60</v>
      </c>
      <c r="C23" s="15" t="s">
        <v>181</v>
      </c>
      <c r="D23" s="35">
        <v>44348</v>
      </c>
      <c r="E23" s="37" t="s">
        <v>92</v>
      </c>
      <c r="F23" s="4" t="s">
        <v>50</v>
      </c>
      <c r="G23" s="14" t="s">
        <v>11</v>
      </c>
      <c r="H23" s="16" t="str">
        <f>TRIM(IF(Stock[n°CC]=0,"",Stock[n°CC]&amp;""&amp;Stock[Pres]))</f>
        <v>2106300004vn1</v>
      </c>
      <c r="I23" s="19">
        <v>1</v>
      </c>
      <c r="J23" s="17" t="s">
        <v>46</v>
      </c>
      <c r="K23" s="21">
        <f>IF(Stock[n°CC]=0,"",SUMIF(Egreso[Código de barras],Stock[Código de barras],Egreso[Cantidad]))</f>
        <v>1</v>
      </c>
      <c r="L23" s="21">
        <f>IF(Stock[n°CC]=0,"",SUMIF(Ingreso[Código de barras],Stock[Código de barras],Ingreso[Cantidad]))</f>
        <v>0</v>
      </c>
      <c r="M23" s="22" t="str">
        <f>IF(Stock[n°CC]=0,"",IF(Stock[n°]=Stock[Egreso],"Si","No"))</f>
        <v>Si</v>
      </c>
      <c r="N23" s="22" t="str">
        <f>IF(OR(Stock[n°CC]=0,Stock[n°CC]="vacio"),"",IF(AND(Stock[n°]=Stock[Egreso],Stock[Egreso]=Stock[Ingreso]),"Si","No"))</f>
        <v>No</v>
      </c>
      <c r="O23" s="18"/>
    </row>
    <row r="24" spans="1:15" x14ac:dyDescent="0.25">
      <c r="A24" s="15">
        <v>2106300004</v>
      </c>
      <c r="B24" s="15" t="s">
        <v>60</v>
      </c>
      <c r="C24" s="15" t="s">
        <v>181</v>
      </c>
      <c r="D24" s="35">
        <v>44348</v>
      </c>
      <c r="E24" s="37" t="s">
        <v>92</v>
      </c>
      <c r="F24" s="4" t="s">
        <v>50</v>
      </c>
      <c r="G24" s="14" t="s">
        <v>1</v>
      </c>
      <c r="H24" s="16" t="str">
        <f>TRIM(IF(Stock[n°CC]=0,"",Stock[n°CC]&amp;""&amp;Stock[Pres]))</f>
        <v>2106300004vc1</v>
      </c>
      <c r="I24" s="19">
        <v>1</v>
      </c>
      <c r="J24" s="17" t="s">
        <v>46</v>
      </c>
      <c r="K24" s="21">
        <f>IF(Stock[n°CC]=0,"",SUMIF(Egreso[Código de barras],Stock[Código de barras],Egreso[Cantidad]))</f>
        <v>1</v>
      </c>
      <c r="L24" s="21">
        <f>IF(Stock[n°CC]=0,"",SUMIF(Ingreso[Código de barras],Stock[Código de barras],Ingreso[Cantidad]))</f>
        <v>0</v>
      </c>
      <c r="M24" s="22" t="str">
        <f>IF(Stock[n°CC]=0,"",IF(Stock[n°]=Stock[Egreso],"Si","No"))</f>
        <v>Si</v>
      </c>
      <c r="N24" s="22" t="str">
        <f>IF(OR(Stock[n°CC]=0,Stock[n°CC]="vacio"),"",IF(AND(Stock[n°]=Stock[Egreso],Stock[Egreso]=Stock[Ingreso]),"Si","No"))</f>
        <v>No</v>
      </c>
      <c r="O24" s="18"/>
    </row>
    <row r="25" spans="1:15" x14ac:dyDescent="0.25">
      <c r="A25" s="15">
        <v>2106300003</v>
      </c>
      <c r="B25" s="15" t="s">
        <v>60</v>
      </c>
      <c r="C25" s="15" t="s">
        <v>181</v>
      </c>
      <c r="D25" s="35">
        <v>44348</v>
      </c>
      <c r="E25" s="37" t="s">
        <v>93</v>
      </c>
      <c r="F25" s="4" t="s">
        <v>50</v>
      </c>
      <c r="G25" s="14" t="s">
        <v>8</v>
      </c>
      <c r="H25" s="16" t="str">
        <f>TRIM(IF(Stock[n°CC]=0,"",Stock[n°CC]&amp;""&amp;Stock[Pres]))</f>
        <v>2106300003ho3</v>
      </c>
      <c r="I25" s="19">
        <v>1</v>
      </c>
      <c r="J25" s="17" t="s">
        <v>46</v>
      </c>
      <c r="K25" s="21">
        <f>IF(Stock[n°CC]=0,"",SUMIF(Egreso[Código de barras],Stock[Código de barras],Egreso[Cantidad]))</f>
        <v>1</v>
      </c>
      <c r="L25" s="21">
        <f>IF(Stock[n°CC]=0,"",SUMIF(Ingreso[Código de barras],Stock[Código de barras],Ingreso[Cantidad]))</f>
        <v>0</v>
      </c>
      <c r="M25" s="22" t="str">
        <f>IF(Stock[n°CC]=0,"",IF(Stock[n°]=Stock[Egreso],"Si","No"))</f>
        <v>Si</v>
      </c>
      <c r="N25" s="22" t="str">
        <f>IF(OR(Stock[n°CC]=0,Stock[n°CC]="vacio"),"",IF(AND(Stock[n°]=Stock[Egreso],Stock[Egreso]=Stock[Ingreso]),"Si","No"))</f>
        <v>No</v>
      </c>
      <c r="O25" s="18"/>
    </row>
    <row r="26" spans="1:15" x14ac:dyDescent="0.25">
      <c r="A26" s="15">
        <v>2106300003</v>
      </c>
      <c r="B26" s="15" t="s">
        <v>60</v>
      </c>
      <c r="C26" s="15" t="s">
        <v>181</v>
      </c>
      <c r="D26" s="35">
        <v>44348</v>
      </c>
      <c r="E26" s="37" t="s">
        <v>93</v>
      </c>
      <c r="F26" s="4" t="s">
        <v>50</v>
      </c>
      <c r="G26" s="14" t="s">
        <v>11</v>
      </c>
      <c r="H26" s="16" t="str">
        <f>TRIM(IF(Stock[n°CC]=0,"",Stock[n°CC]&amp;""&amp;Stock[Pres]))</f>
        <v>2106300003vn1</v>
      </c>
      <c r="I26" s="19">
        <v>1</v>
      </c>
      <c r="J26" s="17" t="s">
        <v>46</v>
      </c>
      <c r="K26" s="21">
        <f>IF(Stock[n°CC]=0,"",SUMIF(Egreso[Código de barras],Stock[Código de barras],Egreso[Cantidad]))</f>
        <v>1</v>
      </c>
      <c r="L26" s="21">
        <f>IF(Stock[n°CC]=0,"",SUMIF(Ingreso[Código de barras],Stock[Código de barras],Ingreso[Cantidad]))</f>
        <v>1</v>
      </c>
      <c r="M26" s="22" t="str">
        <f>IF(Stock[n°CC]=0,"",IF(Stock[n°]=Stock[Egreso],"Si","No"))</f>
        <v>Si</v>
      </c>
      <c r="N26" s="22" t="str">
        <f>IF(OR(Stock[n°CC]=0,Stock[n°CC]="vacio"),"",IF(AND(Stock[n°]=Stock[Egreso],Stock[Egreso]=Stock[Ingreso]),"Si","No"))</f>
        <v>Si</v>
      </c>
      <c r="O26" s="18"/>
    </row>
    <row r="27" spans="1:15" x14ac:dyDescent="0.25">
      <c r="A27" s="15">
        <v>2106300003</v>
      </c>
      <c r="B27" s="15" t="s">
        <v>60</v>
      </c>
      <c r="C27" s="15" t="s">
        <v>181</v>
      </c>
      <c r="D27" s="35">
        <v>44348</v>
      </c>
      <c r="E27" s="37" t="s">
        <v>93</v>
      </c>
      <c r="F27" s="4" t="s">
        <v>50</v>
      </c>
      <c r="G27" s="14" t="s">
        <v>1</v>
      </c>
      <c r="H27" s="16" t="str">
        <f>TRIM(IF(Stock[n°CC]=0,"",Stock[n°CC]&amp;""&amp;Stock[Pres]))</f>
        <v>2106300003vc1</v>
      </c>
      <c r="I27" s="19">
        <v>1</v>
      </c>
      <c r="J27" s="17" t="s">
        <v>46</v>
      </c>
      <c r="K27" s="21">
        <f>IF(Stock[n°CC]=0,"",SUMIF(Egreso[Código de barras],Stock[Código de barras],Egreso[Cantidad]))</f>
        <v>1</v>
      </c>
      <c r="L27" s="21">
        <f>IF(Stock[n°CC]=0,"",SUMIF(Ingreso[Código de barras],Stock[Código de barras],Ingreso[Cantidad]))</f>
        <v>1</v>
      </c>
      <c r="M27" s="22" t="str">
        <f>IF(Stock[n°CC]=0,"",IF(Stock[n°]=Stock[Egreso],"Si","No"))</f>
        <v>Si</v>
      </c>
      <c r="N27" s="22" t="str">
        <f>IF(OR(Stock[n°CC]=0,Stock[n°CC]="vacio"),"",IF(AND(Stock[n°]=Stock[Egreso],Stock[Egreso]=Stock[Ingreso]),"Si","No"))</f>
        <v>Si</v>
      </c>
      <c r="O27" s="18"/>
    </row>
    <row r="28" spans="1:15" x14ac:dyDescent="0.25">
      <c r="A28" s="15">
        <v>2106300011</v>
      </c>
      <c r="B28" s="15" t="s">
        <v>60</v>
      </c>
      <c r="C28" s="15" t="s">
        <v>181</v>
      </c>
      <c r="D28" s="35">
        <v>44348</v>
      </c>
      <c r="E28" s="37" t="s">
        <v>107</v>
      </c>
      <c r="F28" s="4" t="s">
        <v>10</v>
      </c>
      <c r="G28" s="14" t="s">
        <v>9</v>
      </c>
      <c r="H28" s="16" t="str">
        <f>TRIM(IF(Stock[n°CC]=0,"",Stock[n°CC]&amp;""&amp;Stock[Pres]))</f>
        <v>2106300011bac</v>
      </c>
      <c r="I28" s="19">
        <v>1</v>
      </c>
      <c r="J28" s="17" t="s">
        <v>46</v>
      </c>
      <c r="K28" s="21">
        <f>IF(Stock[n°CC]=0,"",SUMIF(Egreso[Código de barras],Stock[Código de barras],Egreso[Cantidad]))</f>
        <v>1</v>
      </c>
      <c r="L28" s="21">
        <f>IF(Stock[n°CC]=0,"",SUMIF(Ingreso[Código de barras],Stock[Código de barras],Ingreso[Cantidad]))</f>
        <v>0</v>
      </c>
      <c r="M28" s="22" t="str">
        <f>IF(Stock[n°CC]=0,"",IF(Stock[n°]=Stock[Egreso],"Si","No"))</f>
        <v>Si</v>
      </c>
      <c r="N28" s="22" t="str">
        <f>IF(OR(Stock[n°CC]=0,Stock[n°CC]="vacio"),"",IF(AND(Stock[n°]=Stock[Egreso],Stock[Egreso]=Stock[Ingreso]),"Si","No"))</f>
        <v>No</v>
      </c>
      <c r="O28" s="18"/>
    </row>
    <row r="29" spans="1:15" x14ac:dyDescent="0.25">
      <c r="A29" s="15">
        <v>2106300008</v>
      </c>
      <c r="B29" s="15" t="s">
        <v>60</v>
      </c>
      <c r="C29" s="15" t="s">
        <v>181</v>
      </c>
      <c r="D29" s="35">
        <v>44348</v>
      </c>
      <c r="E29" s="37" t="s">
        <v>107</v>
      </c>
      <c r="F29" s="4" t="s">
        <v>10</v>
      </c>
      <c r="G29" s="14" t="s">
        <v>11</v>
      </c>
      <c r="H29" s="16" t="str">
        <f>TRIM(IF(Stock[n°CC]=0,"",Stock[n°CC]&amp;""&amp;Stock[Pres]))</f>
        <v>2106300008vn1</v>
      </c>
      <c r="I29" s="19">
        <v>1</v>
      </c>
      <c r="J29" s="17" t="s">
        <v>46</v>
      </c>
      <c r="K29" s="21">
        <f>IF(Stock[n°CC]=0,"",SUMIF(Egreso[Código de barras],Stock[Código de barras],Egreso[Cantidad]))</f>
        <v>1</v>
      </c>
      <c r="L29" s="21">
        <f>IF(Stock[n°CC]=0,"",SUMIF(Ingreso[Código de barras],Stock[Código de barras],Ingreso[Cantidad]))</f>
        <v>0</v>
      </c>
      <c r="M29" s="22" t="str">
        <f>IF(Stock[n°CC]=0,"",IF(Stock[n°]=Stock[Egreso],"Si","No"))</f>
        <v>Si</v>
      </c>
      <c r="N29" s="22" t="str">
        <f>IF(OR(Stock[n°CC]=0,Stock[n°CC]="vacio"),"",IF(AND(Stock[n°]=Stock[Egreso],Stock[Egreso]=Stock[Ingreso]),"Si","No"))</f>
        <v>No</v>
      </c>
      <c r="O29" s="18"/>
    </row>
    <row r="30" spans="1:15" x14ac:dyDescent="0.25">
      <c r="A30" s="15">
        <v>2106300008</v>
      </c>
      <c r="B30" s="15" t="s">
        <v>60</v>
      </c>
      <c r="C30" s="15" t="s">
        <v>181</v>
      </c>
      <c r="D30" s="35">
        <v>44348</v>
      </c>
      <c r="E30" s="37" t="s">
        <v>107</v>
      </c>
      <c r="F30" s="4" t="s">
        <v>10</v>
      </c>
      <c r="G30" s="14" t="s">
        <v>4</v>
      </c>
      <c r="H30" s="16" t="str">
        <f>TRIM(IF(Stock[n°CC]=0,"",Stock[n°CC]&amp;""&amp;Stock[Pres]))</f>
        <v>2106300008pn</v>
      </c>
      <c r="I30" s="19">
        <v>1</v>
      </c>
      <c r="J30" s="17" t="s">
        <v>46</v>
      </c>
      <c r="K30" s="21">
        <f>IF(Stock[n°CC]=0,"",SUMIF(Egreso[Código de barras],Stock[Código de barras],Egreso[Cantidad]))</f>
        <v>1</v>
      </c>
      <c r="L30" s="21">
        <f>IF(Stock[n°CC]=0,"",SUMIF(Ingreso[Código de barras],Stock[Código de barras],Ingreso[Cantidad]))</f>
        <v>0</v>
      </c>
      <c r="M30" s="22" t="str">
        <f>IF(Stock[n°CC]=0,"",IF(Stock[n°]=Stock[Egreso],"Si","No"))</f>
        <v>Si</v>
      </c>
      <c r="N30" s="22" t="str">
        <f>IF(OR(Stock[n°CC]=0,Stock[n°CC]="vacio"),"",IF(AND(Stock[n°]=Stock[Egreso],Stock[Egreso]=Stock[Ingreso]),"Si","No"))</f>
        <v>No</v>
      </c>
      <c r="O30" s="18"/>
    </row>
    <row r="31" spans="1:15" x14ac:dyDescent="0.25">
      <c r="A31" s="15">
        <v>2106300008</v>
      </c>
      <c r="B31" s="15" t="s">
        <v>60</v>
      </c>
      <c r="C31" s="15" t="s">
        <v>181</v>
      </c>
      <c r="D31" s="35">
        <v>44348</v>
      </c>
      <c r="E31" s="37" t="s">
        <v>107</v>
      </c>
      <c r="F31" s="4" t="s">
        <v>10</v>
      </c>
      <c r="G31" s="14" t="s">
        <v>2</v>
      </c>
      <c r="H31" s="16" t="str">
        <f>TRIM(IF(Stock[n°CC]=0,"",Stock[n°CC]&amp;""&amp;Stock[Pres]))</f>
        <v>2106300008p50</v>
      </c>
      <c r="I31" s="19">
        <v>1</v>
      </c>
      <c r="J31" s="17" t="s">
        <v>46</v>
      </c>
      <c r="K31" s="21">
        <f>IF(Stock[n°CC]=0,"",SUMIF(Egreso[Código de barras],Stock[Código de barras],Egreso[Cantidad]))</f>
        <v>1</v>
      </c>
      <c r="L31" s="21">
        <f>IF(Stock[n°CC]=0,"",SUMIF(Ingreso[Código de barras],Stock[Código de barras],Ingreso[Cantidad]))</f>
        <v>0</v>
      </c>
      <c r="M31" s="22" t="str">
        <f>IF(Stock[n°CC]=0,"",IF(Stock[n°]=Stock[Egreso],"Si","No"))</f>
        <v>Si</v>
      </c>
      <c r="N31" s="22" t="str">
        <f>IF(OR(Stock[n°CC]=0,Stock[n°CC]="vacio"),"",IF(AND(Stock[n°]=Stock[Egreso],Stock[Egreso]=Stock[Ingreso]),"Si","No"))</f>
        <v>No</v>
      </c>
      <c r="O31" s="18"/>
    </row>
    <row r="32" spans="1:15" x14ac:dyDescent="0.25">
      <c r="A32" s="15">
        <v>2106300010</v>
      </c>
      <c r="B32" s="15" t="s">
        <v>60</v>
      </c>
      <c r="C32" s="15" t="s">
        <v>181</v>
      </c>
      <c r="D32" s="35">
        <v>44348</v>
      </c>
      <c r="E32" s="37" t="s">
        <v>108</v>
      </c>
      <c r="F32" s="4" t="s">
        <v>10</v>
      </c>
      <c r="G32" s="14" t="s">
        <v>9</v>
      </c>
      <c r="H32" s="16" t="str">
        <f>TRIM(IF(Stock[n°CC]=0,"",Stock[n°CC]&amp;""&amp;Stock[Pres]))</f>
        <v>2106300010bac</v>
      </c>
      <c r="I32" s="19">
        <v>1</v>
      </c>
      <c r="J32" s="17" t="s">
        <v>46</v>
      </c>
      <c r="K32" s="21">
        <f>IF(Stock[n°CC]=0,"",SUMIF(Egreso[Código de barras],Stock[Código de barras],Egreso[Cantidad]))</f>
        <v>1</v>
      </c>
      <c r="L32" s="21">
        <f>IF(Stock[n°CC]=0,"",SUMIF(Ingreso[Código de barras],Stock[Código de barras],Ingreso[Cantidad]))</f>
        <v>0</v>
      </c>
      <c r="M32" s="22" t="str">
        <f>IF(Stock[n°CC]=0,"",IF(Stock[n°]=Stock[Egreso],"Si","No"))</f>
        <v>Si</v>
      </c>
      <c r="N32" s="22" t="str">
        <f>IF(OR(Stock[n°CC]=0,Stock[n°CC]="vacio"),"",IF(AND(Stock[n°]=Stock[Egreso],Stock[Egreso]=Stock[Ingreso]),"Si","No"))</f>
        <v>No</v>
      </c>
      <c r="O32" s="18"/>
    </row>
    <row r="33" spans="1:15" x14ac:dyDescent="0.25">
      <c r="A33" s="15">
        <v>2106300007</v>
      </c>
      <c r="B33" s="15" t="s">
        <v>60</v>
      </c>
      <c r="C33" s="15" t="s">
        <v>181</v>
      </c>
      <c r="D33" s="35">
        <v>44348</v>
      </c>
      <c r="E33" s="37" t="s">
        <v>108</v>
      </c>
      <c r="F33" s="4" t="s">
        <v>10</v>
      </c>
      <c r="G33" s="14" t="s">
        <v>11</v>
      </c>
      <c r="H33" s="16" t="str">
        <f>TRIM(IF(Stock[n°CC]=0,"",Stock[n°CC]&amp;""&amp;Stock[Pres]))</f>
        <v>2106300007vn1</v>
      </c>
      <c r="I33" s="19">
        <v>1</v>
      </c>
      <c r="J33" s="17" t="s">
        <v>46</v>
      </c>
      <c r="K33" s="21">
        <f>IF(Stock[n°CC]=0,"",SUMIF(Egreso[Código de barras],Stock[Código de barras],Egreso[Cantidad]))</f>
        <v>1</v>
      </c>
      <c r="L33" s="21">
        <f>IF(Stock[n°CC]=0,"",SUMIF(Ingreso[Código de barras],Stock[Código de barras],Ingreso[Cantidad]))</f>
        <v>0</v>
      </c>
      <c r="M33" s="22" t="str">
        <f>IF(Stock[n°CC]=0,"",IF(Stock[n°]=Stock[Egreso],"Si","No"))</f>
        <v>Si</v>
      </c>
      <c r="N33" s="22" t="str">
        <f>IF(OR(Stock[n°CC]=0,Stock[n°CC]="vacio"),"",IF(AND(Stock[n°]=Stock[Egreso],Stock[Egreso]=Stock[Ingreso]),"Si","No"))</f>
        <v>No</v>
      </c>
      <c r="O33" s="18"/>
    </row>
    <row r="34" spans="1:15" x14ac:dyDescent="0.25">
      <c r="A34" s="15">
        <v>2106300007</v>
      </c>
      <c r="B34" s="15" t="s">
        <v>60</v>
      </c>
      <c r="C34" s="15" t="s">
        <v>181</v>
      </c>
      <c r="D34" s="35">
        <v>44348</v>
      </c>
      <c r="E34" s="37" t="s">
        <v>108</v>
      </c>
      <c r="F34" s="4" t="s">
        <v>10</v>
      </c>
      <c r="G34" s="14" t="s">
        <v>4</v>
      </c>
      <c r="H34" s="16" t="str">
        <f>TRIM(IF(Stock[n°CC]=0,"",Stock[n°CC]&amp;""&amp;Stock[Pres]))</f>
        <v>2106300007pn</v>
      </c>
      <c r="I34" s="19">
        <v>1</v>
      </c>
      <c r="J34" s="17" t="s">
        <v>46</v>
      </c>
      <c r="K34" s="21">
        <f>IF(Stock[n°CC]=0,"",SUMIF(Egreso[Código de barras],Stock[Código de barras],Egreso[Cantidad]))</f>
        <v>1</v>
      </c>
      <c r="L34" s="21">
        <f>IF(Stock[n°CC]=0,"",SUMIF(Ingreso[Código de barras],Stock[Código de barras],Ingreso[Cantidad]))</f>
        <v>0</v>
      </c>
      <c r="M34" s="22" t="str">
        <f>IF(Stock[n°CC]=0,"",IF(Stock[n°]=Stock[Egreso],"Si","No"))</f>
        <v>Si</v>
      </c>
      <c r="N34" s="22" t="str">
        <f>IF(OR(Stock[n°CC]=0,Stock[n°CC]="vacio"),"",IF(AND(Stock[n°]=Stock[Egreso],Stock[Egreso]=Stock[Ingreso]),"Si","No"))</f>
        <v>No</v>
      </c>
      <c r="O34" s="18"/>
    </row>
    <row r="35" spans="1:15" x14ac:dyDescent="0.25">
      <c r="A35" s="15">
        <v>2106300007</v>
      </c>
      <c r="B35" s="15" t="s">
        <v>60</v>
      </c>
      <c r="C35" s="15" t="s">
        <v>181</v>
      </c>
      <c r="D35" s="35">
        <v>44348</v>
      </c>
      <c r="E35" s="37" t="s">
        <v>108</v>
      </c>
      <c r="F35" s="4" t="s">
        <v>10</v>
      </c>
      <c r="G35" s="14" t="s">
        <v>2</v>
      </c>
      <c r="H35" s="16" t="str">
        <f>TRIM(IF(Stock[n°CC]=0,"",Stock[n°CC]&amp;""&amp;Stock[Pres]))</f>
        <v>2106300007p50</v>
      </c>
      <c r="I35" s="19">
        <v>1</v>
      </c>
      <c r="J35" s="17" t="s">
        <v>46</v>
      </c>
      <c r="K35" s="21">
        <f>IF(Stock[n°CC]=0,"",SUMIF(Egreso[Código de barras],Stock[Código de barras],Egreso[Cantidad]))</f>
        <v>1</v>
      </c>
      <c r="L35" s="21">
        <f>IF(Stock[n°CC]=0,"",SUMIF(Ingreso[Código de barras],Stock[Código de barras],Ingreso[Cantidad]))</f>
        <v>0</v>
      </c>
      <c r="M35" s="22" t="str">
        <f>IF(Stock[n°CC]=0,"",IF(Stock[n°]=Stock[Egreso],"Si","No"))</f>
        <v>Si</v>
      </c>
      <c r="N35" s="22" t="str">
        <f>IF(OR(Stock[n°CC]=0,Stock[n°CC]="vacio"),"",IF(AND(Stock[n°]=Stock[Egreso],Stock[Egreso]=Stock[Ingreso]),"Si","No"))</f>
        <v>No</v>
      </c>
      <c r="O35" s="18"/>
    </row>
    <row r="36" spans="1:15" x14ac:dyDescent="0.25">
      <c r="A36" s="15">
        <v>2106300009</v>
      </c>
      <c r="B36" s="15" t="s">
        <v>60</v>
      </c>
      <c r="C36" s="15" t="s">
        <v>181</v>
      </c>
      <c r="D36" s="35">
        <v>44348</v>
      </c>
      <c r="E36" s="37" t="s">
        <v>109</v>
      </c>
      <c r="F36" s="4" t="s">
        <v>10</v>
      </c>
      <c r="G36" s="14" t="s">
        <v>9</v>
      </c>
      <c r="H36" s="16" t="str">
        <f>TRIM(IF(Stock[n°CC]=0,"",Stock[n°CC]&amp;""&amp;Stock[Pres]))</f>
        <v>2106300009bac</v>
      </c>
      <c r="I36" s="19">
        <v>1</v>
      </c>
      <c r="J36" s="17" t="s">
        <v>46</v>
      </c>
      <c r="K36" s="21">
        <f>IF(Stock[n°CC]=0,"",SUMIF(Egreso[Código de barras],Stock[Código de barras],Egreso[Cantidad]))</f>
        <v>1</v>
      </c>
      <c r="L36" s="21">
        <f>IF(Stock[n°CC]=0,"",SUMIF(Ingreso[Código de barras],Stock[Código de barras],Ingreso[Cantidad]))</f>
        <v>0</v>
      </c>
      <c r="M36" s="22" t="str">
        <f>IF(Stock[n°CC]=0,"",IF(Stock[n°]=Stock[Egreso],"Si","No"))</f>
        <v>Si</v>
      </c>
      <c r="N36" s="22" t="str">
        <f>IF(OR(Stock[n°CC]=0,Stock[n°CC]="vacio"),"",IF(AND(Stock[n°]=Stock[Egreso],Stock[Egreso]=Stock[Ingreso]),"Si","No"))</f>
        <v>No</v>
      </c>
      <c r="O36" s="18"/>
    </row>
    <row r="37" spans="1:15" x14ac:dyDescent="0.25">
      <c r="A37" s="15">
        <v>2106300006</v>
      </c>
      <c r="B37" s="15" t="s">
        <v>60</v>
      </c>
      <c r="C37" s="15" t="s">
        <v>181</v>
      </c>
      <c r="D37" s="35">
        <v>44348</v>
      </c>
      <c r="E37" s="37" t="s">
        <v>109</v>
      </c>
      <c r="F37" s="4" t="s">
        <v>10</v>
      </c>
      <c r="G37" s="14" t="s">
        <v>11</v>
      </c>
      <c r="H37" s="16" t="str">
        <f>TRIM(IF(Stock[n°CC]=0,"",Stock[n°CC]&amp;""&amp;Stock[Pres]))</f>
        <v>2106300006vn1</v>
      </c>
      <c r="I37" s="19">
        <v>1</v>
      </c>
      <c r="J37" s="17" t="s">
        <v>46</v>
      </c>
      <c r="K37" s="21">
        <f>IF(Stock[n°CC]=0,"",SUMIF(Egreso[Código de barras],Stock[Código de barras],Egreso[Cantidad]))</f>
        <v>1</v>
      </c>
      <c r="L37" s="21">
        <f>IF(Stock[n°CC]=0,"",SUMIF(Ingreso[Código de barras],Stock[Código de barras],Ingreso[Cantidad]))</f>
        <v>0</v>
      </c>
      <c r="M37" s="22" t="str">
        <f>IF(Stock[n°CC]=0,"",IF(Stock[n°]=Stock[Egreso],"Si","No"))</f>
        <v>Si</v>
      </c>
      <c r="N37" s="22" t="str">
        <f>IF(OR(Stock[n°CC]=0,Stock[n°CC]="vacio"),"",IF(AND(Stock[n°]=Stock[Egreso],Stock[Egreso]=Stock[Ingreso]),"Si","No"))</f>
        <v>No</v>
      </c>
      <c r="O37" s="18"/>
    </row>
    <row r="38" spans="1:15" x14ac:dyDescent="0.25">
      <c r="A38" s="15">
        <v>2106300006</v>
      </c>
      <c r="B38" s="15" t="s">
        <v>60</v>
      </c>
      <c r="C38" s="15" t="s">
        <v>181</v>
      </c>
      <c r="D38" s="35">
        <v>44348</v>
      </c>
      <c r="E38" s="37" t="s">
        <v>109</v>
      </c>
      <c r="F38" s="4" t="s">
        <v>10</v>
      </c>
      <c r="G38" s="14" t="s">
        <v>4</v>
      </c>
      <c r="H38" s="16" t="str">
        <f>TRIM(IF(Stock[n°CC]=0,"",Stock[n°CC]&amp;""&amp;Stock[Pres]))</f>
        <v>2106300006pn</v>
      </c>
      <c r="I38" s="19">
        <v>1</v>
      </c>
      <c r="J38" s="17" t="s">
        <v>46</v>
      </c>
      <c r="K38" s="21">
        <f>IF(Stock[n°CC]=0,"",SUMIF(Egreso[Código de barras],Stock[Código de barras],Egreso[Cantidad]))</f>
        <v>1</v>
      </c>
      <c r="L38" s="21">
        <f>IF(Stock[n°CC]=0,"",SUMIF(Ingreso[Código de barras],Stock[Código de barras],Ingreso[Cantidad]))</f>
        <v>0</v>
      </c>
      <c r="M38" s="22" t="str">
        <f>IF(Stock[n°CC]=0,"",IF(Stock[n°]=Stock[Egreso],"Si","No"))</f>
        <v>Si</v>
      </c>
      <c r="N38" s="22" t="str">
        <f>IF(OR(Stock[n°CC]=0,Stock[n°CC]="vacio"),"",IF(AND(Stock[n°]=Stock[Egreso],Stock[Egreso]=Stock[Ingreso]),"Si","No"))</f>
        <v>No</v>
      </c>
      <c r="O38" s="18"/>
    </row>
    <row r="39" spans="1:15" x14ac:dyDescent="0.25">
      <c r="A39" s="15">
        <v>2106300006</v>
      </c>
      <c r="B39" s="15" t="s">
        <v>60</v>
      </c>
      <c r="C39" s="15" t="s">
        <v>181</v>
      </c>
      <c r="D39" s="35">
        <v>44348</v>
      </c>
      <c r="E39" s="37" t="s">
        <v>109</v>
      </c>
      <c r="F39" s="4" t="s">
        <v>10</v>
      </c>
      <c r="G39" s="14" t="s">
        <v>2</v>
      </c>
      <c r="H39" s="16" t="str">
        <f>TRIM(IF(Stock[n°CC]=0,"",Stock[n°CC]&amp;""&amp;Stock[Pres]))</f>
        <v>2106300006p50</v>
      </c>
      <c r="I39" s="19">
        <v>1</v>
      </c>
      <c r="J39" s="17" t="s">
        <v>46</v>
      </c>
      <c r="K39" s="21">
        <f>IF(Stock[n°CC]=0,"",SUMIF(Egreso[Código de barras],Stock[Código de barras],Egreso[Cantidad]))</f>
        <v>1</v>
      </c>
      <c r="L39" s="21">
        <f>IF(Stock[n°CC]=0,"",SUMIF(Ingreso[Código de barras],Stock[Código de barras],Ingreso[Cantidad]))</f>
        <v>0</v>
      </c>
      <c r="M39" s="22" t="str">
        <f>IF(Stock[n°CC]=0,"",IF(Stock[n°]=Stock[Egreso],"Si","No"))</f>
        <v>Si</v>
      </c>
      <c r="N39" s="22" t="str">
        <f>IF(OR(Stock[n°CC]=0,Stock[n°CC]="vacio"),"",IF(AND(Stock[n°]=Stock[Egreso],Stock[Egreso]=Stock[Ingreso]),"Si","No"))</f>
        <v>No</v>
      </c>
      <c r="O39" s="18"/>
    </row>
    <row r="40" spans="1:15" x14ac:dyDescent="0.25">
      <c r="A40" s="15">
        <v>2106300005</v>
      </c>
      <c r="B40" s="15" t="s">
        <v>60</v>
      </c>
      <c r="C40" s="15" t="s">
        <v>181</v>
      </c>
      <c r="D40" s="35">
        <v>44348</v>
      </c>
      <c r="E40" s="37" t="s">
        <v>91</v>
      </c>
      <c r="F40" s="4" t="s">
        <v>50</v>
      </c>
      <c r="G40" s="14" t="s">
        <v>7</v>
      </c>
      <c r="H40" s="16" t="str">
        <f>TRIM(IF(Stock[n°CC]=0,"",Stock[n°CC]&amp;""&amp;Stock[Pres]))</f>
        <v>2106300005p12</v>
      </c>
      <c r="I40" s="19">
        <v>1</v>
      </c>
      <c r="J40" s="17" t="s">
        <v>49</v>
      </c>
      <c r="K40" s="21">
        <f>IF(Stock[n°CC]=0,"",SUMIF(Egreso[Código de barras],Stock[Código de barras],Egreso[Cantidad]))</f>
        <v>1</v>
      </c>
      <c r="L40" s="21">
        <f>IF(Stock[n°CC]=0,"",SUMIF(Ingreso[Código de barras],Stock[Código de barras],Ingreso[Cantidad]))</f>
        <v>0</v>
      </c>
      <c r="M40" s="22" t="str">
        <f>IF(Stock[n°CC]=0,"",IF(Stock[n°]=Stock[Egreso],"Si","No"))</f>
        <v>Si</v>
      </c>
      <c r="N40" s="22" t="str">
        <f>IF(OR(Stock[n°CC]=0,Stock[n°CC]="vacio"),"",IF(AND(Stock[n°]=Stock[Egreso],Stock[Egreso]=Stock[Ingreso]),"Si","No"))</f>
        <v>No</v>
      </c>
      <c r="O40" s="7" t="s">
        <v>110</v>
      </c>
    </row>
    <row r="41" spans="1:15" x14ac:dyDescent="0.25">
      <c r="A41" s="15">
        <v>2106300004</v>
      </c>
      <c r="B41" s="15" t="s">
        <v>60</v>
      </c>
      <c r="C41" s="15" t="s">
        <v>181</v>
      </c>
      <c r="D41" s="35">
        <v>44348</v>
      </c>
      <c r="E41" s="37" t="s">
        <v>92</v>
      </c>
      <c r="F41" s="4" t="s">
        <v>50</v>
      </c>
      <c r="G41" s="14" t="s">
        <v>7</v>
      </c>
      <c r="H41" s="16" t="str">
        <f>TRIM(IF(Stock[n°CC]=0,"",Stock[n°CC]&amp;""&amp;Stock[Pres]))</f>
        <v>2106300004p12</v>
      </c>
      <c r="I41" s="19">
        <v>1</v>
      </c>
      <c r="J41" s="17" t="s">
        <v>49</v>
      </c>
      <c r="K41" s="21">
        <f>IF(Stock[n°CC]=0,"",SUMIF(Egreso[Código de barras],Stock[Código de barras],Egreso[Cantidad]))</f>
        <v>1</v>
      </c>
      <c r="L41" s="21">
        <f>IF(Stock[n°CC]=0,"",SUMIF(Ingreso[Código de barras],Stock[Código de barras],Ingreso[Cantidad]))</f>
        <v>0</v>
      </c>
      <c r="M41" s="22" t="str">
        <f>IF(Stock[n°CC]=0,"",IF(Stock[n°]=Stock[Egreso],"Si","No"))</f>
        <v>Si</v>
      </c>
      <c r="N41" s="22" t="str">
        <f>IF(OR(Stock[n°CC]=0,Stock[n°CC]="vacio"),"",IF(AND(Stock[n°]=Stock[Egreso],Stock[Egreso]=Stock[Ingreso]),"Si","No"))</f>
        <v>No</v>
      </c>
      <c r="O41" s="7" t="s">
        <v>110</v>
      </c>
    </row>
    <row r="42" spans="1:15" x14ac:dyDescent="0.25">
      <c r="A42" s="15">
        <v>2106300003</v>
      </c>
      <c r="B42" s="15" t="s">
        <v>60</v>
      </c>
      <c r="C42" s="15" t="s">
        <v>181</v>
      </c>
      <c r="D42" s="35">
        <v>44348</v>
      </c>
      <c r="E42" s="37" t="s">
        <v>93</v>
      </c>
      <c r="F42" s="4" t="s">
        <v>50</v>
      </c>
      <c r="G42" s="14" t="s">
        <v>7</v>
      </c>
      <c r="H42" s="16" t="str">
        <f>TRIM(IF(Stock[n°CC]=0,"",Stock[n°CC]&amp;""&amp;Stock[Pres]))</f>
        <v>2106300003p12</v>
      </c>
      <c r="I42" s="19">
        <v>1</v>
      </c>
      <c r="J42" s="17" t="s">
        <v>49</v>
      </c>
      <c r="K42" s="21">
        <f>IF(Stock[n°CC]=0,"",SUMIF(Egreso[Código de barras],Stock[Código de barras],Egreso[Cantidad]))</f>
        <v>1</v>
      </c>
      <c r="L42" s="21">
        <f>IF(Stock[n°CC]=0,"",SUMIF(Ingreso[Código de barras],Stock[Código de barras],Ingreso[Cantidad]))</f>
        <v>1</v>
      </c>
      <c r="M42" s="22" t="str">
        <f>IF(Stock[n°CC]=0,"",IF(Stock[n°]=Stock[Egreso],"Si","No"))</f>
        <v>Si</v>
      </c>
      <c r="N42" s="22" t="str">
        <f>IF(OR(Stock[n°CC]=0,Stock[n°CC]="vacio"),"",IF(AND(Stock[n°]=Stock[Egreso],Stock[Egreso]=Stock[Ingreso]),"Si","No"))</f>
        <v>Si</v>
      </c>
      <c r="O42" s="7" t="s">
        <v>110</v>
      </c>
    </row>
    <row r="43" spans="1:15" x14ac:dyDescent="0.25">
      <c r="A43" s="5" t="s">
        <v>48</v>
      </c>
      <c r="B43" s="15"/>
      <c r="C43" s="15"/>
      <c r="D43" s="15"/>
      <c r="E43" s="35"/>
      <c r="F43" s="14"/>
      <c r="G43" s="14"/>
      <c r="H43" s="16" t="str">
        <f>TRIM(IF(Stock[n°CC]=0,"",Stock[n°CC]&amp;""&amp;Stock[Pres]))</f>
        <v>vacio</v>
      </c>
      <c r="I43" s="19">
        <v>1</v>
      </c>
      <c r="J43" s="17"/>
      <c r="K43" s="21">
        <f>IF(Stock[n°CC]=0,"",SUMIF(Egreso[Código de barras],Stock[Código de barras],Egreso[Cantidad]))</f>
        <v>3</v>
      </c>
      <c r="L43" s="21">
        <f>IF(Stock[n°CC]=0,"",SUMIF(Ingreso[Código de barras],Stock[Código de barras],Ingreso[Cantidad]))</f>
        <v>2</v>
      </c>
      <c r="M43" s="22" t="str">
        <f>IF(Stock[n°CC]=0,"",IF(Stock[n°]=Stock[Egreso],"Si","No"))</f>
        <v>No</v>
      </c>
      <c r="N43" s="22" t="str">
        <f>IF(OR(Stock[n°CC]=0,Stock[n°CC]="vacio"),"",IF(AND(Stock[n°]=Stock[Egreso],Stock[Egreso]=Stock[Ingreso]),"Si","No"))</f>
        <v/>
      </c>
      <c r="O43" s="18"/>
    </row>
    <row r="44" spans="1:15" x14ac:dyDescent="0.25">
      <c r="A44" s="15">
        <v>2107020001</v>
      </c>
      <c r="B44" s="15">
        <v>2072</v>
      </c>
      <c r="C44" s="13" t="s">
        <v>182</v>
      </c>
      <c r="D44" s="35">
        <v>44378</v>
      </c>
      <c r="E44" s="37" t="s">
        <v>62</v>
      </c>
      <c r="F44" s="4" t="s">
        <v>10</v>
      </c>
      <c r="G44" s="14" t="s">
        <v>9</v>
      </c>
      <c r="H44" s="16" t="str">
        <f>TRIM(IF(Stock[n°CC]=0,"",Stock[n°CC]&amp;""&amp;Stock[Pres]))</f>
        <v>2107020001bac</v>
      </c>
      <c r="I44" s="19">
        <v>1</v>
      </c>
      <c r="J44" s="17" t="s">
        <v>46</v>
      </c>
      <c r="K44" s="21">
        <f>IF(Stock[n°CC]=0,"",SUMIF(Egreso[Código de barras],Stock[Código de barras],Egreso[Cantidad]))</f>
        <v>1</v>
      </c>
      <c r="L44" s="21">
        <f>IF(Stock[n°CC]=0,"",SUMIF(Ingreso[Código de barras],Stock[Código de barras],Ingreso[Cantidad]))</f>
        <v>0</v>
      </c>
      <c r="M44" s="22" t="str">
        <f>IF(Stock[n°CC]=0,"",IF(Stock[n°]=Stock[Egreso],"Si","No"))</f>
        <v>Si</v>
      </c>
      <c r="N44" s="22" t="str">
        <f>IF(OR(Stock[n°CC]=0,Stock[n°CC]="vacio"),"",IF(AND(Stock[n°]=Stock[Egreso],Stock[Egreso]=Stock[Ingreso]),"Si","No"))</f>
        <v>No</v>
      </c>
      <c r="O44" s="18"/>
    </row>
    <row r="45" spans="1:15" x14ac:dyDescent="0.25">
      <c r="A45" s="15">
        <v>2107020002</v>
      </c>
      <c r="B45" s="15">
        <v>2072</v>
      </c>
      <c r="C45" s="13" t="s">
        <v>182</v>
      </c>
      <c r="D45" s="35">
        <v>44378</v>
      </c>
      <c r="E45" s="37" t="s">
        <v>62</v>
      </c>
      <c r="F45" s="4" t="s">
        <v>10</v>
      </c>
      <c r="G45" s="14" t="s">
        <v>4</v>
      </c>
      <c r="H45" s="16" t="str">
        <f>TRIM(IF(Stock[n°CC]=0,"",Stock[n°CC]&amp;""&amp;Stock[Pres]))</f>
        <v>2107020002pn</v>
      </c>
      <c r="I45" s="19">
        <v>1</v>
      </c>
      <c r="J45" s="17" t="s">
        <v>46</v>
      </c>
      <c r="K45" s="21">
        <f>IF(Stock[n°CC]=0,"",SUMIF(Egreso[Código de barras],Stock[Código de barras],Egreso[Cantidad]))</f>
        <v>1</v>
      </c>
      <c r="L45" s="21">
        <f>IF(Stock[n°CC]=0,"",SUMIF(Ingreso[Código de barras],Stock[Código de barras],Ingreso[Cantidad]))</f>
        <v>0</v>
      </c>
      <c r="M45" s="22" t="str">
        <f>IF(Stock[n°CC]=0,"",IF(Stock[n°]=Stock[Egreso],"Si","No"))</f>
        <v>Si</v>
      </c>
      <c r="N45" s="22" t="str">
        <f>IF(OR(Stock[n°CC]=0,Stock[n°CC]="vacio"),"",IF(AND(Stock[n°]=Stock[Egreso],Stock[Egreso]=Stock[Ingreso]),"Si","No"))</f>
        <v>No</v>
      </c>
      <c r="O45" s="18"/>
    </row>
    <row r="46" spans="1:15" x14ac:dyDescent="0.25">
      <c r="A46" s="5" t="s">
        <v>48</v>
      </c>
      <c r="B46" s="15"/>
      <c r="C46" s="15"/>
      <c r="D46" s="15"/>
      <c r="E46" s="35"/>
      <c r="F46" s="14"/>
      <c r="G46" s="14"/>
      <c r="H46" s="16" t="str">
        <f>TRIM(IF(Stock[n°CC]=0,"",Stock[n°CC]&amp;""&amp;Stock[Pres]))</f>
        <v>vacio</v>
      </c>
      <c r="I46" s="19">
        <v>1</v>
      </c>
      <c r="J46" s="17"/>
      <c r="K46" s="21">
        <f>IF(Stock[n°CC]=0,"",SUMIF(Egreso[Código de barras],Stock[Código de barras],Egreso[Cantidad]))</f>
        <v>3</v>
      </c>
      <c r="L46" s="21">
        <f>IF(Stock[n°CC]=0,"",SUMIF(Ingreso[Código de barras],Stock[Código de barras],Ingreso[Cantidad]))</f>
        <v>2</v>
      </c>
      <c r="M46" s="22" t="str">
        <f>IF(Stock[n°CC]=0,"",IF(Stock[n°]=Stock[Egreso],"Si","No"))</f>
        <v>No</v>
      </c>
      <c r="N46" s="22" t="str">
        <f>IF(OR(Stock[n°CC]=0,Stock[n°CC]="vacio"),"",IF(AND(Stock[n°]=Stock[Egreso],Stock[Egreso]=Stock[Ingreso]),"Si","No"))</f>
        <v/>
      </c>
      <c r="O46" s="18"/>
    </row>
    <row r="47" spans="1:15" x14ac:dyDescent="0.25">
      <c r="A47" s="15">
        <v>2107020006</v>
      </c>
      <c r="B47" s="13" t="s">
        <v>12</v>
      </c>
      <c r="C47" s="13" t="s">
        <v>187</v>
      </c>
      <c r="D47" s="35">
        <v>44378</v>
      </c>
      <c r="E47" s="38" t="s">
        <v>61</v>
      </c>
      <c r="F47" s="12" t="s">
        <v>0</v>
      </c>
      <c r="G47" s="12" t="s">
        <v>7</v>
      </c>
      <c r="H47" s="16" t="str">
        <f>TRIM(IF(Stock[n°CC]=0,"",Stock[n°CC]&amp;""&amp;Stock[Pres]))</f>
        <v>2107020006p12</v>
      </c>
      <c r="I47" s="19">
        <v>1</v>
      </c>
      <c r="J47" s="17" t="s">
        <v>46</v>
      </c>
      <c r="K47" s="21">
        <f>IF(Stock[n°CC]=0,"",SUMIF(Egreso[Código de barras],Stock[Código de barras],Egreso[Cantidad]))</f>
        <v>1</v>
      </c>
      <c r="L47" s="21">
        <f>IF(Stock[n°CC]=0,"",SUMIF(Ingreso[Código de barras],Stock[Código de barras],Ingreso[Cantidad]))</f>
        <v>0</v>
      </c>
      <c r="M47" s="22" t="str">
        <f>IF(Stock[n°CC]=0,"",IF(Stock[n°]=Stock[Egreso],"Si","No"))</f>
        <v>Si</v>
      </c>
      <c r="N47" s="22" t="str">
        <f>IF(OR(Stock[n°CC]=0,Stock[n°CC]="vacio"),"",IF(AND(Stock[n°]=Stock[Egreso],Stock[Egreso]=Stock[Ingreso]),"Si","No"))</f>
        <v>No</v>
      </c>
      <c r="O47" s="18"/>
    </row>
    <row r="48" spans="1:15" x14ac:dyDescent="0.25">
      <c r="A48" s="15">
        <v>2107020006</v>
      </c>
      <c r="B48" s="13" t="s">
        <v>12</v>
      </c>
      <c r="C48" s="13" t="s">
        <v>187</v>
      </c>
      <c r="D48" s="35">
        <v>44378</v>
      </c>
      <c r="E48" s="38" t="s">
        <v>61</v>
      </c>
      <c r="F48" s="12" t="s">
        <v>0</v>
      </c>
      <c r="G48" s="12" t="s">
        <v>2</v>
      </c>
      <c r="H48" s="16" t="str">
        <f>TRIM(IF(Stock[n°CC]=0,"",Stock[n°CC]&amp;""&amp;Stock[Pres]))</f>
        <v>2107020006p50</v>
      </c>
      <c r="I48" s="19">
        <v>1</v>
      </c>
      <c r="J48" s="17" t="s">
        <v>46</v>
      </c>
      <c r="K48" s="21">
        <f>IF(Stock[n°CC]=0,"",SUMIF(Egreso[Código de barras],Stock[Código de barras],Egreso[Cantidad]))</f>
        <v>1</v>
      </c>
      <c r="L48" s="21">
        <f>IF(Stock[n°CC]=0,"",SUMIF(Ingreso[Código de barras],Stock[Código de barras],Ingreso[Cantidad]))</f>
        <v>0</v>
      </c>
      <c r="M48" s="22" t="str">
        <f>IF(Stock[n°CC]=0,"",IF(Stock[n°]=Stock[Egreso],"Si","No"))</f>
        <v>Si</v>
      </c>
      <c r="N48" s="22" t="str">
        <f>IF(OR(Stock[n°CC]=0,Stock[n°CC]="vacio"),"",IF(AND(Stock[n°]=Stock[Egreso],Stock[Egreso]=Stock[Ingreso]),"Si","No"))</f>
        <v>No</v>
      </c>
      <c r="O48" s="18"/>
    </row>
    <row r="49" spans="1:15" x14ac:dyDescent="0.25">
      <c r="A49" s="15"/>
      <c r="B49" s="13"/>
      <c r="C49" s="13"/>
      <c r="D49" s="35"/>
      <c r="E49" s="35"/>
      <c r="F49" s="4"/>
      <c r="G49" s="14"/>
      <c r="H49" s="16" t="str">
        <f>TRIM(IF(Stock[n°CC]=0,"",Stock[n°CC]&amp;""&amp;Stock[Pres]))</f>
        <v/>
      </c>
      <c r="I49" s="19">
        <v>1</v>
      </c>
      <c r="J49" s="17" t="s">
        <v>47</v>
      </c>
      <c r="K49" s="21" t="str">
        <f>IF(Stock[n°CC]=0,"",SUMIF(Egreso[Código de barras],Stock[Código de barras],Egreso[Cantidad]))</f>
        <v/>
      </c>
      <c r="L49" s="21" t="str">
        <f>IF(Stock[n°CC]=0,"",SUMIF(Ingreso[Código de barras],Stock[Código de barras],Ingreso[Cantidad]))</f>
        <v/>
      </c>
      <c r="M49" s="22" t="str">
        <f>IF(Stock[n°CC]=0,"",IF(Stock[n°]=Stock[Egreso],"Si","No"))</f>
        <v/>
      </c>
      <c r="N49" s="22" t="str">
        <f>IF(OR(Stock[n°CC]=0,Stock[n°CC]="vacio"),"",IF(AND(Stock[n°]=Stock[Egreso],Stock[Egreso]=Stock[Ingreso]),"Si","No"))</f>
        <v/>
      </c>
      <c r="O49" s="7"/>
    </row>
    <row r="50" spans="1:15" x14ac:dyDescent="0.25">
      <c r="A50" s="15"/>
      <c r="B50" s="13"/>
      <c r="C50" s="13"/>
      <c r="D50" s="35"/>
      <c r="E50" s="35"/>
      <c r="F50" s="4"/>
      <c r="G50" s="14"/>
      <c r="H50" s="16" t="str">
        <f>TRIM(IF(Stock[n°CC]=0,"",Stock[n°CC]&amp;""&amp;Stock[Pres]))</f>
        <v/>
      </c>
      <c r="I50" s="19">
        <v>1</v>
      </c>
      <c r="J50" s="17" t="s">
        <v>47</v>
      </c>
      <c r="K50" s="21" t="str">
        <f>IF(Stock[n°CC]=0,"",SUMIF(Egreso[Código de barras],Stock[Código de barras],Egreso[Cantidad]))</f>
        <v/>
      </c>
      <c r="L50" s="21" t="str">
        <f>IF(Stock[n°CC]=0,"",SUMIF(Ingreso[Código de barras],Stock[Código de barras],Ingreso[Cantidad]))</f>
        <v/>
      </c>
      <c r="M50" s="22" t="str">
        <f>IF(Stock[n°CC]=0,"",IF(Stock[n°]=Stock[Egreso],"Si","No"))</f>
        <v/>
      </c>
      <c r="N50" s="22" t="str">
        <f>IF(OR(Stock[n°CC]=0,Stock[n°CC]="vacio"),"",IF(AND(Stock[n°]=Stock[Egreso],Stock[Egreso]=Stock[Ingreso]),"Si","No"))</f>
        <v/>
      </c>
      <c r="O50" s="7"/>
    </row>
    <row r="51" spans="1:15" x14ac:dyDescent="0.25">
      <c r="A51" s="15"/>
      <c r="B51" s="13"/>
      <c r="C51" s="13"/>
      <c r="D51" s="35"/>
      <c r="E51" s="35"/>
      <c r="F51" s="4"/>
      <c r="G51" s="14"/>
      <c r="H51" s="16" t="str">
        <f>TRIM(IF(Stock[n°CC]=0,"",Stock[n°CC]&amp;""&amp;Stock[Pres]))</f>
        <v/>
      </c>
      <c r="I51" s="19">
        <v>1</v>
      </c>
      <c r="J51" s="17" t="s">
        <v>47</v>
      </c>
      <c r="K51" s="21" t="str">
        <f>IF(Stock[n°CC]=0,"",SUMIF(Egreso[Código de barras],Stock[Código de barras],Egreso[Cantidad]))</f>
        <v/>
      </c>
      <c r="L51" s="21" t="str">
        <f>IF(Stock[n°CC]=0,"",SUMIF(Ingreso[Código de barras],Stock[Código de barras],Ingreso[Cantidad]))</f>
        <v/>
      </c>
      <c r="M51" s="22" t="str">
        <f>IF(Stock[n°CC]=0,"",IF(Stock[n°]=Stock[Egreso],"Si","No"))</f>
        <v/>
      </c>
      <c r="N51" s="22" t="str">
        <f>IF(OR(Stock[n°CC]=0,Stock[n°CC]="vacio"),"",IF(AND(Stock[n°]=Stock[Egreso],Stock[Egreso]=Stock[Ingreso]),"Si","No"))</f>
        <v/>
      </c>
      <c r="O51" s="7"/>
    </row>
    <row r="52" spans="1:15" x14ac:dyDescent="0.25">
      <c r="A52" s="5" t="s">
        <v>48</v>
      </c>
      <c r="B52" s="15"/>
      <c r="C52" s="15"/>
      <c r="D52" s="15"/>
      <c r="E52" s="35"/>
      <c r="F52" s="14"/>
      <c r="G52" s="14"/>
      <c r="H52" s="16" t="str">
        <f>TRIM(IF(Stock[n°CC]=0,"",Stock[n°CC]&amp;""&amp;Stock[Pres]))</f>
        <v>vacio</v>
      </c>
      <c r="I52" s="19">
        <v>1</v>
      </c>
      <c r="J52" s="17"/>
      <c r="K52" s="21">
        <f>IF(Stock[n°CC]=0,"",SUMIF(Egreso[Código de barras],Stock[Código de barras],Egreso[Cantidad]))</f>
        <v>3</v>
      </c>
      <c r="L52" s="21">
        <f>IF(Stock[n°CC]=0,"",SUMIF(Ingreso[Código de barras],Stock[Código de barras],Ingreso[Cantidad]))</f>
        <v>2</v>
      </c>
      <c r="M52" s="22" t="str">
        <f>IF(Stock[n°CC]=0,"",IF(Stock[n°]=Stock[Egreso],"Si","No"))</f>
        <v>No</v>
      </c>
      <c r="N52" s="22" t="str">
        <f>IF(OR(Stock[n°CC]=0,Stock[n°CC]="vacio"),"",IF(AND(Stock[n°]=Stock[Egreso],Stock[Egreso]=Stock[Ingreso]),"Si","No"))</f>
        <v/>
      </c>
      <c r="O52" s="18"/>
    </row>
    <row r="53" spans="1:15" x14ac:dyDescent="0.25">
      <c r="A53" s="15">
        <v>2107050001</v>
      </c>
      <c r="B53" s="32" t="s">
        <v>59</v>
      </c>
      <c r="C53" s="32" t="s">
        <v>183</v>
      </c>
      <c r="D53" s="35">
        <v>44378</v>
      </c>
      <c r="E53" s="38" t="s">
        <v>61</v>
      </c>
      <c r="F53" s="33" t="s">
        <v>0</v>
      </c>
      <c r="G53" s="14" t="s">
        <v>8</v>
      </c>
      <c r="H53" s="16" t="str">
        <f>TRIM(IF(Stock[n°CC]=0,"",Stock[n°CC]&amp;""&amp;Stock[Pres]))</f>
        <v>2107050001ho3</v>
      </c>
      <c r="I53" s="19">
        <v>1</v>
      </c>
      <c r="J53" s="17" t="s">
        <v>46</v>
      </c>
      <c r="K53" s="21">
        <f>IF(Stock[n°CC]=0,"",SUMIF(Egreso[Código de barras],Stock[Código de barras],Egreso[Cantidad]))</f>
        <v>0</v>
      </c>
      <c r="L53" s="21">
        <f>IF(Stock[n°CC]=0,"",SUMIF(Ingreso[Código de barras],Stock[Código de barras],Ingreso[Cantidad]))</f>
        <v>0</v>
      </c>
      <c r="M53" s="22" t="str">
        <f>IF(Stock[n°CC]=0,"",IF(Stock[n°]=Stock[Egreso],"Si","No"))</f>
        <v>No</v>
      </c>
      <c r="N53" s="22" t="str">
        <f>IF(OR(Stock[n°CC]=0,Stock[n°CC]="vacio"),"",IF(AND(Stock[n°]=Stock[Egreso],Stock[Egreso]=Stock[Ingreso]),"Si","No"))</f>
        <v>No</v>
      </c>
      <c r="O53" s="18"/>
    </row>
    <row r="54" spans="1:15" x14ac:dyDescent="0.25">
      <c r="A54" s="15">
        <v>2107050001</v>
      </c>
      <c r="B54" s="32" t="s">
        <v>59</v>
      </c>
      <c r="C54" s="32" t="s">
        <v>183</v>
      </c>
      <c r="D54" s="35">
        <v>44378</v>
      </c>
      <c r="E54" s="38" t="s">
        <v>61</v>
      </c>
      <c r="F54" s="33" t="s">
        <v>0</v>
      </c>
      <c r="G54" s="14" t="s">
        <v>4</v>
      </c>
      <c r="H54" s="16" t="str">
        <f>TRIM(IF(Stock[n°CC]=0,"",Stock[n°CC]&amp;""&amp;Stock[Pres]))</f>
        <v>2107050001pn</v>
      </c>
      <c r="I54" s="19">
        <v>1</v>
      </c>
      <c r="J54" s="17" t="s">
        <v>46</v>
      </c>
      <c r="K54" s="21">
        <f>IF(Stock[n°CC]=0,"",SUMIF(Egreso[Código de barras],Stock[Código de barras],Egreso[Cantidad]))</f>
        <v>0</v>
      </c>
      <c r="L54" s="21">
        <f>IF(Stock[n°CC]=0,"",SUMIF(Ingreso[Código de barras],Stock[Código de barras],Ingreso[Cantidad]))</f>
        <v>0</v>
      </c>
      <c r="M54" s="22" t="str">
        <f>IF(Stock[n°CC]=0,"",IF(Stock[n°]=Stock[Egreso],"Si","No"))</f>
        <v>No</v>
      </c>
      <c r="N54" s="22" t="str">
        <f>IF(OR(Stock[n°CC]=0,Stock[n°CC]="vacio"),"",IF(AND(Stock[n°]=Stock[Egreso],Stock[Egreso]=Stock[Ingreso]),"Si","No"))</f>
        <v>No</v>
      </c>
      <c r="O54" s="18"/>
    </row>
    <row r="55" spans="1:15" x14ac:dyDescent="0.25">
      <c r="A55" s="15">
        <v>2107050001</v>
      </c>
      <c r="B55" s="32" t="s">
        <v>59</v>
      </c>
      <c r="C55" s="32" t="s">
        <v>183</v>
      </c>
      <c r="D55" s="35">
        <v>44378</v>
      </c>
      <c r="E55" s="38" t="s">
        <v>61</v>
      </c>
      <c r="F55" s="33" t="s">
        <v>0</v>
      </c>
      <c r="G55" s="14" t="s">
        <v>2</v>
      </c>
      <c r="H55" s="16" t="str">
        <f>TRIM(IF(Stock[n°CC]=0,"",Stock[n°CC]&amp;""&amp;Stock[Pres]))</f>
        <v>2107050001p50</v>
      </c>
      <c r="I55" s="19">
        <v>1</v>
      </c>
      <c r="J55" s="17" t="s">
        <v>46</v>
      </c>
      <c r="K55" s="21">
        <f>IF(Stock[n°CC]=0,"",SUMIF(Egreso[Código de barras],Stock[Código de barras],Egreso[Cantidad]))</f>
        <v>0</v>
      </c>
      <c r="L55" s="21">
        <f>IF(Stock[n°CC]=0,"",SUMIF(Ingreso[Código de barras],Stock[Código de barras],Ingreso[Cantidad]))</f>
        <v>0</v>
      </c>
      <c r="M55" s="22" t="str">
        <f>IF(Stock[n°CC]=0,"",IF(Stock[n°]=Stock[Egreso],"Si","No"))</f>
        <v>No</v>
      </c>
      <c r="N55" s="22" t="str">
        <f>IF(OR(Stock[n°CC]=0,Stock[n°CC]="vacio"),"",IF(AND(Stock[n°]=Stock[Egreso],Stock[Egreso]=Stock[Ingreso]),"Si","No"))</f>
        <v>No</v>
      </c>
      <c r="O55" s="18"/>
    </row>
    <row r="56" spans="1:15" x14ac:dyDescent="0.25">
      <c r="A56" s="15">
        <v>2107050001</v>
      </c>
      <c r="B56" s="32" t="s">
        <v>59</v>
      </c>
      <c r="C56" s="32" t="s">
        <v>183</v>
      </c>
      <c r="D56" s="35">
        <v>44378</v>
      </c>
      <c r="E56" s="38" t="s">
        <v>61</v>
      </c>
      <c r="F56" s="33" t="s">
        <v>0</v>
      </c>
      <c r="G56" s="14" t="s">
        <v>58</v>
      </c>
      <c r="H56" s="16" t="str">
        <f>TRIM(IF(Stock[n°CC]=0,"",Stock[n°CC]&amp;""&amp;Stock[Pres]))</f>
        <v>2107050001v14</v>
      </c>
      <c r="I56" s="19">
        <v>1</v>
      </c>
      <c r="J56" s="17" t="s">
        <v>46</v>
      </c>
      <c r="K56" s="21">
        <f>IF(Stock[n°CC]=0,"",SUMIF(Egreso[Código de barras],Stock[Código de barras],Egreso[Cantidad]))</f>
        <v>0</v>
      </c>
      <c r="L56" s="21">
        <f>IF(Stock[n°CC]=0,"",SUMIF(Ingreso[Código de barras],Stock[Código de barras],Ingreso[Cantidad]))</f>
        <v>0</v>
      </c>
      <c r="M56" s="22" t="str">
        <f>IF(Stock[n°CC]=0,"",IF(Stock[n°]=Stock[Egreso],"Si","No"))</f>
        <v>No</v>
      </c>
      <c r="N56" s="22" t="str">
        <f>IF(OR(Stock[n°CC]=0,Stock[n°CC]="vacio"),"",IF(AND(Stock[n°]=Stock[Egreso],Stock[Egreso]=Stock[Ingreso]),"Si","No"))</f>
        <v>No</v>
      </c>
      <c r="O56" s="18"/>
    </row>
    <row r="57" spans="1:15" x14ac:dyDescent="0.25">
      <c r="A57" s="15">
        <v>2107050001</v>
      </c>
      <c r="B57" s="32" t="s">
        <v>59</v>
      </c>
      <c r="C57" s="32" t="s">
        <v>183</v>
      </c>
      <c r="D57" s="35">
        <v>44378</v>
      </c>
      <c r="E57" s="38" t="s">
        <v>61</v>
      </c>
      <c r="F57" s="33" t="s">
        <v>0</v>
      </c>
      <c r="G57" s="14" t="s">
        <v>5</v>
      </c>
      <c r="H57" s="16" t="str">
        <f>TRIM(IF(Stock[n°CC]=0,"",Stock[n°CC]&amp;""&amp;Stock[Pres]))</f>
        <v>2107050001noh</v>
      </c>
      <c r="I57" s="19">
        <v>1</v>
      </c>
      <c r="J57" s="17" t="s">
        <v>46</v>
      </c>
      <c r="K57" s="21">
        <f>IF(Stock[n°CC]=0,"",SUMIF(Egreso[Código de barras],Stock[Código de barras],Egreso[Cantidad]))</f>
        <v>0</v>
      </c>
      <c r="L57" s="21">
        <f>IF(Stock[n°CC]=0,"",SUMIF(Ingreso[Código de barras],Stock[Código de barras],Ingreso[Cantidad]))</f>
        <v>0</v>
      </c>
      <c r="M57" s="22" t="str">
        <f>IF(Stock[n°CC]=0,"",IF(Stock[n°]=Stock[Egreso],"Si","No"))</f>
        <v>No</v>
      </c>
      <c r="N57" s="22" t="str">
        <f>IF(OR(Stock[n°CC]=0,Stock[n°CC]="vacio"),"",IF(AND(Stock[n°]=Stock[Egreso],Stock[Egreso]=Stock[Ingreso]),"Si","No"))</f>
        <v>No</v>
      </c>
      <c r="O57" s="18"/>
    </row>
    <row r="58" spans="1:15" x14ac:dyDescent="0.25">
      <c r="A58" s="15">
        <v>2107050001</v>
      </c>
      <c r="B58" s="32" t="s">
        <v>59</v>
      </c>
      <c r="C58" s="32" t="s">
        <v>183</v>
      </c>
      <c r="D58" s="35">
        <v>44378</v>
      </c>
      <c r="E58" s="38" t="s">
        <v>61</v>
      </c>
      <c r="F58" s="33" t="s">
        <v>0</v>
      </c>
      <c r="G58" s="14" t="s">
        <v>3</v>
      </c>
      <c r="H58" s="16" t="str">
        <f>TRIM(IF(Stock[n°CC]=0,"",Stock[n°CC]&amp;""&amp;Stock[Pres]))</f>
        <v>2107050001pu</v>
      </c>
      <c r="I58" s="19">
        <v>1</v>
      </c>
      <c r="J58" s="17" t="s">
        <v>46</v>
      </c>
      <c r="K58" s="21">
        <f>IF(Stock[n°CC]=0,"",SUMIF(Egreso[Código de barras],Stock[Código de barras],Egreso[Cantidad]))</f>
        <v>0</v>
      </c>
      <c r="L58" s="21">
        <f>IF(Stock[n°CC]=0,"",SUMIF(Ingreso[Código de barras],Stock[Código de barras],Ingreso[Cantidad]))</f>
        <v>0</v>
      </c>
      <c r="M58" s="22" t="str">
        <f>IF(Stock[n°CC]=0,"",IF(Stock[n°]=Stock[Egreso],"Si","No"))</f>
        <v>No</v>
      </c>
      <c r="N58" s="22" t="str">
        <f>IF(OR(Stock[n°CC]=0,Stock[n°CC]="vacio"),"",IF(AND(Stock[n°]=Stock[Egreso],Stock[Egreso]=Stock[Ingreso]),"Si","No"))</f>
        <v>No</v>
      </c>
      <c r="O58" s="18"/>
    </row>
    <row r="59" spans="1:15" x14ac:dyDescent="0.25">
      <c r="A59" s="15">
        <v>2107050001</v>
      </c>
      <c r="B59" s="32" t="s">
        <v>59</v>
      </c>
      <c r="C59" s="32" t="s">
        <v>183</v>
      </c>
      <c r="D59" s="35">
        <v>44378</v>
      </c>
      <c r="E59" s="38" t="s">
        <v>61</v>
      </c>
      <c r="F59" s="33" t="s">
        <v>0</v>
      </c>
      <c r="G59" s="14" t="s">
        <v>1</v>
      </c>
      <c r="H59" s="16" t="str">
        <f>TRIM(IF(Stock[n°CC]=0,"",Stock[n°CC]&amp;""&amp;Stock[Pres]))</f>
        <v>2107050001vc1</v>
      </c>
      <c r="I59" s="19">
        <v>1</v>
      </c>
      <c r="J59" s="17" t="s">
        <v>46</v>
      </c>
      <c r="K59" s="21">
        <f>IF(Stock[n°CC]=0,"",SUMIF(Egreso[Código de barras],Stock[Código de barras],Egreso[Cantidad]))</f>
        <v>0</v>
      </c>
      <c r="L59" s="21">
        <f>IF(Stock[n°CC]=0,"",SUMIF(Ingreso[Código de barras],Stock[Código de barras],Ingreso[Cantidad]))</f>
        <v>0</v>
      </c>
      <c r="M59" s="22" t="str">
        <f>IF(Stock[n°CC]=0,"",IF(Stock[n°]=Stock[Egreso],"Si","No"))</f>
        <v>No</v>
      </c>
      <c r="N59" s="22" t="str">
        <f>IF(OR(Stock[n°CC]=0,Stock[n°CC]="vacio"),"",IF(AND(Stock[n°]=Stock[Egreso],Stock[Egreso]=Stock[Ingreso]),"Si","No"))</f>
        <v>No</v>
      </c>
      <c r="O59" s="18"/>
    </row>
    <row r="60" spans="1:15" x14ac:dyDescent="0.25">
      <c r="A60" s="15">
        <v>2107050003</v>
      </c>
      <c r="B60" s="5" t="s">
        <v>59</v>
      </c>
      <c r="C60" s="5" t="s">
        <v>183</v>
      </c>
      <c r="D60" s="35">
        <v>44378</v>
      </c>
      <c r="E60" s="37" t="s">
        <v>90</v>
      </c>
      <c r="F60" s="6" t="s">
        <v>89</v>
      </c>
      <c r="G60" s="14" t="s">
        <v>2</v>
      </c>
      <c r="H60" s="16" t="str">
        <f>TRIM(IF(Stock[n°CC]=0,"",Stock[n°CC]&amp;""&amp;Stock[Pres]))</f>
        <v>2107050003p50</v>
      </c>
      <c r="I60" s="19">
        <v>1</v>
      </c>
      <c r="J60" s="17" t="s">
        <v>46</v>
      </c>
      <c r="K60" s="21">
        <f>IF(Stock[n°CC]=0,"",SUMIF(Egreso[Código de barras],Stock[Código de barras],Egreso[Cantidad]))</f>
        <v>0</v>
      </c>
      <c r="L60" s="21">
        <f>IF(Stock[n°CC]=0,"",SUMIF(Ingreso[Código de barras],Stock[Código de barras],Ingreso[Cantidad]))</f>
        <v>0</v>
      </c>
      <c r="M60" s="22" t="str">
        <f>IF(Stock[n°CC]=0,"",IF(Stock[n°]=Stock[Egreso],"Si","No"))</f>
        <v>No</v>
      </c>
      <c r="N60" s="22" t="str">
        <f>IF(OR(Stock[n°CC]=0,Stock[n°CC]="vacio"),"",IF(AND(Stock[n°]=Stock[Egreso],Stock[Egreso]=Stock[Ingreso]),"Si","No"))</f>
        <v>No</v>
      </c>
      <c r="O60" s="18"/>
    </row>
    <row r="61" spans="1:15" x14ac:dyDescent="0.25">
      <c r="A61" s="15">
        <v>2107050003</v>
      </c>
      <c r="B61" s="5" t="s">
        <v>59</v>
      </c>
      <c r="C61" s="5" t="s">
        <v>183</v>
      </c>
      <c r="D61" s="35">
        <v>44378</v>
      </c>
      <c r="E61" s="37" t="s">
        <v>90</v>
      </c>
      <c r="F61" s="6" t="s">
        <v>89</v>
      </c>
      <c r="G61" s="14" t="s">
        <v>8</v>
      </c>
      <c r="H61" s="16" t="str">
        <f>TRIM(IF(Stock[n°CC]=0,"",Stock[n°CC]&amp;""&amp;Stock[Pres]))</f>
        <v>2107050003ho3</v>
      </c>
      <c r="I61" s="19">
        <v>1</v>
      </c>
      <c r="J61" s="17" t="s">
        <v>46</v>
      </c>
      <c r="K61" s="21">
        <f>IF(Stock[n°CC]=0,"",SUMIF(Egreso[Código de barras],Stock[Código de barras],Egreso[Cantidad]))</f>
        <v>0</v>
      </c>
      <c r="L61" s="21">
        <f>IF(Stock[n°CC]=0,"",SUMIF(Ingreso[Código de barras],Stock[Código de barras],Ingreso[Cantidad]))</f>
        <v>0</v>
      </c>
      <c r="M61" s="22" t="str">
        <f>IF(Stock[n°CC]=0,"",IF(Stock[n°]=Stock[Egreso],"Si","No"))</f>
        <v>No</v>
      </c>
      <c r="N61" s="22" t="str">
        <f>IF(OR(Stock[n°CC]=0,Stock[n°CC]="vacio"),"",IF(AND(Stock[n°]=Stock[Egreso],Stock[Egreso]=Stock[Ingreso]),"Si","No"))</f>
        <v>No</v>
      </c>
      <c r="O61" s="18"/>
    </row>
    <row r="62" spans="1:15" x14ac:dyDescent="0.25">
      <c r="A62" s="15">
        <v>2107050003</v>
      </c>
      <c r="B62" s="5" t="s">
        <v>59</v>
      </c>
      <c r="C62" s="5" t="s">
        <v>183</v>
      </c>
      <c r="D62" s="35">
        <v>44378</v>
      </c>
      <c r="E62" s="37" t="s">
        <v>90</v>
      </c>
      <c r="F62" s="6" t="s">
        <v>89</v>
      </c>
      <c r="G62" s="14" t="s">
        <v>4</v>
      </c>
      <c r="H62" s="16" t="str">
        <f>TRIM(IF(Stock[n°CC]=0,"",Stock[n°CC]&amp;""&amp;Stock[Pres]))</f>
        <v>2107050003pn</v>
      </c>
      <c r="I62" s="19">
        <v>1</v>
      </c>
      <c r="J62" s="17" t="s">
        <v>46</v>
      </c>
      <c r="K62" s="21">
        <f>IF(Stock[n°CC]=0,"",SUMIF(Egreso[Código de barras],Stock[Código de barras],Egreso[Cantidad]))</f>
        <v>0</v>
      </c>
      <c r="L62" s="21">
        <f>IF(Stock[n°CC]=0,"",SUMIF(Ingreso[Código de barras],Stock[Código de barras],Ingreso[Cantidad]))</f>
        <v>0</v>
      </c>
      <c r="M62" s="22" t="str">
        <f>IF(Stock[n°CC]=0,"",IF(Stock[n°]=Stock[Egreso],"Si","No"))</f>
        <v>No</v>
      </c>
      <c r="N62" s="22" t="str">
        <f>IF(OR(Stock[n°CC]=0,Stock[n°CC]="vacio"),"",IF(AND(Stock[n°]=Stock[Egreso],Stock[Egreso]=Stock[Ingreso]),"Si","No"))</f>
        <v>No</v>
      </c>
      <c r="O62" s="18"/>
    </row>
    <row r="63" spans="1:15" x14ac:dyDescent="0.25">
      <c r="A63" s="15">
        <v>2107050003</v>
      </c>
      <c r="B63" s="5" t="s">
        <v>59</v>
      </c>
      <c r="C63" s="5" t="s">
        <v>183</v>
      </c>
      <c r="D63" s="35">
        <v>44378</v>
      </c>
      <c r="E63" s="37" t="s">
        <v>90</v>
      </c>
      <c r="F63" s="6" t="s">
        <v>89</v>
      </c>
      <c r="G63" s="14" t="s">
        <v>1</v>
      </c>
      <c r="H63" s="16" t="str">
        <f>TRIM(IF(Stock[n°CC]=0,"",Stock[n°CC]&amp;""&amp;Stock[Pres]))</f>
        <v>2107050003vc1</v>
      </c>
      <c r="I63" s="19">
        <v>1</v>
      </c>
      <c r="J63" s="17" t="s">
        <v>46</v>
      </c>
      <c r="K63" s="21">
        <f>IF(Stock[n°CC]=0,"",SUMIF(Egreso[Código de barras],Stock[Código de barras],Egreso[Cantidad]))</f>
        <v>0</v>
      </c>
      <c r="L63" s="21">
        <f>IF(Stock[n°CC]=0,"",SUMIF(Ingreso[Código de barras],Stock[Código de barras],Ingreso[Cantidad]))</f>
        <v>0</v>
      </c>
      <c r="M63" s="22" t="str">
        <f>IF(Stock[n°CC]=0,"",IF(Stock[n°]=Stock[Egreso],"Si","No"))</f>
        <v>No</v>
      </c>
      <c r="N63" s="22" t="str">
        <f>IF(OR(Stock[n°CC]=0,Stock[n°CC]="vacio"),"",IF(AND(Stock[n°]=Stock[Egreso],Stock[Egreso]=Stock[Ingreso]),"Si","No"))</f>
        <v>No</v>
      </c>
      <c r="O63" s="18"/>
    </row>
    <row r="64" spans="1:15" x14ac:dyDescent="0.25">
      <c r="A64" s="15">
        <v>2107050002</v>
      </c>
      <c r="B64" s="5" t="s">
        <v>59</v>
      </c>
      <c r="C64" s="5" t="s">
        <v>183</v>
      </c>
      <c r="D64" s="35">
        <v>44378</v>
      </c>
      <c r="E64" s="37" t="s">
        <v>90</v>
      </c>
      <c r="F64" s="6" t="s">
        <v>89</v>
      </c>
      <c r="G64" s="14" t="s">
        <v>9</v>
      </c>
      <c r="H64" s="16" t="str">
        <f>TRIM(IF(Stock[n°CC]=0,"",Stock[n°CC]&amp;""&amp;Stock[Pres]))</f>
        <v>2107050002bac</v>
      </c>
      <c r="I64" s="19">
        <v>1</v>
      </c>
      <c r="J64" s="17" t="s">
        <v>46</v>
      </c>
      <c r="K64" s="21">
        <f>IF(Stock[n°CC]=0,"",SUMIF(Egreso[Código de barras],Stock[Código de barras],Egreso[Cantidad]))</f>
        <v>0</v>
      </c>
      <c r="L64" s="21">
        <f>IF(Stock[n°CC]=0,"",SUMIF(Ingreso[Código de barras],Stock[Código de barras],Ingreso[Cantidad]))</f>
        <v>0</v>
      </c>
      <c r="M64" s="22" t="str">
        <f>IF(Stock[n°CC]=0,"",IF(Stock[n°]=Stock[Egreso],"Si","No"))</f>
        <v>No</v>
      </c>
      <c r="N64" s="22" t="str">
        <f>IF(OR(Stock[n°CC]=0,Stock[n°CC]="vacio"),"",IF(AND(Stock[n°]=Stock[Egreso],Stock[Egreso]=Stock[Ingreso]),"Si","No"))</f>
        <v>No</v>
      </c>
      <c r="O64" s="18"/>
    </row>
    <row r="65" spans="1:15" x14ac:dyDescent="0.25">
      <c r="A65" s="15">
        <v>2107050004</v>
      </c>
      <c r="B65" s="5" t="s">
        <v>59</v>
      </c>
      <c r="C65" s="5" t="s">
        <v>183</v>
      </c>
      <c r="D65" s="35">
        <v>44378</v>
      </c>
      <c r="E65" s="37" t="s">
        <v>151</v>
      </c>
      <c r="F65" s="14" t="s">
        <v>94</v>
      </c>
      <c r="G65" s="14" t="s">
        <v>68</v>
      </c>
      <c r="H65" s="16" t="str">
        <f>TRIM(IF(Stock[n°CC]=0,"",Stock[n°CC]&amp;""&amp;Stock[Pres]))</f>
        <v>2107050004mpr</v>
      </c>
      <c r="I65" s="19">
        <v>1</v>
      </c>
      <c r="J65" s="17" t="s">
        <v>46</v>
      </c>
      <c r="K65" s="21">
        <f>IF(Stock[n°CC]=0,"",SUMIF(Egreso[Código de barras],Stock[Código de barras],Egreso[Cantidad]))</f>
        <v>0</v>
      </c>
      <c r="L65" s="21">
        <f>IF(Stock[n°CC]=0,"",SUMIF(Ingreso[Código de barras],Stock[Código de barras],Ingreso[Cantidad]))</f>
        <v>0</v>
      </c>
      <c r="M65" s="22" t="str">
        <f>IF(Stock[n°CC]=0,"",IF(Stock[n°]=Stock[Egreso],"Si","No"))</f>
        <v>No</v>
      </c>
      <c r="N65" s="22" t="str">
        <f>IF(OR(Stock[n°CC]=0,Stock[n°CC]="vacio"),"",IF(AND(Stock[n°]=Stock[Egreso],Stock[Egreso]=Stock[Ingreso]),"Si","No"))</f>
        <v>No</v>
      </c>
      <c r="O65" s="18"/>
    </row>
    <row r="66" spans="1:15" x14ac:dyDescent="0.25">
      <c r="A66" s="15">
        <v>2107050005</v>
      </c>
      <c r="B66" s="5" t="s">
        <v>59</v>
      </c>
      <c r="C66" s="5" t="s">
        <v>183</v>
      </c>
      <c r="D66" s="35">
        <v>44378</v>
      </c>
      <c r="E66" s="37" t="s">
        <v>152</v>
      </c>
      <c r="F66" s="14" t="s">
        <v>94</v>
      </c>
      <c r="G66" s="14" t="s">
        <v>68</v>
      </c>
      <c r="H66" s="16" t="str">
        <f>TRIM(IF(Stock[n°CC]=0,"",Stock[n°CC]&amp;""&amp;Stock[Pres]))</f>
        <v>2107050005mpr</v>
      </c>
      <c r="I66" s="19">
        <v>1</v>
      </c>
      <c r="J66" s="17" t="s">
        <v>46</v>
      </c>
      <c r="K66" s="21">
        <f>IF(Stock[n°CC]=0,"",SUMIF(Egreso[Código de barras],Stock[Código de barras],Egreso[Cantidad]))</f>
        <v>0</v>
      </c>
      <c r="L66" s="21">
        <f>IF(Stock[n°CC]=0,"",SUMIF(Ingreso[Código de barras],Stock[Código de barras],Ingreso[Cantidad]))</f>
        <v>0</v>
      </c>
      <c r="M66" s="22" t="str">
        <f>IF(Stock[n°CC]=0,"",IF(Stock[n°]=Stock[Egreso],"Si","No"))</f>
        <v>No</v>
      </c>
      <c r="N66" s="22" t="str">
        <f>IF(OR(Stock[n°CC]=0,Stock[n°CC]="vacio"),"",IF(AND(Stock[n°]=Stock[Egreso],Stock[Egreso]=Stock[Ingreso]),"Si","No"))</f>
        <v>No</v>
      </c>
      <c r="O66" s="18"/>
    </row>
    <row r="67" spans="1:15" x14ac:dyDescent="0.25">
      <c r="A67" s="15">
        <v>2107050006</v>
      </c>
      <c r="B67" s="5" t="s">
        <v>59</v>
      </c>
      <c r="C67" s="5" t="s">
        <v>183</v>
      </c>
      <c r="D67" s="35">
        <v>44378</v>
      </c>
      <c r="E67" s="37" t="s">
        <v>153</v>
      </c>
      <c r="F67" s="14" t="s">
        <v>94</v>
      </c>
      <c r="G67" s="14" t="s">
        <v>68</v>
      </c>
      <c r="H67" s="16" t="str">
        <f>TRIM(IF(Stock[n°CC]=0,"",Stock[n°CC]&amp;""&amp;Stock[Pres]))</f>
        <v>2107050006mpr</v>
      </c>
      <c r="I67" s="19">
        <v>1</v>
      </c>
      <c r="J67" s="17" t="s">
        <v>46</v>
      </c>
      <c r="K67" s="21">
        <f>IF(Stock[n°CC]=0,"",SUMIF(Egreso[Código de barras],Stock[Código de barras],Egreso[Cantidad]))</f>
        <v>0</v>
      </c>
      <c r="L67" s="21">
        <f>IF(Stock[n°CC]=0,"",SUMIF(Ingreso[Código de barras],Stock[Código de barras],Ingreso[Cantidad]))</f>
        <v>0</v>
      </c>
      <c r="M67" s="22" t="str">
        <f>IF(Stock[n°CC]=0,"",IF(Stock[n°]=Stock[Egreso],"Si","No"))</f>
        <v>No</v>
      </c>
      <c r="N67" s="22" t="str">
        <f>IF(OR(Stock[n°CC]=0,Stock[n°CC]="vacio"),"",IF(AND(Stock[n°]=Stock[Egreso],Stock[Egreso]=Stock[Ingreso]),"Si","No"))</f>
        <v>No</v>
      </c>
      <c r="O67" s="18"/>
    </row>
    <row r="68" spans="1:15" x14ac:dyDescent="0.25">
      <c r="A68" s="15">
        <v>2107050007</v>
      </c>
      <c r="B68" s="5" t="s">
        <v>59</v>
      </c>
      <c r="C68" s="5" t="s">
        <v>183</v>
      </c>
      <c r="D68" s="35">
        <v>44378</v>
      </c>
      <c r="E68" s="37" t="s">
        <v>154</v>
      </c>
      <c r="F68" s="14" t="s">
        <v>94</v>
      </c>
      <c r="G68" s="14" t="s">
        <v>68</v>
      </c>
      <c r="H68" s="16" t="str">
        <f>TRIM(IF(Stock[n°CC]=0,"",Stock[n°CC]&amp;""&amp;Stock[Pres]))</f>
        <v>2107050007mpr</v>
      </c>
      <c r="I68" s="19">
        <v>1</v>
      </c>
      <c r="J68" s="17" t="s">
        <v>46</v>
      </c>
      <c r="K68" s="21">
        <f>IF(Stock[n°CC]=0,"",SUMIF(Egreso[Código de barras],Stock[Código de barras],Egreso[Cantidad]))</f>
        <v>0</v>
      </c>
      <c r="L68" s="21">
        <f>IF(Stock[n°CC]=0,"",SUMIF(Ingreso[Código de barras],Stock[Código de barras],Ingreso[Cantidad]))</f>
        <v>0</v>
      </c>
      <c r="M68" s="22" t="str">
        <f>IF(Stock[n°CC]=0,"",IF(Stock[n°]=Stock[Egreso],"Si","No"))</f>
        <v>No</v>
      </c>
      <c r="N68" s="22" t="str">
        <f>IF(OR(Stock[n°CC]=0,Stock[n°CC]="vacio"),"",IF(AND(Stock[n°]=Stock[Egreso],Stock[Egreso]=Stock[Ingreso]),"Si","No"))</f>
        <v>No</v>
      </c>
      <c r="O68" s="18"/>
    </row>
    <row r="69" spans="1:15" x14ac:dyDescent="0.25">
      <c r="A69" s="15">
        <v>2107050008</v>
      </c>
      <c r="B69" s="5" t="s">
        <v>59</v>
      </c>
      <c r="C69" s="5" t="s">
        <v>183</v>
      </c>
      <c r="D69" s="35">
        <v>44378</v>
      </c>
      <c r="E69" s="37" t="s">
        <v>155</v>
      </c>
      <c r="F69" s="14" t="s">
        <v>94</v>
      </c>
      <c r="G69" s="14" t="s">
        <v>68</v>
      </c>
      <c r="H69" s="16" t="str">
        <f>TRIM(IF(Stock[n°CC]=0,"",Stock[n°CC]&amp;""&amp;Stock[Pres]))</f>
        <v>2107050008mpr</v>
      </c>
      <c r="I69" s="19">
        <v>1</v>
      </c>
      <c r="J69" s="17" t="s">
        <v>46</v>
      </c>
      <c r="K69" s="21">
        <f>IF(Stock[n°CC]=0,"",SUMIF(Egreso[Código de barras],Stock[Código de barras],Egreso[Cantidad]))</f>
        <v>0</v>
      </c>
      <c r="L69" s="21">
        <f>IF(Stock[n°CC]=0,"",SUMIF(Ingreso[Código de barras],Stock[Código de barras],Ingreso[Cantidad]))</f>
        <v>0</v>
      </c>
      <c r="M69" s="22" t="str">
        <f>IF(Stock[n°CC]=0,"",IF(Stock[n°]=Stock[Egreso],"Si","No"))</f>
        <v>No</v>
      </c>
      <c r="N69" s="22" t="str">
        <f>IF(OR(Stock[n°CC]=0,Stock[n°CC]="vacio"),"",IF(AND(Stock[n°]=Stock[Egreso],Stock[Egreso]=Stock[Ingreso]),"Si","No"))</f>
        <v>No</v>
      </c>
      <c r="O69" s="18"/>
    </row>
    <row r="70" spans="1:15" x14ac:dyDescent="0.25">
      <c r="A70" s="5" t="s">
        <v>156</v>
      </c>
      <c r="B70" s="15"/>
      <c r="C70" s="15"/>
      <c r="D70" s="15"/>
      <c r="E70" s="35"/>
      <c r="F70" s="14"/>
      <c r="G70" s="14"/>
      <c r="H70" s="16" t="str">
        <f>TRIM(IF(Stock[n°CC]=0,"",Stock[n°CC]&amp;""&amp;Stock[Pres]))</f>
        <v>Vacio</v>
      </c>
      <c r="I70" s="19">
        <v>1</v>
      </c>
      <c r="J70" s="17"/>
      <c r="K70" s="21">
        <f>IF(Stock[n°CC]=0,"",SUMIF(Egreso[Código de barras],Stock[Código de barras],Egreso[Cantidad]))</f>
        <v>3</v>
      </c>
      <c r="L70" s="21">
        <f>IF(Stock[n°CC]=0,"",SUMIF(Ingreso[Código de barras],Stock[Código de barras],Ingreso[Cantidad]))</f>
        <v>2</v>
      </c>
      <c r="M70" s="22" t="str">
        <f>IF(Stock[n°CC]=0,"",IF(Stock[n°]=Stock[Egreso],"Si","No"))</f>
        <v>No</v>
      </c>
      <c r="N70" s="22" t="str">
        <f>IF(OR(Stock[n°CC]=0,Stock[n°CC]="vacio"),"",IF(AND(Stock[n°]=Stock[Egreso],Stock[Egreso]=Stock[Ingreso]),"Si","No"))</f>
        <v/>
      </c>
      <c r="O70" s="18"/>
    </row>
    <row r="71" spans="1:15" x14ac:dyDescent="0.25">
      <c r="A71" s="15">
        <v>2107050010</v>
      </c>
      <c r="B71" s="39" t="s">
        <v>64</v>
      </c>
      <c r="C71" s="39" t="s">
        <v>184</v>
      </c>
      <c r="D71" s="35">
        <v>44378</v>
      </c>
      <c r="E71" s="39" t="s">
        <v>57</v>
      </c>
      <c r="F71" s="34" t="s">
        <v>0</v>
      </c>
      <c r="G71" s="14" t="s">
        <v>1</v>
      </c>
      <c r="H71" s="16" t="str">
        <f>TRIM(IF(Stock[n°CC]=0,"",Stock[n°CC]&amp;""&amp;Stock[Pres]))</f>
        <v>2107050010vc1</v>
      </c>
      <c r="I71" s="19">
        <v>1</v>
      </c>
      <c r="J71" s="17" t="s">
        <v>46</v>
      </c>
      <c r="K71" s="21">
        <f>IF(Stock[n°CC]=0,"",SUMIF(Egreso[Código de barras],Stock[Código de barras],Egreso[Cantidad]))</f>
        <v>0</v>
      </c>
      <c r="L71" s="21">
        <f>IF(Stock[n°CC]=0,"",SUMIF(Ingreso[Código de barras],Stock[Código de barras],Ingreso[Cantidad]))</f>
        <v>0</v>
      </c>
      <c r="M71" s="22" t="str">
        <f>IF(Stock[n°CC]=0,"",IF(Stock[n°]=Stock[Egreso],"Si","No"))</f>
        <v>No</v>
      </c>
      <c r="N71" s="22" t="str">
        <f>IF(OR(Stock[n°CC]=0,Stock[n°CC]="vacio"),"",IF(AND(Stock[n°]=Stock[Egreso],Stock[Egreso]=Stock[Ingreso]),"Si","No"))</f>
        <v>No</v>
      </c>
      <c r="O71" s="18"/>
    </row>
    <row r="72" spans="1:15" x14ac:dyDescent="0.25">
      <c r="A72" s="15">
        <v>2107050010</v>
      </c>
      <c r="B72" s="39" t="s">
        <v>64</v>
      </c>
      <c r="C72" s="39" t="s">
        <v>184</v>
      </c>
      <c r="D72" s="35">
        <v>44378</v>
      </c>
      <c r="E72" s="39" t="s">
        <v>57</v>
      </c>
      <c r="F72" s="34" t="s">
        <v>0</v>
      </c>
      <c r="G72" s="14" t="s">
        <v>2</v>
      </c>
      <c r="H72" s="16" t="str">
        <f>TRIM(IF(Stock[n°CC]=0,"",Stock[n°CC]&amp;""&amp;Stock[Pres]))</f>
        <v>2107050010p50</v>
      </c>
      <c r="I72" s="19">
        <v>1</v>
      </c>
      <c r="J72" s="17" t="s">
        <v>46</v>
      </c>
      <c r="K72" s="21">
        <f>IF(Stock[n°CC]=0,"",SUMIF(Egreso[Código de barras],Stock[Código de barras],Egreso[Cantidad]))</f>
        <v>0</v>
      </c>
      <c r="L72" s="21">
        <f>IF(Stock[n°CC]=0,"",SUMIF(Ingreso[Código de barras],Stock[Código de barras],Ingreso[Cantidad]))</f>
        <v>0</v>
      </c>
      <c r="M72" s="22" t="str">
        <f>IF(Stock[n°CC]=0,"",IF(Stock[n°]=Stock[Egreso],"Si","No"))</f>
        <v>No</v>
      </c>
      <c r="N72" s="22" t="str">
        <f>IF(OR(Stock[n°CC]=0,Stock[n°CC]="vacio"),"",IF(AND(Stock[n°]=Stock[Egreso],Stock[Egreso]=Stock[Ingreso]),"Si","No"))</f>
        <v>No</v>
      </c>
      <c r="O72" s="18"/>
    </row>
    <row r="73" spans="1:15" x14ac:dyDescent="0.25">
      <c r="A73" s="15">
        <v>2107050010</v>
      </c>
      <c r="B73" s="39" t="s">
        <v>64</v>
      </c>
      <c r="C73" s="39" t="s">
        <v>184</v>
      </c>
      <c r="D73" s="35">
        <v>44378</v>
      </c>
      <c r="E73" s="39" t="s">
        <v>57</v>
      </c>
      <c r="F73" s="34" t="s">
        <v>0</v>
      </c>
      <c r="G73" s="14" t="s">
        <v>3</v>
      </c>
      <c r="H73" s="16" t="str">
        <f>TRIM(IF(Stock[n°CC]=0,"",Stock[n°CC]&amp;""&amp;Stock[Pres]))</f>
        <v>2107050010pu</v>
      </c>
      <c r="I73" s="19">
        <v>1</v>
      </c>
      <c r="J73" s="17" t="s">
        <v>46</v>
      </c>
      <c r="K73" s="21">
        <f>IF(Stock[n°CC]=0,"",SUMIF(Egreso[Código de barras],Stock[Código de barras],Egreso[Cantidad]))</f>
        <v>0</v>
      </c>
      <c r="L73" s="21">
        <f>IF(Stock[n°CC]=0,"",SUMIF(Ingreso[Código de barras],Stock[Código de barras],Ingreso[Cantidad]))</f>
        <v>0</v>
      </c>
      <c r="M73" s="22" t="str">
        <f>IF(Stock[n°CC]=0,"",IF(Stock[n°]=Stock[Egreso],"Si","No"))</f>
        <v>No</v>
      </c>
      <c r="N73" s="22" t="str">
        <f>IF(OR(Stock[n°CC]=0,Stock[n°CC]="vacio"),"",IF(AND(Stock[n°]=Stock[Egreso],Stock[Egreso]=Stock[Ingreso]),"Si","No"))</f>
        <v>No</v>
      </c>
      <c r="O73" s="18"/>
    </row>
    <row r="74" spans="1:15" x14ac:dyDescent="0.25">
      <c r="A74" s="15">
        <v>2107050010</v>
      </c>
      <c r="B74" s="39" t="s">
        <v>64</v>
      </c>
      <c r="C74" s="39" t="s">
        <v>184</v>
      </c>
      <c r="D74" s="35">
        <v>44378</v>
      </c>
      <c r="E74" s="39" t="s">
        <v>57</v>
      </c>
      <c r="F74" s="34" t="s">
        <v>0</v>
      </c>
      <c r="G74" s="14" t="s">
        <v>4</v>
      </c>
      <c r="H74" s="16" t="str">
        <f>TRIM(IF(Stock[n°CC]=0,"",Stock[n°CC]&amp;""&amp;Stock[Pres]))</f>
        <v>2107050010pn</v>
      </c>
      <c r="I74" s="19">
        <v>1</v>
      </c>
      <c r="J74" s="17" t="s">
        <v>46</v>
      </c>
      <c r="K74" s="21">
        <f>IF(Stock[n°CC]=0,"",SUMIF(Egreso[Código de barras],Stock[Código de barras],Egreso[Cantidad]))</f>
        <v>0</v>
      </c>
      <c r="L74" s="21">
        <f>IF(Stock[n°CC]=0,"",SUMIF(Ingreso[Código de barras],Stock[Código de barras],Ingreso[Cantidad]))</f>
        <v>0</v>
      </c>
      <c r="M74" s="22" t="str">
        <f>IF(Stock[n°CC]=0,"",IF(Stock[n°]=Stock[Egreso],"Si","No"))</f>
        <v>No</v>
      </c>
      <c r="N74" s="22" t="str">
        <f>IF(OR(Stock[n°CC]=0,Stock[n°CC]="vacio"),"",IF(AND(Stock[n°]=Stock[Egreso],Stock[Egreso]=Stock[Ingreso]),"Si","No"))</f>
        <v>No</v>
      </c>
      <c r="O74" s="18"/>
    </row>
    <row r="75" spans="1:15" x14ac:dyDescent="0.25">
      <c r="A75" s="15">
        <v>2107050010</v>
      </c>
      <c r="B75" s="39" t="s">
        <v>64</v>
      </c>
      <c r="C75" s="39" t="s">
        <v>184</v>
      </c>
      <c r="D75" s="35">
        <v>44378</v>
      </c>
      <c r="E75" s="39" t="s">
        <v>57</v>
      </c>
      <c r="F75" s="34" t="s">
        <v>0</v>
      </c>
      <c r="G75" s="14" t="s">
        <v>58</v>
      </c>
      <c r="H75" s="16" t="str">
        <f>TRIM(IF(Stock[n°CC]=0,"",Stock[n°CC]&amp;""&amp;Stock[Pres]))</f>
        <v>2107050010v14</v>
      </c>
      <c r="I75" s="19">
        <v>1</v>
      </c>
      <c r="J75" s="17" t="s">
        <v>46</v>
      </c>
      <c r="K75" s="21">
        <f>IF(Stock[n°CC]=0,"",SUMIF(Egreso[Código de barras],Stock[Código de barras],Egreso[Cantidad]))</f>
        <v>0</v>
      </c>
      <c r="L75" s="21">
        <f>IF(Stock[n°CC]=0,"",SUMIF(Ingreso[Código de barras],Stock[Código de barras],Ingreso[Cantidad]))</f>
        <v>0</v>
      </c>
      <c r="M75" s="22" t="str">
        <f>IF(Stock[n°CC]=0,"",IF(Stock[n°]=Stock[Egreso],"Si","No"))</f>
        <v>No</v>
      </c>
      <c r="N75" s="22" t="str">
        <f>IF(OR(Stock[n°CC]=0,Stock[n°CC]="vacio"),"",IF(AND(Stock[n°]=Stock[Egreso],Stock[Egreso]=Stock[Ingreso]),"Si","No"))</f>
        <v>No</v>
      </c>
      <c r="O75" s="18"/>
    </row>
    <row r="76" spans="1:15" x14ac:dyDescent="0.25">
      <c r="A76" s="15">
        <v>2107050010</v>
      </c>
      <c r="B76" s="39" t="s">
        <v>64</v>
      </c>
      <c r="C76" s="39" t="s">
        <v>184</v>
      </c>
      <c r="D76" s="35">
        <v>44378</v>
      </c>
      <c r="E76" s="39" t="s">
        <v>57</v>
      </c>
      <c r="F76" s="34" t="s">
        <v>0</v>
      </c>
      <c r="G76" s="14" t="s">
        <v>9</v>
      </c>
      <c r="H76" s="16" t="str">
        <f>TRIM(IF(Stock[n°CC]=0,"",Stock[n°CC]&amp;""&amp;Stock[Pres]))</f>
        <v>2107050010bac</v>
      </c>
      <c r="I76" s="19">
        <v>1</v>
      </c>
      <c r="J76" s="17" t="s">
        <v>46</v>
      </c>
      <c r="K76" s="21">
        <f>IF(Stock[n°CC]=0,"",SUMIF(Egreso[Código de barras],Stock[Código de barras],Egreso[Cantidad]))</f>
        <v>0</v>
      </c>
      <c r="L76" s="21">
        <f>IF(Stock[n°CC]=0,"",SUMIF(Ingreso[Código de barras],Stock[Código de barras],Ingreso[Cantidad]))</f>
        <v>0</v>
      </c>
      <c r="M76" s="22" t="str">
        <f>IF(Stock[n°CC]=0,"",IF(Stock[n°]=Stock[Egreso],"Si","No"))</f>
        <v>No</v>
      </c>
      <c r="N76" s="22" t="str">
        <f>IF(OR(Stock[n°CC]=0,Stock[n°CC]="vacio"),"",IF(AND(Stock[n°]=Stock[Egreso],Stock[Egreso]=Stock[Ingreso]),"Si","No"))</f>
        <v>No</v>
      </c>
      <c r="O76" s="18"/>
    </row>
    <row r="77" spans="1:15" x14ac:dyDescent="0.25">
      <c r="A77" s="5" t="s">
        <v>48</v>
      </c>
      <c r="B77" s="15"/>
      <c r="C77" s="15"/>
      <c r="D77" s="15"/>
      <c r="E77" s="35"/>
      <c r="F77" s="14"/>
      <c r="G77" s="14"/>
      <c r="H77" s="16" t="str">
        <f>TRIM(IF(Stock[n°CC]=0,"",Stock[n°CC]&amp;""&amp;Stock[Pres]))</f>
        <v>vacio</v>
      </c>
      <c r="I77" s="19">
        <v>1</v>
      </c>
      <c r="J77" s="17"/>
      <c r="K77" s="21">
        <f>IF(Stock[n°CC]=0,"",SUMIF(Egreso[Código de barras],Stock[Código de barras],Egreso[Cantidad]))</f>
        <v>3</v>
      </c>
      <c r="L77" s="21">
        <f>IF(Stock[n°CC]=0,"",SUMIF(Ingreso[Código de barras],Stock[Código de barras],Ingreso[Cantidad]))</f>
        <v>2</v>
      </c>
      <c r="M77" s="22" t="str">
        <f>IF(Stock[n°CC]=0,"",IF(Stock[n°]=Stock[Egreso],"Si","No"))</f>
        <v>No</v>
      </c>
      <c r="N77" s="22" t="str">
        <f>IF(OR(Stock[n°CC]=0,Stock[n°CC]="vacio"),"",IF(AND(Stock[n°]=Stock[Egreso],Stock[Egreso]=Stock[Ingreso]),"Si","No"))</f>
        <v/>
      </c>
      <c r="O77" s="18"/>
    </row>
    <row r="78" spans="1:15" x14ac:dyDescent="0.25">
      <c r="A78" s="15">
        <v>2107060002</v>
      </c>
      <c r="B78" s="32" t="s">
        <v>88</v>
      </c>
      <c r="C78" s="32" t="s">
        <v>185</v>
      </c>
      <c r="D78" s="35">
        <v>44378</v>
      </c>
      <c r="E78" s="32" t="s">
        <v>57</v>
      </c>
      <c r="F78" s="33" t="s">
        <v>0</v>
      </c>
      <c r="G78" s="14" t="s">
        <v>7</v>
      </c>
      <c r="H78" s="16" t="str">
        <f>TRIM(IF(Stock[n°CC]=0,"",Stock[n°CC]&amp;""&amp;Stock[Pres]))</f>
        <v>2107060002p12</v>
      </c>
      <c r="I78" s="19">
        <v>1</v>
      </c>
      <c r="J78" s="17" t="s">
        <v>46</v>
      </c>
      <c r="K78" s="21">
        <f>IF(Stock[n°CC]=0,"",SUMIF(Egreso[Código de barras],Stock[Código de barras],Egreso[Cantidad]))</f>
        <v>0</v>
      </c>
      <c r="L78" s="21">
        <f>IF(Stock[n°CC]=0,"",SUMIF(Ingreso[Código de barras],Stock[Código de barras],Ingreso[Cantidad]))</f>
        <v>0</v>
      </c>
      <c r="M78" s="22" t="str">
        <f>IF(Stock[n°CC]=0,"",IF(Stock[n°]=Stock[Egreso],"Si","No"))</f>
        <v>No</v>
      </c>
      <c r="N78" s="22" t="str">
        <f>IF(OR(Stock[n°CC]=0,Stock[n°CC]="vacio"),"",IF(AND(Stock[n°]=Stock[Egreso],Stock[Egreso]=Stock[Ingreso]),"Si","No"))</f>
        <v>No</v>
      </c>
      <c r="O78" s="18"/>
    </row>
    <row r="79" spans="1:15" x14ac:dyDescent="0.25">
      <c r="A79" s="15">
        <v>2107060002</v>
      </c>
      <c r="B79" s="32" t="s">
        <v>88</v>
      </c>
      <c r="C79" s="32" t="s">
        <v>185</v>
      </c>
      <c r="D79" s="35">
        <v>44378</v>
      </c>
      <c r="E79" s="32" t="s">
        <v>57</v>
      </c>
      <c r="F79" s="33" t="s">
        <v>0</v>
      </c>
      <c r="G79" s="14" t="s">
        <v>2</v>
      </c>
      <c r="H79" s="16" t="str">
        <f>TRIM(IF(Stock[n°CC]=0,"",Stock[n°CC]&amp;""&amp;Stock[Pres]))</f>
        <v>2107060002p50</v>
      </c>
      <c r="I79" s="19">
        <v>1</v>
      </c>
      <c r="J79" s="17" t="s">
        <v>46</v>
      </c>
      <c r="K79" s="21">
        <f>IF(Stock[n°CC]=0,"",SUMIF(Egreso[Código de barras],Stock[Código de barras],Egreso[Cantidad]))</f>
        <v>0</v>
      </c>
      <c r="L79" s="21">
        <f>IF(Stock[n°CC]=0,"",SUMIF(Ingreso[Código de barras],Stock[Código de barras],Ingreso[Cantidad]))</f>
        <v>0</v>
      </c>
      <c r="M79" s="22" t="str">
        <f>IF(Stock[n°CC]=0,"",IF(Stock[n°]=Stock[Egreso],"Si","No"))</f>
        <v>No</v>
      </c>
      <c r="N79" s="22" t="str">
        <f>IF(OR(Stock[n°CC]=0,Stock[n°CC]="vacio"),"",IF(AND(Stock[n°]=Stock[Egreso],Stock[Egreso]=Stock[Ingreso]),"Si","No"))</f>
        <v>No</v>
      </c>
      <c r="O79" s="18"/>
    </row>
    <row r="80" spans="1:15" x14ac:dyDescent="0.25">
      <c r="A80" s="5" t="s">
        <v>48</v>
      </c>
      <c r="B80" s="15"/>
      <c r="C80" s="15"/>
      <c r="D80" s="15"/>
      <c r="E80" s="35"/>
      <c r="F80" s="14"/>
      <c r="G80" s="14"/>
      <c r="H80" s="16" t="str">
        <f>TRIM(IF(Stock[n°CC]=0,"",Stock[n°CC]&amp;""&amp;Stock[Pres]))</f>
        <v>vacio</v>
      </c>
      <c r="I80" s="19">
        <v>1</v>
      </c>
      <c r="J80" s="17"/>
      <c r="K80" s="21">
        <f>IF(Stock[n°CC]=0,"",SUMIF(Egreso[Código de barras],Stock[Código de barras],Egreso[Cantidad]))</f>
        <v>3</v>
      </c>
      <c r="L80" s="21">
        <f>IF(Stock[n°CC]=0,"",SUMIF(Ingreso[Código de barras],Stock[Código de barras],Ingreso[Cantidad]))</f>
        <v>2</v>
      </c>
      <c r="M80" s="22" t="str">
        <f>IF(Stock[n°CC]=0,"",IF(Stock[n°]=Stock[Egreso],"Si","No"))</f>
        <v>No</v>
      </c>
      <c r="N80" s="22" t="str">
        <f>IF(OR(Stock[n°CC]=0,Stock[n°CC]="vacio"),"",IF(AND(Stock[n°]=Stock[Egreso],Stock[Egreso]=Stock[Ingreso]),"Si","No"))</f>
        <v/>
      </c>
      <c r="O80" s="18"/>
    </row>
    <row r="81" spans="1:15" x14ac:dyDescent="0.25">
      <c r="A81" s="15">
        <v>2107060001</v>
      </c>
      <c r="B81" s="15" t="s">
        <v>63</v>
      </c>
      <c r="C81" s="15" t="s">
        <v>186</v>
      </c>
      <c r="D81" s="35">
        <v>44348</v>
      </c>
      <c r="E81" s="35" t="s">
        <v>57</v>
      </c>
      <c r="F81" s="14" t="s">
        <v>0</v>
      </c>
      <c r="G81" s="14" t="s">
        <v>4</v>
      </c>
      <c r="H81" s="16" t="str">
        <f>TRIM(IF(Stock[n°CC]=0,"",Stock[n°CC]&amp;""&amp;Stock[Pres]))</f>
        <v>2107060001pn</v>
      </c>
      <c r="I81" s="19">
        <v>1</v>
      </c>
      <c r="J81" s="17" t="s">
        <v>46</v>
      </c>
      <c r="K81" s="21">
        <f>IF(Stock[n°CC]=0,"",SUMIF(Egreso[Código de barras],Stock[Código de barras],Egreso[Cantidad]))</f>
        <v>0</v>
      </c>
      <c r="L81" s="21">
        <f>IF(Stock[n°CC]=0,"",SUMIF(Ingreso[Código de barras],Stock[Código de barras],Ingreso[Cantidad]))</f>
        <v>0</v>
      </c>
      <c r="M81" s="22" t="str">
        <f>IF(Stock[n°CC]=0,"",IF(Stock[n°]=Stock[Egreso],"Si","No"))</f>
        <v>No</v>
      </c>
      <c r="N81" s="22" t="str">
        <f>IF(OR(Stock[n°CC]=0,Stock[n°CC]="vacio"),"",IF(AND(Stock[n°]=Stock[Egreso],Stock[Egreso]=Stock[Ingreso]),"Si","No"))</f>
        <v>No</v>
      </c>
      <c r="O81" s="7" t="s">
        <v>157</v>
      </c>
    </row>
    <row r="82" spans="1:15" x14ac:dyDescent="0.25">
      <c r="A82" s="15">
        <v>2107060001</v>
      </c>
      <c r="B82" s="15" t="s">
        <v>63</v>
      </c>
      <c r="C82" s="15" t="s">
        <v>186</v>
      </c>
      <c r="D82" s="35">
        <v>44378</v>
      </c>
      <c r="E82" s="35" t="s">
        <v>57</v>
      </c>
      <c r="F82" s="14" t="s">
        <v>0</v>
      </c>
      <c r="G82" s="14" t="s">
        <v>3</v>
      </c>
      <c r="H82" s="16" t="str">
        <f>TRIM(IF(Stock[n°CC]=0,"",Stock[n°CC]&amp;""&amp;Stock[Pres]))</f>
        <v>2107060001pu</v>
      </c>
      <c r="I82" s="19">
        <v>1</v>
      </c>
      <c r="J82" s="17" t="s">
        <v>46</v>
      </c>
      <c r="K82" s="21">
        <f>IF(Stock[n°CC]=0,"",SUMIF(Egreso[Código de barras],Stock[Código de barras],Egreso[Cantidad]))</f>
        <v>0</v>
      </c>
      <c r="L82" s="21">
        <f>IF(Stock[n°CC]=0,"",SUMIF(Ingreso[Código de barras],Stock[Código de barras],Ingreso[Cantidad]))</f>
        <v>0</v>
      </c>
      <c r="M82" s="22" t="str">
        <f>IF(Stock[n°CC]=0,"",IF(Stock[n°]=Stock[Egreso],"Si","No"))</f>
        <v>No</v>
      </c>
      <c r="N82" s="22" t="str">
        <f>IF(OR(Stock[n°CC]=0,Stock[n°CC]="vacio"),"",IF(AND(Stock[n°]=Stock[Egreso],Stock[Egreso]=Stock[Ingreso]),"Si","No"))</f>
        <v>No</v>
      </c>
      <c r="O82" s="7" t="s">
        <v>157</v>
      </c>
    </row>
    <row r="83" spans="1:15" x14ac:dyDescent="0.25">
      <c r="A83" s="15">
        <v>2107060001</v>
      </c>
      <c r="B83" s="15" t="s">
        <v>63</v>
      </c>
      <c r="C83" s="15" t="s">
        <v>186</v>
      </c>
      <c r="D83" s="35">
        <v>44378</v>
      </c>
      <c r="E83" s="35" t="s">
        <v>57</v>
      </c>
      <c r="F83" s="14" t="s">
        <v>0</v>
      </c>
      <c r="G83" s="14" t="s">
        <v>8</v>
      </c>
      <c r="H83" s="16" t="str">
        <f>TRIM(IF(Stock[n°CC]=0,"",Stock[n°CC]&amp;""&amp;Stock[Pres]))</f>
        <v>2107060001ho3</v>
      </c>
      <c r="I83" s="19">
        <v>1</v>
      </c>
      <c r="J83" s="17" t="s">
        <v>46</v>
      </c>
      <c r="K83" s="21">
        <f>IF(Stock[n°CC]=0,"",SUMIF(Egreso[Código de barras],Stock[Código de barras],Egreso[Cantidad]))</f>
        <v>0</v>
      </c>
      <c r="L83" s="21">
        <f>IF(Stock[n°CC]=0,"",SUMIF(Ingreso[Código de barras],Stock[Código de barras],Ingreso[Cantidad]))</f>
        <v>0</v>
      </c>
      <c r="M83" s="22" t="str">
        <f>IF(Stock[n°CC]=0,"",IF(Stock[n°]=Stock[Egreso],"Si","No"))</f>
        <v>No</v>
      </c>
      <c r="N83" s="22" t="str">
        <f>IF(OR(Stock[n°CC]=0,Stock[n°CC]="vacio"),"",IF(AND(Stock[n°]=Stock[Egreso],Stock[Egreso]=Stock[Ingreso]),"Si","No"))</f>
        <v>No</v>
      </c>
      <c r="O83" s="7" t="s">
        <v>157</v>
      </c>
    </row>
    <row r="84" spans="1:15" x14ac:dyDescent="0.25">
      <c r="A84" s="15">
        <v>2107060001</v>
      </c>
      <c r="B84" s="15" t="s">
        <v>63</v>
      </c>
      <c r="C84" s="15" t="s">
        <v>186</v>
      </c>
      <c r="D84" s="35">
        <v>44378</v>
      </c>
      <c r="E84" s="35" t="s">
        <v>57</v>
      </c>
      <c r="F84" s="14" t="s">
        <v>0</v>
      </c>
      <c r="G84" s="14" t="s">
        <v>5</v>
      </c>
      <c r="H84" s="16" t="str">
        <f>TRIM(IF(Stock[n°CC]=0,"",Stock[n°CC]&amp;""&amp;Stock[Pres]))</f>
        <v>2107060001noh</v>
      </c>
      <c r="I84" s="19">
        <v>1</v>
      </c>
      <c r="J84" s="17" t="s">
        <v>46</v>
      </c>
      <c r="K84" s="21">
        <f>IF(Stock[n°CC]=0,"",SUMIF(Egreso[Código de barras],Stock[Código de barras],Egreso[Cantidad]))</f>
        <v>0</v>
      </c>
      <c r="L84" s="21">
        <f>IF(Stock[n°CC]=0,"",SUMIF(Ingreso[Código de barras],Stock[Código de barras],Ingreso[Cantidad]))</f>
        <v>0</v>
      </c>
      <c r="M84" s="22" t="str">
        <f>IF(Stock[n°CC]=0,"",IF(Stock[n°]=Stock[Egreso],"Si","No"))</f>
        <v>No</v>
      </c>
      <c r="N84" s="22" t="str">
        <f>IF(OR(Stock[n°CC]=0,Stock[n°CC]="vacio"),"",IF(AND(Stock[n°]=Stock[Egreso],Stock[Egreso]=Stock[Ingreso]),"Si","No"))</f>
        <v>No</v>
      </c>
      <c r="O84" s="7" t="s">
        <v>157</v>
      </c>
    </row>
    <row r="85" spans="1:15" x14ac:dyDescent="0.25">
      <c r="A85" s="15">
        <v>2107060001</v>
      </c>
      <c r="B85" s="15" t="s">
        <v>63</v>
      </c>
      <c r="C85" s="15" t="s">
        <v>186</v>
      </c>
      <c r="D85" s="35">
        <v>44378</v>
      </c>
      <c r="E85" s="35" t="s">
        <v>57</v>
      </c>
      <c r="F85" s="14" t="s">
        <v>0</v>
      </c>
      <c r="G85" s="14" t="s">
        <v>1</v>
      </c>
      <c r="H85" s="16" t="str">
        <f>TRIM(IF(Stock[n°CC]=0,"",Stock[n°CC]&amp;""&amp;Stock[Pres]))</f>
        <v>2107060001vc1</v>
      </c>
      <c r="I85" s="19">
        <v>1</v>
      </c>
      <c r="J85" s="17" t="s">
        <v>46</v>
      </c>
      <c r="K85" s="21">
        <f>IF(Stock[n°CC]=0,"",SUMIF(Egreso[Código de barras],Stock[Código de barras],Egreso[Cantidad]))</f>
        <v>0</v>
      </c>
      <c r="L85" s="21">
        <f>IF(Stock[n°CC]=0,"",SUMIF(Ingreso[Código de barras],Stock[Código de barras],Ingreso[Cantidad]))</f>
        <v>0</v>
      </c>
      <c r="M85" s="22" t="str">
        <f>IF(Stock[n°CC]=0,"",IF(Stock[n°]=Stock[Egreso],"Si","No"))</f>
        <v>No</v>
      </c>
      <c r="N85" s="22" t="str">
        <f>IF(OR(Stock[n°CC]=0,Stock[n°CC]="vacio"),"",IF(AND(Stock[n°]=Stock[Egreso],Stock[Egreso]=Stock[Ingreso]),"Si","No"))</f>
        <v>No</v>
      </c>
      <c r="O85" s="7" t="s">
        <v>157</v>
      </c>
    </row>
    <row r="86" spans="1:15" x14ac:dyDescent="0.25">
      <c r="A86" s="15">
        <v>2107060001</v>
      </c>
      <c r="B86" s="15" t="s">
        <v>63</v>
      </c>
      <c r="C86" s="15" t="s">
        <v>186</v>
      </c>
      <c r="D86" s="35">
        <v>44378</v>
      </c>
      <c r="E86" s="35" t="s">
        <v>57</v>
      </c>
      <c r="F86" s="14" t="s">
        <v>0</v>
      </c>
      <c r="G86" s="14" t="s">
        <v>2</v>
      </c>
      <c r="H86" s="16" t="str">
        <f>TRIM(IF(Stock[n°CC]=0,"",Stock[n°CC]&amp;""&amp;Stock[Pres]))</f>
        <v>2107060001p50</v>
      </c>
      <c r="I86" s="19">
        <v>1</v>
      </c>
      <c r="J86" s="17" t="s">
        <v>46</v>
      </c>
      <c r="K86" s="21">
        <f>IF(Stock[n°CC]=0,"",SUMIF(Egreso[Código de barras],Stock[Código de barras],Egreso[Cantidad]))</f>
        <v>0</v>
      </c>
      <c r="L86" s="21">
        <f>IF(Stock[n°CC]=0,"",SUMIF(Ingreso[Código de barras],Stock[Código de barras],Ingreso[Cantidad]))</f>
        <v>0</v>
      </c>
      <c r="M86" s="22" t="str">
        <f>IF(Stock[n°CC]=0,"",IF(Stock[n°]=Stock[Egreso],"Si","No"))</f>
        <v>No</v>
      </c>
      <c r="N86" s="22" t="str">
        <f>IF(OR(Stock[n°CC]=0,Stock[n°CC]="vacio"),"",IF(AND(Stock[n°]=Stock[Egreso],Stock[Egreso]=Stock[Ingreso]),"Si","No"))</f>
        <v>No</v>
      </c>
      <c r="O86" s="7" t="s">
        <v>157</v>
      </c>
    </row>
    <row r="87" spans="1:15" x14ac:dyDescent="0.25">
      <c r="A87" s="15">
        <v>2107060001</v>
      </c>
      <c r="B87" s="15" t="s">
        <v>63</v>
      </c>
      <c r="C87" s="15" t="s">
        <v>186</v>
      </c>
      <c r="D87" s="35">
        <v>44378</v>
      </c>
      <c r="E87" s="35" t="s">
        <v>57</v>
      </c>
      <c r="F87" s="14" t="s">
        <v>0</v>
      </c>
      <c r="G87" s="14" t="s">
        <v>7</v>
      </c>
      <c r="H87" s="16" t="str">
        <f>TRIM(IF(Stock[n°CC]=0,"",Stock[n°CC]&amp;""&amp;Stock[Pres]))</f>
        <v>2107060001p12</v>
      </c>
      <c r="I87" s="19">
        <v>1</v>
      </c>
      <c r="J87" s="17" t="s">
        <v>46</v>
      </c>
      <c r="K87" s="21">
        <f>IF(Stock[n°CC]=0,"",SUMIF(Egreso[Código de barras],Stock[Código de barras],Egreso[Cantidad]))</f>
        <v>0</v>
      </c>
      <c r="L87" s="21">
        <f>IF(Stock[n°CC]=0,"",SUMIF(Ingreso[Código de barras],Stock[Código de barras],Ingreso[Cantidad]))</f>
        <v>0</v>
      </c>
      <c r="M87" s="22" t="str">
        <f>IF(Stock[n°CC]=0,"",IF(Stock[n°]=Stock[Egreso],"Si","No"))</f>
        <v>No</v>
      </c>
      <c r="N87" s="22" t="str">
        <f>IF(OR(Stock[n°CC]=0,Stock[n°CC]="vacio"),"",IF(AND(Stock[n°]=Stock[Egreso],Stock[Egreso]=Stock[Ingreso]),"Si","No"))</f>
        <v>No</v>
      </c>
      <c r="O87" s="7" t="s">
        <v>157</v>
      </c>
    </row>
    <row r="88" spans="1:15" x14ac:dyDescent="0.25">
      <c r="A88" s="5" t="s">
        <v>51</v>
      </c>
      <c r="B88" s="15"/>
      <c r="C88" s="15"/>
      <c r="D88" s="15"/>
      <c r="E88" s="35"/>
      <c r="F88" s="14"/>
      <c r="G88" s="14"/>
      <c r="H88" s="16" t="str">
        <f>TRIM(IF(Stock[n°CC]=0,"",Stock[n°CC]&amp;""&amp;Stock[Pres]))</f>
        <v>VACIO</v>
      </c>
      <c r="I88" s="19"/>
      <c r="J88" s="17"/>
      <c r="K88" s="21">
        <f>IF(Stock[n°CC]=0,"",SUMIF(Egreso[Código de barras],Stock[Código de barras],Egreso[Cantidad]))</f>
        <v>3</v>
      </c>
      <c r="L88" s="21">
        <f>IF(Stock[n°CC]=0,"",SUMIF(Ingreso[Código de barras],Stock[Código de barras],Ingreso[Cantidad]))</f>
        <v>2</v>
      </c>
      <c r="M88" s="22" t="str">
        <f>IF(Stock[n°CC]=0,"",IF(Stock[n°]=Stock[Egreso],"Si","No"))</f>
        <v>No</v>
      </c>
      <c r="N88" s="22" t="str">
        <f>IF(OR(Stock[n°CC]=0,Stock[n°CC]="vacio"),"",IF(AND(Stock[n°]=Stock[Egreso],Stock[Egreso]=Stock[Ingreso]),"Si","No"))</f>
        <v/>
      </c>
      <c r="O88" s="18"/>
    </row>
    <row r="89" spans="1:15" x14ac:dyDescent="0.25">
      <c r="A89" s="15">
        <v>2107020005</v>
      </c>
      <c r="B89" s="13" t="s">
        <v>12</v>
      </c>
      <c r="C89" s="13" t="s">
        <v>187</v>
      </c>
      <c r="D89" s="35">
        <v>44378</v>
      </c>
      <c r="E89" s="35"/>
      <c r="F89" s="4" t="s">
        <v>10</v>
      </c>
      <c r="G89" s="12" t="s">
        <v>11</v>
      </c>
      <c r="H89" s="16" t="str">
        <f>TRIM(IF(Stock[n°CC]=0,"",Stock[n°CC]&amp;""&amp;Stock[Pres]))</f>
        <v>2107020005vn1</v>
      </c>
      <c r="I89" s="19">
        <v>1</v>
      </c>
      <c r="J89" s="17" t="s">
        <v>46</v>
      </c>
      <c r="K89" s="21">
        <f>IF(Stock[n°CC]=0,"",SUMIF(Egreso[Código de barras],Stock[Código de barras],Egreso[Cantidad]))</f>
        <v>1</v>
      </c>
      <c r="L89" s="21">
        <f>IF(Stock[n°CC]=0,"",SUMIF(Ingreso[Código de barras],Stock[Código de barras],Ingreso[Cantidad]))</f>
        <v>0</v>
      </c>
      <c r="M89" s="22" t="str">
        <f>IF(Stock[n°CC]=0,"",IF(Stock[n°]=Stock[Egreso],"Si","No"))</f>
        <v>Si</v>
      </c>
      <c r="N89" s="22" t="str">
        <f>IF(OR(Stock[n°CC]=0,Stock[n°CC]="vacio"),"",IF(AND(Stock[n°]=Stock[Egreso],Stock[Egreso]=Stock[Ingreso]),"Si","No"))</f>
        <v>No</v>
      </c>
      <c r="O89" s="18"/>
    </row>
    <row r="90" spans="1:15" x14ac:dyDescent="0.25">
      <c r="A90" s="15">
        <v>2107020005</v>
      </c>
      <c r="B90" s="13" t="s">
        <v>12</v>
      </c>
      <c r="C90" s="13" t="s">
        <v>187</v>
      </c>
      <c r="D90" s="35">
        <v>44378</v>
      </c>
      <c r="E90" s="35"/>
      <c r="F90" s="4" t="s">
        <v>10</v>
      </c>
      <c r="G90" s="12" t="s">
        <v>4</v>
      </c>
      <c r="H90" s="16" t="str">
        <f>TRIM(IF(Stock[n°CC]=0,"",Stock[n°CC]&amp;""&amp;Stock[Pres]))</f>
        <v>2107020005pn</v>
      </c>
      <c r="I90" s="19">
        <v>1</v>
      </c>
      <c r="J90" s="17" t="s">
        <v>46</v>
      </c>
      <c r="K90" s="21">
        <f>IF(Stock[n°CC]=0,"",SUMIF(Egreso[Código de barras],Stock[Código de barras],Egreso[Cantidad]))</f>
        <v>1</v>
      </c>
      <c r="L90" s="21">
        <f>IF(Stock[n°CC]=0,"",SUMIF(Ingreso[Código de barras],Stock[Código de barras],Ingreso[Cantidad]))</f>
        <v>0</v>
      </c>
      <c r="M90" s="22" t="str">
        <f>IF(Stock[n°CC]=0,"",IF(Stock[n°]=Stock[Egreso],"Si","No"))</f>
        <v>Si</v>
      </c>
      <c r="N90" s="22" t="str">
        <f>IF(OR(Stock[n°CC]=0,Stock[n°CC]="vacio"),"",IF(AND(Stock[n°]=Stock[Egreso],Stock[Egreso]=Stock[Ingreso]),"Si","No"))</f>
        <v>No</v>
      </c>
      <c r="O90" s="18"/>
    </row>
    <row r="91" spans="1:15" x14ac:dyDescent="0.25">
      <c r="A91" s="15">
        <v>2107020005</v>
      </c>
      <c r="B91" s="13" t="s">
        <v>12</v>
      </c>
      <c r="C91" s="13" t="s">
        <v>187</v>
      </c>
      <c r="D91" s="35">
        <v>44378</v>
      </c>
      <c r="E91" s="35"/>
      <c r="F91" s="4" t="s">
        <v>10</v>
      </c>
      <c r="G91" s="12" t="s">
        <v>2</v>
      </c>
      <c r="H91" s="16" t="str">
        <f>TRIM(IF(Stock[n°CC]=0,"",Stock[n°CC]&amp;""&amp;Stock[Pres]))</f>
        <v>2107020005p50</v>
      </c>
      <c r="I91" s="19">
        <v>1</v>
      </c>
      <c r="J91" s="17" t="s">
        <v>46</v>
      </c>
      <c r="K91" s="21">
        <f>IF(Stock[n°CC]=0,"",SUMIF(Egreso[Código de barras],Stock[Código de barras],Egreso[Cantidad]))</f>
        <v>1</v>
      </c>
      <c r="L91" s="21">
        <f>IF(Stock[n°CC]=0,"",SUMIF(Ingreso[Código de barras],Stock[Código de barras],Ingreso[Cantidad]))</f>
        <v>0</v>
      </c>
      <c r="M91" s="22" t="str">
        <f>IF(Stock[n°CC]=0,"",IF(Stock[n°]=Stock[Egreso],"Si","No"))</f>
        <v>Si</v>
      </c>
      <c r="N91" s="22" t="str">
        <f>IF(OR(Stock[n°CC]=0,Stock[n°CC]="vacio"),"",IF(AND(Stock[n°]=Stock[Egreso],Stock[Egreso]=Stock[Ingreso]),"Si","No"))</f>
        <v>No</v>
      </c>
      <c r="O91" s="18"/>
    </row>
    <row r="92" spans="1:15" x14ac:dyDescent="0.25">
      <c r="A92" s="15">
        <v>2107020005</v>
      </c>
      <c r="B92" s="13" t="s">
        <v>12</v>
      </c>
      <c r="C92" s="13" t="s">
        <v>187</v>
      </c>
      <c r="D92" s="35">
        <v>44378</v>
      </c>
      <c r="E92" s="35"/>
      <c r="F92" s="4" t="s">
        <v>10</v>
      </c>
      <c r="G92" s="12" t="s">
        <v>8</v>
      </c>
      <c r="H92" s="16" t="str">
        <f>TRIM(IF(Stock[n°CC]=0,"",Stock[n°CC]&amp;""&amp;Stock[Pres]))</f>
        <v>2107020005ho3</v>
      </c>
      <c r="I92" s="19">
        <v>1</v>
      </c>
      <c r="J92" s="17" t="s">
        <v>46</v>
      </c>
      <c r="K92" s="21">
        <f>IF(Stock[n°CC]=0,"",SUMIF(Egreso[Código de barras],Stock[Código de barras],Egreso[Cantidad]))</f>
        <v>1</v>
      </c>
      <c r="L92" s="21">
        <f>IF(Stock[n°CC]=0,"",SUMIF(Ingreso[Código de barras],Stock[Código de barras],Ingreso[Cantidad]))</f>
        <v>0</v>
      </c>
      <c r="M92" s="22" t="str">
        <f>IF(Stock[n°CC]=0,"",IF(Stock[n°]=Stock[Egreso],"Si","No"))</f>
        <v>Si</v>
      </c>
      <c r="N92" s="22" t="str">
        <f>IF(OR(Stock[n°CC]=0,Stock[n°CC]="vacio"),"",IF(AND(Stock[n°]=Stock[Egreso],Stock[Egreso]=Stock[Ingreso]),"Si","No"))</f>
        <v>No</v>
      </c>
      <c r="O92" s="18"/>
    </row>
    <row r="93" spans="1:15" x14ac:dyDescent="0.25">
      <c r="A93" s="15">
        <v>2107020005</v>
      </c>
      <c r="B93" s="13" t="s">
        <v>12</v>
      </c>
      <c r="C93" s="13" t="s">
        <v>187</v>
      </c>
      <c r="D93" s="35">
        <v>44378</v>
      </c>
      <c r="E93" s="35"/>
      <c r="F93" s="4" t="s">
        <v>10</v>
      </c>
      <c r="G93" s="12" t="s">
        <v>5</v>
      </c>
      <c r="H93" s="16" t="str">
        <f>TRIM(IF(Stock[n°CC]=0,"",Stock[n°CC]&amp;""&amp;Stock[Pres]))</f>
        <v>2107020005noh</v>
      </c>
      <c r="I93" s="19">
        <v>1</v>
      </c>
      <c r="J93" s="17" t="s">
        <v>46</v>
      </c>
      <c r="K93" s="21">
        <f>IF(Stock[n°CC]=0,"",SUMIF(Egreso[Código de barras],Stock[Código de barras],Egreso[Cantidad]))</f>
        <v>1</v>
      </c>
      <c r="L93" s="21">
        <f>IF(Stock[n°CC]=0,"",SUMIF(Ingreso[Código de barras],Stock[Código de barras],Ingreso[Cantidad]))</f>
        <v>0</v>
      </c>
      <c r="M93" s="22" t="str">
        <f>IF(Stock[n°CC]=0,"",IF(Stock[n°]=Stock[Egreso],"Si","No"))</f>
        <v>Si</v>
      </c>
      <c r="N93" s="22" t="str">
        <f>IF(OR(Stock[n°CC]=0,Stock[n°CC]="vacio"),"",IF(AND(Stock[n°]=Stock[Egreso],Stock[Egreso]=Stock[Ingreso]),"Si","No"))</f>
        <v>No</v>
      </c>
      <c r="O93" s="18"/>
    </row>
    <row r="94" spans="1:15" x14ac:dyDescent="0.25">
      <c r="A94" s="15">
        <v>2107020004</v>
      </c>
      <c r="B94" s="13" t="s">
        <v>12</v>
      </c>
      <c r="C94" s="13" t="s">
        <v>188</v>
      </c>
      <c r="D94" s="35">
        <v>44378</v>
      </c>
      <c r="E94" s="35"/>
      <c r="F94" s="4" t="s">
        <v>10</v>
      </c>
      <c r="G94" s="12" t="s">
        <v>11</v>
      </c>
      <c r="H94" s="16" t="str">
        <f>TRIM(IF(Stock[n°CC]=0,"",Stock[n°CC]&amp;""&amp;Stock[Pres]))</f>
        <v>2107020004vn1</v>
      </c>
      <c r="I94" s="19">
        <v>1</v>
      </c>
      <c r="J94" s="17" t="s">
        <v>46</v>
      </c>
      <c r="K94" s="21">
        <f>IF(Stock[n°CC]=0,"",SUMIF(Egreso[Código de barras],Stock[Código de barras],Egreso[Cantidad]))</f>
        <v>1</v>
      </c>
      <c r="L94" s="21">
        <f>IF(Stock[n°CC]=0,"",SUMIF(Ingreso[Código de barras],Stock[Código de barras],Ingreso[Cantidad]))</f>
        <v>0</v>
      </c>
      <c r="M94" s="22" t="str">
        <f>IF(Stock[n°CC]=0,"",IF(Stock[n°]=Stock[Egreso],"Si","No"))</f>
        <v>Si</v>
      </c>
      <c r="N94" s="22" t="str">
        <f>IF(OR(Stock[n°CC]=0,Stock[n°CC]="vacio"),"",IF(AND(Stock[n°]=Stock[Egreso],Stock[Egreso]=Stock[Ingreso]),"Si","No"))</f>
        <v>No</v>
      </c>
      <c r="O94" s="18"/>
    </row>
    <row r="95" spans="1:15" x14ac:dyDescent="0.25">
      <c r="A95" s="15">
        <v>2107020004</v>
      </c>
      <c r="B95" s="13" t="s">
        <v>12</v>
      </c>
      <c r="C95" s="13" t="s">
        <v>188</v>
      </c>
      <c r="D95" s="35">
        <v>44378</v>
      </c>
      <c r="E95" s="35"/>
      <c r="F95" s="4" t="s">
        <v>10</v>
      </c>
      <c r="G95" s="12" t="s">
        <v>4</v>
      </c>
      <c r="H95" s="16" t="str">
        <f>TRIM(IF(Stock[n°CC]=0,"",Stock[n°CC]&amp;""&amp;Stock[Pres]))</f>
        <v>2107020004pn</v>
      </c>
      <c r="I95" s="19">
        <v>1</v>
      </c>
      <c r="J95" s="17" t="s">
        <v>46</v>
      </c>
      <c r="K95" s="21">
        <f>IF(Stock[n°CC]=0,"",SUMIF(Egreso[Código de barras],Stock[Código de barras],Egreso[Cantidad]))</f>
        <v>1</v>
      </c>
      <c r="L95" s="21">
        <f>IF(Stock[n°CC]=0,"",SUMIF(Ingreso[Código de barras],Stock[Código de barras],Ingreso[Cantidad]))</f>
        <v>0</v>
      </c>
      <c r="M95" s="22" t="str">
        <f>IF(Stock[n°CC]=0,"",IF(Stock[n°]=Stock[Egreso],"Si","No"))</f>
        <v>Si</v>
      </c>
      <c r="N95" s="22" t="str">
        <f>IF(OR(Stock[n°CC]=0,Stock[n°CC]="vacio"),"",IF(AND(Stock[n°]=Stock[Egreso],Stock[Egreso]=Stock[Ingreso]),"Si","No"))</f>
        <v>No</v>
      </c>
      <c r="O95" s="18"/>
    </row>
    <row r="96" spans="1:15" x14ac:dyDescent="0.25">
      <c r="A96" s="15">
        <v>2107020004</v>
      </c>
      <c r="B96" s="13" t="s">
        <v>12</v>
      </c>
      <c r="C96" s="13" t="s">
        <v>188</v>
      </c>
      <c r="D96" s="35">
        <v>44378</v>
      </c>
      <c r="E96" s="35"/>
      <c r="F96" s="4" t="s">
        <v>10</v>
      </c>
      <c r="G96" s="12" t="s">
        <v>2</v>
      </c>
      <c r="H96" s="16" t="str">
        <f>TRIM(IF(Stock[n°CC]=0,"",Stock[n°CC]&amp;""&amp;Stock[Pres]))</f>
        <v>2107020004p50</v>
      </c>
      <c r="I96" s="19">
        <v>1</v>
      </c>
      <c r="J96" s="17" t="s">
        <v>46</v>
      </c>
      <c r="K96" s="21">
        <f>IF(Stock[n°CC]=0,"",SUMIF(Egreso[Código de barras],Stock[Código de barras],Egreso[Cantidad]))</f>
        <v>1</v>
      </c>
      <c r="L96" s="21">
        <f>IF(Stock[n°CC]=0,"",SUMIF(Ingreso[Código de barras],Stock[Código de barras],Ingreso[Cantidad]))</f>
        <v>0</v>
      </c>
      <c r="M96" s="22" t="str">
        <f>IF(Stock[n°CC]=0,"",IF(Stock[n°]=Stock[Egreso],"Si","No"))</f>
        <v>Si</v>
      </c>
      <c r="N96" s="22" t="str">
        <f>IF(OR(Stock[n°CC]=0,Stock[n°CC]="vacio"),"",IF(AND(Stock[n°]=Stock[Egreso],Stock[Egreso]=Stock[Ingreso]),"Si","No"))</f>
        <v>No</v>
      </c>
      <c r="O96" s="18"/>
    </row>
    <row r="97" spans="1:15" x14ac:dyDescent="0.25">
      <c r="A97" s="15">
        <v>2107020004</v>
      </c>
      <c r="B97" s="13" t="s">
        <v>12</v>
      </c>
      <c r="C97" s="13" t="s">
        <v>188</v>
      </c>
      <c r="D97" s="35">
        <v>44378</v>
      </c>
      <c r="E97" s="35"/>
      <c r="F97" s="4" t="s">
        <v>10</v>
      </c>
      <c r="G97" s="12" t="s">
        <v>8</v>
      </c>
      <c r="H97" s="16" t="str">
        <f>TRIM(IF(Stock[n°CC]=0,"",Stock[n°CC]&amp;""&amp;Stock[Pres]))</f>
        <v>2107020004ho3</v>
      </c>
      <c r="I97" s="19">
        <v>1</v>
      </c>
      <c r="J97" s="17" t="s">
        <v>46</v>
      </c>
      <c r="K97" s="21">
        <f>IF(Stock[n°CC]=0,"",SUMIF(Egreso[Código de barras],Stock[Código de barras],Egreso[Cantidad]))</f>
        <v>1</v>
      </c>
      <c r="L97" s="21">
        <f>IF(Stock[n°CC]=0,"",SUMIF(Ingreso[Código de barras],Stock[Código de barras],Ingreso[Cantidad]))</f>
        <v>0</v>
      </c>
      <c r="M97" s="22" t="str">
        <f>IF(Stock[n°CC]=0,"",IF(Stock[n°]=Stock[Egreso],"Si","No"))</f>
        <v>Si</v>
      </c>
      <c r="N97" s="22" t="str">
        <f>IF(OR(Stock[n°CC]=0,Stock[n°CC]="vacio"),"",IF(AND(Stock[n°]=Stock[Egreso],Stock[Egreso]=Stock[Ingreso]),"Si","No"))</f>
        <v>No</v>
      </c>
      <c r="O97" s="18"/>
    </row>
    <row r="98" spans="1:15" x14ac:dyDescent="0.25">
      <c r="A98" s="15">
        <v>2107020004</v>
      </c>
      <c r="B98" s="13" t="s">
        <v>12</v>
      </c>
      <c r="C98" s="13" t="s">
        <v>188</v>
      </c>
      <c r="D98" s="35">
        <v>44378</v>
      </c>
      <c r="E98" s="35"/>
      <c r="F98" s="4" t="s">
        <v>10</v>
      </c>
      <c r="G98" s="12" t="s">
        <v>5</v>
      </c>
      <c r="H98" s="16" t="str">
        <f>TRIM(IF(Stock[n°CC]=0,"",Stock[n°CC]&amp;""&amp;Stock[Pres]))</f>
        <v>2107020004noh</v>
      </c>
      <c r="I98" s="19">
        <v>1</v>
      </c>
      <c r="J98" s="17" t="s">
        <v>46</v>
      </c>
      <c r="K98" s="21">
        <f>IF(Stock[n°CC]=0,"",SUMIF(Egreso[Código de barras],Stock[Código de barras],Egreso[Cantidad]))</f>
        <v>1</v>
      </c>
      <c r="L98" s="21">
        <f>IF(Stock[n°CC]=0,"",SUMIF(Ingreso[Código de barras],Stock[Código de barras],Ingreso[Cantidad]))</f>
        <v>0</v>
      </c>
      <c r="M98" s="22" t="str">
        <f>IF(Stock[n°CC]=0,"",IF(Stock[n°]=Stock[Egreso],"Si","No"))</f>
        <v>Si</v>
      </c>
      <c r="N98" s="22" t="str">
        <f>IF(OR(Stock[n°CC]=0,Stock[n°CC]="vacio"),"",IF(AND(Stock[n°]=Stock[Egreso],Stock[Egreso]=Stock[Ingreso]),"Si","No"))</f>
        <v>No</v>
      </c>
      <c r="O98" s="18"/>
    </row>
    <row r="99" spans="1:15" x14ac:dyDescent="0.25">
      <c r="A99" s="15">
        <v>2107020003</v>
      </c>
      <c r="B99" s="13" t="s">
        <v>12</v>
      </c>
      <c r="C99" s="13" t="s">
        <v>189</v>
      </c>
      <c r="D99" s="35">
        <v>44378</v>
      </c>
      <c r="E99" s="35"/>
      <c r="F99" s="4" t="s">
        <v>10</v>
      </c>
      <c r="G99" s="12" t="s">
        <v>11</v>
      </c>
      <c r="H99" s="16" t="str">
        <f>TRIM(IF(Stock[n°CC]=0,"",Stock[n°CC]&amp;""&amp;Stock[Pres]))</f>
        <v>2107020003vn1</v>
      </c>
      <c r="I99" s="19">
        <v>1</v>
      </c>
      <c r="J99" s="17" t="s">
        <v>46</v>
      </c>
      <c r="K99" s="21">
        <f>IF(Stock[n°CC]=0,"",SUMIF(Egreso[Código de barras],Stock[Código de barras],Egreso[Cantidad]))</f>
        <v>1</v>
      </c>
      <c r="L99" s="21">
        <f>IF(Stock[n°CC]=0,"",SUMIF(Ingreso[Código de barras],Stock[Código de barras],Ingreso[Cantidad]))</f>
        <v>0</v>
      </c>
      <c r="M99" s="22" t="str">
        <f>IF(Stock[n°CC]=0,"",IF(Stock[n°]=Stock[Egreso],"Si","No"))</f>
        <v>Si</v>
      </c>
      <c r="N99" s="22" t="str">
        <f>IF(OR(Stock[n°CC]=0,Stock[n°CC]="vacio"),"",IF(AND(Stock[n°]=Stock[Egreso],Stock[Egreso]=Stock[Ingreso]),"Si","No"))</f>
        <v>No</v>
      </c>
      <c r="O99" s="18"/>
    </row>
    <row r="100" spans="1:15" x14ac:dyDescent="0.25">
      <c r="A100" s="15">
        <v>2107020003</v>
      </c>
      <c r="B100" s="13" t="s">
        <v>12</v>
      </c>
      <c r="C100" s="13" t="s">
        <v>189</v>
      </c>
      <c r="D100" s="35">
        <v>44378</v>
      </c>
      <c r="E100" s="35"/>
      <c r="F100" s="4" t="s">
        <v>10</v>
      </c>
      <c r="G100" s="12" t="s">
        <v>4</v>
      </c>
      <c r="H100" s="16" t="str">
        <f>TRIM(IF(Stock[n°CC]=0,"",Stock[n°CC]&amp;""&amp;Stock[Pres]))</f>
        <v>2107020003pn</v>
      </c>
      <c r="I100" s="19">
        <v>1</v>
      </c>
      <c r="J100" s="17" t="s">
        <v>46</v>
      </c>
      <c r="K100" s="21">
        <f>IF(Stock[n°CC]=0,"",SUMIF(Egreso[Código de barras],Stock[Código de barras],Egreso[Cantidad]))</f>
        <v>1</v>
      </c>
      <c r="L100" s="21">
        <f>IF(Stock[n°CC]=0,"",SUMIF(Ingreso[Código de barras],Stock[Código de barras],Ingreso[Cantidad]))</f>
        <v>0</v>
      </c>
      <c r="M100" s="22" t="str">
        <f>IF(Stock[n°CC]=0,"",IF(Stock[n°]=Stock[Egreso],"Si","No"))</f>
        <v>Si</v>
      </c>
      <c r="N100" s="22" t="str">
        <f>IF(OR(Stock[n°CC]=0,Stock[n°CC]="vacio"),"",IF(AND(Stock[n°]=Stock[Egreso],Stock[Egreso]=Stock[Ingreso]),"Si","No"))</f>
        <v>No</v>
      </c>
      <c r="O100" s="18"/>
    </row>
    <row r="101" spans="1:15" x14ac:dyDescent="0.25">
      <c r="A101" s="15">
        <v>2107020003</v>
      </c>
      <c r="B101" s="13" t="s">
        <v>12</v>
      </c>
      <c r="C101" s="13" t="s">
        <v>189</v>
      </c>
      <c r="D101" s="35">
        <v>44378</v>
      </c>
      <c r="E101" s="35"/>
      <c r="F101" s="4" t="s">
        <v>10</v>
      </c>
      <c r="G101" s="12" t="s">
        <v>2</v>
      </c>
      <c r="H101" s="16" t="str">
        <f>TRIM(IF(Stock[n°CC]=0,"",Stock[n°CC]&amp;""&amp;Stock[Pres]))</f>
        <v>2107020003p50</v>
      </c>
      <c r="I101" s="19">
        <v>1</v>
      </c>
      <c r="J101" s="17" t="s">
        <v>46</v>
      </c>
      <c r="K101" s="21">
        <f>IF(Stock[n°CC]=0,"",SUMIF(Egreso[Código de barras],Stock[Código de barras],Egreso[Cantidad]))</f>
        <v>1</v>
      </c>
      <c r="L101" s="21">
        <f>IF(Stock[n°CC]=0,"",SUMIF(Ingreso[Código de barras],Stock[Código de barras],Ingreso[Cantidad]))</f>
        <v>0</v>
      </c>
      <c r="M101" s="22" t="str">
        <f>IF(Stock[n°CC]=0,"",IF(Stock[n°]=Stock[Egreso],"Si","No"))</f>
        <v>Si</v>
      </c>
      <c r="N101" s="22" t="str">
        <f>IF(OR(Stock[n°CC]=0,Stock[n°CC]="vacio"),"",IF(AND(Stock[n°]=Stock[Egreso],Stock[Egreso]=Stock[Ingreso]),"Si","No"))</f>
        <v>No</v>
      </c>
      <c r="O101" s="18"/>
    </row>
    <row r="102" spans="1:15" x14ac:dyDescent="0.25">
      <c r="A102" s="15">
        <v>2107020003</v>
      </c>
      <c r="B102" s="13" t="s">
        <v>12</v>
      </c>
      <c r="C102" s="13" t="s">
        <v>189</v>
      </c>
      <c r="D102" s="35">
        <v>44378</v>
      </c>
      <c r="E102" s="35"/>
      <c r="F102" s="4" t="s">
        <v>10</v>
      </c>
      <c r="G102" s="12" t="s">
        <v>8</v>
      </c>
      <c r="H102" s="16" t="str">
        <f>TRIM(IF(Stock[n°CC]=0,"",Stock[n°CC]&amp;""&amp;Stock[Pres]))</f>
        <v>2107020003ho3</v>
      </c>
      <c r="I102" s="19">
        <v>1</v>
      </c>
      <c r="J102" s="17" t="s">
        <v>46</v>
      </c>
      <c r="K102" s="21">
        <f>IF(Stock[n°CC]=0,"",SUMIF(Egreso[Código de barras],Stock[Código de barras],Egreso[Cantidad]))</f>
        <v>1</v>
      </c>
      <c r="L102" s="21">
        <f>IF(Stock[n°CC]=0,"",SUMIF(Ingreso[Código de barras],Stock[Código de barras],Ingreso[Cantidad]))</f>
        <v>0</v>
      </c>
      <c r="M102" s="22" t="str">
        <f>IF(Stock[n°CC]=0,"",IF(Stock[n°]=Stock[Egreso],"Si","No"))</f>
        <v>Si</v>
      </c>
      <c r="N102" s="22" t="str">
        <f>IF(OR(Stock[n°CC]=0,Stock[n°CC]="vacio"),"",IF(AND(Stock[n°]=Stock[Egreso],Stock[Egreso]=Stock[Ingreso]),"Si","No"))</f>
        <v>No</v>
      </c>
      <c r="O102" s="18"/>
    </row>
    <row r="103" spans="1:15" x14ac:dyDescent="0.25">
      <c r="A103" s="15">
        <v>2107020003</v>
      </c>
      <c r="B103" s="13" t="s">
        <v>12</v>
      </c>
      <c r="C103" s="13" t="s">
        <v>189</v>
      </c>
      <c r="D103" s="35">
        <v>44378</v>
      </c>
      <c r="E103" s="35"/>
      <c r="F103" s="4" t="s">
        <v>10</v>
      </c>
      <c r="G103" s="12" t="s">
        <v>5</v>
      </c>
      <c r="H103" s="16" t="str">
        <f>TRIM(IF(Stock[n°CC]=0,"",Stock[n°CC]&amp;""&amp;Stock[Pres]))</f>
        <v>2107020003noh</v>
      </c>
      <c r="I103" s="19">
        <v>1</v>
      </c>
      <c r="J103" s="17" t="s">
        <v>46</v>
      </c>
      <c r="K103" s="21">
        <f>IF(Stock[n°CC]=0,"",SUMIF(Egreso[Código de barras],Stock[Código de barras],Egreso[Cantidad]))</f>
        <v>1</v>
      </c>
      <c r="L103" s="21">
        <f>IF(Stock[n°CC]=0,"",SUMIF(Ingreso[Código de barras],Stock[Código de barras],Ingreso[Cantidad]))</f>
        <v>0</v>
      </c>
      <c r="M103" s="22" t="str">
        <f>IF(Stock[n°CC]=0,"",IF(Stock[n°]=Stock[Egreso],"Si","No"))</f>
        <v>Si</v>
      </c>
      <c r="N103" s="22" t="str">
        <f>IF(OR(Stock[n°CC]=0,Stock[n°CC]="vacio"),"",IF(AND(Stock[n°]=Stock[Egreso],Stock[Egreso]=Stock[Ingreso]),"Si","No"))</f>
        <v>No</v>
      </c>
      <c r="O103" s="18"/>
    </row>
    <row r="104" spans="1:15" x14ac:dyDescent="0.25">
      <c r="A104" s="15"/>
      <c r="B104" s="15"/>
      <c r="C104" s="15"/>
      <c r="D104" s="15"/>
      <c r="E104" s="35"/>
      <c r="F104" s="14"/>
      <c r="G104" s="14"/>
      <c r="H104" s="16" t="str">
        <f>TRIM(IF(Stock[n°CC]=0,"",Stock[n°CC]&amp;""&amp;Stock[Pres]))</f>
        <v/>
      </c>
      <c r="I104" s="19"/>
      <c r="J104" s="17"/>
      <c r="K104" s="21" t="str">
        <f>IF(Stock[n°CC]=0,"",SUMIF(Egreso[Código de barras],Stock[Código de barras],Egreso[Cantidad]))</f>
        <v/>
      </c>
      <c r="L104" s="21" t="str">
        <f>IF(Stock[n°CC]=0,"",SUMIF(Ingreso[Código de barras],Stock[Código de barras],Ingreso[Cantidad]))</f>
        <v/>
      </c>
      <c r="M104" s="22" t="str">
        <f>IF(Stock[n°CC]=0,"",IF(Stock[n°]=Stock[Egreso],"Si","No"))</f>
        <v/>
      </c>
      <c r="N104" s="22" t="str">
        <f>IF(OR(Stock[n°CC]=0,Stock[n°CC]="vacio"),"",IF(AND(Stock[n°]=Stock[Egreso],Stock[Egreso]=Stock[Ingreso]),"Si","No"))</f>
        <v/>
      </c>
      <c r="O104" s="18"/>
    </row>
    <row r="105" spans="1:15" x14ac:dyDescent="0.25">
      <c r="A105" s="15"/>
      <c r="B105" s="15"/>
      <c r="C105" s="15"/>
      <c r="D105" s="15"/>
      <c r="E105" s="35"/>
      <c r="F105" s="14"/>
      <c r="G105" s="14"/>
      <c r="H105" s="16" t="str">
        <f>TRIM(IF(Stock[n°CC]=0,"",Stock[n°CC]&amp;""&amp;Stock[Pres]))</f>
        <v/>
      </c>
      <c r="I105" s="19"/>
      <c r="J105" s="17"/>
      <c r="K105" s="21" t="str">
        <f>IF(Stock[n°CC]=0,"",SUMIF(Egreso[Código de barras],Stock[Código de barras],Egreso[Cantidad]))</f>
        <v/>
      </c>
      <c r="L105" s="21" t="str">
        <f>IF(Stock[n°CC]=0,"",SUMIF(Ingreso[Código de barras],Stock[Código de barras],Ingreso[Cantidad]))</f>
        <v/>
      </c>
      <c r="M105" s="22" t="str">
        <f>IF(Stock[n°CC]=0,"",IF(Stock[n°]=Stock[Egreso],"Si","No"))</f>
        <v/>
      </c>
      <c r="N105" s="22" t="str">
        <f>IF(OR(Stock[n°CC]=0,Stock[n°CC]="vacio"),"",IF(AND(Stock[n°]=Stock[Egreso],Stock[Egreso]=Stock[Ingreso]),"Si","No"))</f>
        <v/>
      </c>
      <c r="O105" s="18"/>
    </row>
    <row r="106" spans="1:15" x14ac:dyDescent="0.25">
      <c r="A106" s="15"/>
      <c r="B106" s="15"/>
      <c r="C106" s="15"/>
      <c r="D106" s="15"/>
      <c r="E106" s="35"/>
      <c r="F106" s="14"/>
      <c r="G106" s="14"/>
      <c r="H106" s="16" t="str">
        <f>TRIM(IF(Stock[n°CC]=0,"",Stock[n°CC]&amp;""&amp;Stock[Pres]))</f>
        <v/>
      </c>
      <c r="I106" s="19"/>
      <c r="J106" s="17"/>
      <c r="K106" s="21" t="str">
        <f>IF(Stock[n°CC]=0,"",SUMIF(Egreso[Código de barras],Stock[Código de barras],Egreso[Cantidad]))</f>
        <v/>
      </c>
      <c r="L106" s="21" t="str">
        <f>IF(Stock[n°CC]=0,"",SUMIF(Ingreso[Código de barras],Stock[Código de barras],Ingreso[Cantidad]))</f>
        <v/>
      </c>
      <c r="M106" s="22" t="str">
        <f>IF(Stock[n°CC]=0,"",IF(Stock[n°]=Stock[Egreso],"Si","No"))</f>
        <v/>
      </c>
      <c r="N106" s="22" t="str">
        <f>IF(OR(Stock[n°CC]=0,Stock[n°CC]="vacio"),"",IF(AND(Stock[n°]=Stock[Egreso],Stock[Egreso]=Stock[Ingreso]),"Si","No"))</f>
        <v/>
      </c>
      <c r="O106" s="18"/>
    </row>
    <row r="107" spans="1:15" x14ac:dyDescent="0.25">
      <c r="A107" s="15"/>
      <c r="B107" s="15"/>
      <c r="C107" s="15"/>
      <c r="D107" s="15"/>
      <c r="E107" s="35"/>
      <c r="F107" s="14"/>
      <c r="G107" s="14"/>
      <c r="H107" s="16" t="str">
        <f>TRIM(IF(Stock[n°CC]=0,"",Stock[n°CC]&amp;""&amp;Stock[Pres]))</f>
        <v/>
      </c>
      <c r="I107" s="19"/>
      <c r="J107" s="17"/>
      <c r="K107" s="21" t="str">
        <f>IF(Stock[n°CC]=0,"",SUMIF(Egreso[Código de barras],Stock[Código de barras],Egreso[Cantidad]))</f>
        <v/>
      </c>
      <c r="L107" s="21" t="str">
        <f>IF(Stock[n°CC]=0,"",SUMIF(Ingreso[Código de barras],Stock[Código de barras],Ingreso[Cantidad]))</f>
        <v/>
      </c>
      <c r="M107" s="22" t="str">
        <f>IF(Stock[n°CC]=0,"",IF(Stock[n°]=Stock[Egreso],"Si","No"))</f>
        <v/>
      </c>
      <c r="N107" s="22" t="str">
        <f>IF(OR(Stock[n°CC]=0,Stock[n°CC]="vacio"),"",IF(AND(Stock[n°]=Stock[Egreso],Stock[Egreso]=Stock[Ingreso]),"Si","No"))</f>
        <v/>
      </c>
      <c r="O107" s="18"/>
    </row>
    <row r="108" spans="1:15" x14ac:dyDescent="0.25">
      <c r="A108" s="15"/>
      <c r="B108" s="15"/>
      <c r="C108" s="15"/>
      <c r="D108" s="15"/>
      <c r="E108" s="35"/>
      <c r="F108" s="14"/>
      <c r="G108" s="14"/>
      <c r="H108" s="16" t="str">
        <f>TRIM(IF(Stock[n°CC]=0,"",Stock[n°CC]&amp;""&amp;Stock[Pres]))</f>
        <v/>
      </c>
      <c r="I108" s="19"/>
      <c r="J108" s="17"/>
      <c r="K108" s="21" t="str">
        <f>IF(Stock[n°CC]=0,"",SUMIF(Egreso[Código de barras],Stock[Código de barras],Egreso[Cantidad]))</f>
        <v/>
      </c>
      <c r="L108" s="21" t="str">
        <f>IF(Stock[n°CC]=0,"",SUMIF(Ingreso[Código de barras],Stock[Código de barras],Ingreso[Cantidad]))</f>
        <v/>
      </c>
      <c r="M108" s="22" t="str">
        <f>IF(Stock[n°CC]=0,"",IF(Stock[n°]=Stock[Egreso],"Si","No"))</f>
        <v/>
      </c>
      <c r="N108" s="22" t="str">
        <f>IF(OR(Stock[n°CC]=0,Stock[n°CC]="vacio"),"",IF(AND(Stock[n°]=Stock[Egreso],Stock[Egreso]=Stock[Ingreso]),"Si","No"))</f>
        <v/>
      </c>
      <c r="O108" s="18"/>
    </row>
    <row r="109" spans="1:15" x14ac:dyDescent="0.25">
      <c r="A109" s="15"/>
      <c r="B109" s="15"/>
      <c r="C109" s="15"/>
      <c r="D109" s="15"/>
      <c r="E109" s="35"/>
      <c r="F109" s="14"/>
      <c r="G109" s="14"/>
      <c r="H109" s="16" t="str">
        <f>TRIM(IF(Stock[n°CC]=0,"",Stock[n°CC]&amp;""&amp;Stock[Pres]))</f>
        <v/>
      </c>
      <c r="I109" s="19"/>
      <c r="J109" s="17"/>
      <c r="K109" s="21" t="str">
        <f>IF(Stock[n°CC]=0,"",SUMIF(Egreso[Código de barras],Stock[Código de barras],Egreso[Cantidad]))</f>
        <v/>
      </c>
      <c r="L109" s="21" t="str">
        <f>IF(Stock[n°CC]=0,"",SUMIF(Ingreso[Código de barras],Stock[Código de barras],Ingreso[Cantidad]))</f>
        <v/>
      </c>
      <c r="M109" s="22" t="str">
        <f>IF(Stock[n°CC]=0,"",IF(Stock[n°]=Stock[Egreso],"Si","No"))</f>
        <v/>
      </c>
      <c r="N109" s="22" t="str">
        <f>IF(OR(Stock[n°CC]=0,Stock[n°CC]="vacio"),"",IF(AND(Stock[n°]=Stock[Egreso],Stock[Egreso]=Stock[Ingreso]),"Si","No"))</f>
        <v/>
      </c>
      <c r="O109" s="18"/>
    </row>
    <row r="110" spans="1:15" x14ac:dyDescent="0.25">
      <c r="A110" s="15"/>
      <c r="B110" s="15"/>
      <c r="C110" s="15"/>
      <c r="D110" s="15"/>
      <c r="E110" s="35"/>
      <c r="F110" s="14"/>
      <c r="G110" s="14"/>
      <c r="H110" s="16" t="str">
        <f>TRIM(IF(Stock[n°CC]=0,"",Stock[n°CC]&amp;""&amp;Stock[Pres]))</f>
        <v/>
      </c>
      <c r="I110" s="19"/>
      <c r="J110" s="17"/>
      <c r="K110" s="21" t="str">
        <f>IF(Stock[n°CC]=0,"",SUMIF(Egreso[Código de barras],Stock[Código de barras],Egreso[Cantidad]))</f>
        <v/>
      </c>
      <c r="L110" s="21" t="str">
        <f>IF(Stock[n°CC]=0,"",SUMIF(Ingreso[Código de barras],Stock[Código de barras],Ingreso[Cantidad]))</f>
        <v/>
      </c>
      <c r="M110" s="22" t="str">
        <f>IF(Stock[n°CC]=0,"",IF(Stock[n°]=Stock[Egreso],"Si","No"))</f>
        <v/>
      </c>
      <c r="N110" s="22" t="str">
        <f>IF(OR(Stock[n°CC]=0,Stock[n°CC]="vacio"),"",IF(AND(Stock[n°]=Stock[Egreso],Stock[Egreso]=Stock[Ingreso]),"Si","No"))</f>
        <v/>
      </c>
      <c r="O110" s="18"/>
    </row>
    <row r="111" spans="1:15" x14ac:dyDescent="0.25">
      <c r="A111" s="15"/>
      <c r="B111" s="15"/>
      <c r="C111" s="15"/>
      <c r="D111" s="15" t="s">
        <v>192</v>
      </c>
      <c r="E111" s="35"/>
      <c r="F111" s="14"/>
      <c r="G111" s="14"/>
      <c r="H111" s="16" t="str">
        <f>TRIM(IF(Stock[n°CC]=0,"",Stock[n°CC]&amp;""&amp;Stock[Pres]))</f>
        <v/>
      </c>
      <c r="I111" s="19"/>
      <c r="J111" s="17"/>
      <c r="K111" s="21" t="str">
        <f>IF(Stock[n°CC]=0,"",SUMIF(Egreso[Código de barras],Stock[Código de barras],Egreso[Cantidad]))</f>
        <v/>
      </c>
      <c r="L111" s="21" t="str">
        <f>IF(Stock[n°CC]=0,"",SUMIF(Ingreso[Código de barras],Stock[Código de barras],Ingreso[Cantidad]))</f>
        <v/>
      </c>
      <c r="M111" s="22" t="str">
        <f>IF(Stock[n°CC]=0,"",IF(Stock[n°]=Stock[Egreso],"Si","No"))</f>
        <v/>
      </c>
      <c r="N111" s="22" t="str">
        <f>IF(OR(Stock[n°CC]=0,Stock[n°CC]="vacio"),"",IF(AND(Stock[n°]=Stock[Egreso],Stock[Egreso]=Stock[Ingreso]),"Si","No"))</f>
        <v/>
      </c>
      <c r="O111" s="18"/>
    </row>
    <row r="112" spans="1:15" x14ac:dyDescent="0.25">
      <c r="A112" s="15"/>
      <c r="B112" s="15"/>
      <c r="C112" s="15"/>
      <c r="D112" s="15"/>
      <c r="E112" s="35"/>
      <c r="F112" s="14"/>
      <c r="G112" s="14"/>
      <c r="H112" s="16" t="str">
        <f>TRIM(IF(Stock[n°CC]=0,"",Stock[n°CC]&amp;""&amp;Stock[Pres]))</f>
        <v/>
      </c>
      <c r="I112" s="19"/>
      <c r="J112" s="17"/>
      <c r="K112" s="21" t="str">
        <f>IF(Stock[n°CC]=0,"",SUMIF(Egreso[Código de barras],Stock[Código de barras],Egreso[Cantidad]))</f>
        <v/>
      </c>
      <c r="L112" s="21" t="str">
        <f>IF(Stock[n°CC]=0,"",SUMIF(Ingreso[Código de barras],Stock[Código de barras],Ingreso[Cantidad]))</f>
        <v/>
      </c>
      <c r="M112" s="22" t="str">
        <f>IF(Stock[n°CC]=0,"",IF(Stock[n°]=Stock[Egreso],"Si","No"))</f>
        <v/>
      </c>
      <c r="N112" s="22" t="str">
        <f>IF(OR(Stock[n°CC]=0,Stock[n°CC]="vacio"),"",IF(AND(Stock[n°]=Stock[Egreso],Stock[Egreso]=Stock[Ingreso]),"Si","No"))</f>
        <v/>
      </c>
      <c r="O112" s="18"/>
    </row>
    <row r="113" spans="1:15" x14ac:dyDescent="0.25">
      <c r="A113" s="15"/>
      <c r="B113" s="15"/>
      <c r="C113" s="15"/>
      <c r="D113" s="15"/>
      <c r="E113" s="35"/>
      <c r="F113" s="14"/>
      <c r="G113" s="14"/>
      <c r="H113" s="16" t="str">
        <f>TRIM(IF(Stock[n°CC]=0,"",Stock[n°CC]&amp;""&amp;Stock[Pres]))</f>
        <v/>
      </c>
      <c r="I113" s="19"/>
      <c r="J113" s="17"/>
      <c r="K113" s="21" t="str">
        <f>IF(Stock[n°CC]=0,"",SUMIF(Egreso[Código de barras],Stock[Código de barras],Egreso[Cantidad]))</f>
        <v/>
      </c>
      <c r="L113" s="21" t="str">
        <f>IF(Stock[n°CC]=0,"",SUMIF(Ingreso[Código de barras],Stock[Código de barras],Ingreso[Cantidad]))</f>
        <v/>
      </c>
      <c r="M113" s="22" t="str">
        <f>IF(Stock[n°CC]=0,"",IF(Stock[n°]=Stock[Egreso],"Si","No"))</f>
        <v/>
      </c>
      <c r="N113" s="22" t="str">
        <f>IF(OR(Stock[n°CC]=0,Stock[n°CC]="vacio"),"",IF(AND(Stock[n°]=Stock[Egreso],Stock[Egreso]=Stock[Ingreso]),"Si","No"))</f>
        <v/>
      </c>
      <c r="O113" s="18"/>
    </row>
    <row r="114" spans="1:15" x14ac:dyDescent="0.25">
      <c r="A114" s="15"/>
      <c r="B114" s="15"/>
      <c r="C114" s="15"/>
      <c r="D114" s="15"/>
      <c r="E114" s="35"/>
      <c r="F114" s="14"/>
      <c r="G114" s="14"/>
      <c r="H114" s="16" t="str">
        <f>TRIM(IF(Stock[n°CC]=0,"",Stock[n°CC]&amp;""&amp;Stock[Pres]))</f>
        <v/>
      </c>
      <c r="I114" s="19"/>
      <c r="J114" s="17"/>
      <c r="K114" s="21" t="str">
        <f>IF(Stock[n°CC]=0,"",SUMIF(Egreso[Código de barras],Stock[Código de barras],Egreso[Cantidad]))</f>
        <v/>
      </c>
      <c r="L114" s="21" t="str">
        <f>IF(Stock[n°CC]=0,"",SUMIF(Ingreso[Código de barras],Stock[Código de barras],Ingreso[Cantidad]))</f>
        <v/>
      </c>
      <c r="M114" s="22" t="str">
        <f>IF(Stock[n°CC]=0,"",IF(Stock[n°]=Stock[Egreso],"Si","No"))</f>
        <v/>
      </c>
      <c r="N114" s="22" t="str">
        <f>IF(OR(Stock[n°CC]=0,Stock[n°CC]="vacio"),"",IF(AND(Stock[n°]=Stock[Egreso],Stock[Egreso]=Stock[Ingreso]),"Si","No"))</f>
        <v/>
      </c>
      <c r="O114" s="18"/>
    </row>
    <row r="115" spans="1:15" x14ac:dyDescent="0.25">
      <c r="A115" s="15"/>
      <c r="B115" s="15"/>
      <c r="C115" s="15"/>
      <c r="D115" s="15"/>
      <c r="E115" s="35"/>
      <c r="F115" s="14"/>
      <c r="G115" s="14"/>
      <c r="H115" s="16" t="str">
        <f>TRIM(IF(Stock[n°CC]=0,"",Stock[n°CC]&amp;""&amp;Stock[Pres]))</f>
        <v/>
      </c>
      <c r="I115" s="19"/>
      <c r="J115" s="17"/>
      <c r="K115" s="21" t="str">
        <f>IF(Stock[n°CC]=0,"",SUMIF(Egreso[Código de barras],Stock[Código de barras],Egreso[Cantidad]))</f>
        <v/>
      </c>
      <c r="L115" s="21" t="str">
        <f>IF(Stock[n°CC]=0,"",SUMIF(Ingreso[Código de barras],Stock[Código de barras],Ingreso[Cantidad]))</f>
        <v/>
      </c>
      <c r="M115" s="22" t="str">
        <f>IF(Stock[n°CC]=0,"",IF(Stock[n°]=Stock[Egreso],"Si","No"))</f>
        <v/>
      </c>
      <c r="N115" s="22" t="str">
        <f>IF(OR(Stock[n°CC]=0,Stock[n°CC]="vacio"),"",IF(AND(Stock[n°]=Stock[Egreso],Stock[Egreso]=Stock[Ingreso]),"Si","No"))</f>
        <v/>
      </c>
      <c r="O115" s="18"/>
    </row>
    <row r="116" spans="1:15" x14ac:dyDescent="0.25">
      <c r="A116" s="15"/>
      <c r="B116" s="15"/>
      <c r="C116" s="15"/>
      <c r="D116" s="15"/>
      <c r="E116" s="35"/>
      <c r="F116" s="14"/>
      <c r="G116" s="14"/>
      <c r="H116" s="16" t="str">
        <f>TRIM(IF(Stock[n°CC]=0,"",Stock[n°CC]&amp;""&amp;Stock[Pres]))</f>
        <v/>
      </c>
      <c r="I116" s="19"/>
      <c r="J116" s="17"/>
      <c r="K116" s="21" t="str">
        <f>IF(Stock[n°CC]=0,"",SUMIF(Egreso[Código de barras],Stock[Código de barras],Egreso[Cantidad]))</f>
        <v/>
      </c>
      <c r="L116" s="21" t="str">
        <f>IF(Stock[n°CC]=0,"",SUMIF(Ingreso[Código de barras],Stock[Código de barras],Ingreso[Cantidad]))</f>
        <v/>
      </c>
      <c r="M116" s="22" t="str">
        <f>IF(Stock[n°CC]=0,"",IF(Stock[n°]=Stock[Egreso],"Si","No"))</f>
        <v/>
      </c>
      <c r="N116" s="22" t="str">
        <f>IF(OR(Stock[n°CC]=0,Stock[n°CC]="vacio"),"",IF(AND(Stock[n°]=Stock[Egreso],Stock[Egreso]=Stock[Ingreso]),"Si","No"))</f>
        <v/>
      </c>
      <c r="O116" s="18"/>
    </row>
    <row r="117" spans="1:15" x14ac:dyDescent="0.25">
      <c r="A117" s="15"/>
      <c r="B117" s="15"/>
      <c r="C117" s="15"/>
      <c r="D117" s="15"/>
      <c r="E117" s="35"/>
      <c r="F117" s="14"/>
      <c r="G117" s="14"/>
      <c r="H117" s="16" t="str">
        <f>TRIM(IF(Stock[n°CC]=0,"",Stock[n°CC]&amp;""&amp;Stock[Pres]))</f>
        <v/>
      </c>
      <c r="I117" s="19"/>
      <c r="J117" s="17"/>
      <c r="K117" s="21" t="str">
        <f>IF(Stock[n°CC]=0,"",SUMIF(Egreso[Código de barras],Stock[Código de barras],Egreso[Cantidad]))</f>
        <v/>
      </c>
      <c r="L117" s="21" t="str">
        <f>IF(Stock[n°CC]=0,"",SUMIF(Ingreso[Código de barras],Stock[Código de barras],Ingreso[Cantidad]))</f>
        <v/>
      </c>
      <c r="M117" s="22" t="str">
        <f>IF(Stock[n°CC]=0,"",IF(Stock[n°]=Stock[Egreso],"Si","No"))</f>
        <v/>
      </c>
      <c r="N117" s="22" t="str">
        <f>IF(OR(Stock[n°CC]=0,Stock[n°CC]="vacio"),"",IF(AND(Stock[n°]=Stock[Egreso],Stock[Egreso]=Stock[Ingreso]),"Si","No"))</f>
        <v/>
      </c>
      <c r="O117" s="18"/>
    </row>
    <row r="118" spans="1:15" x14ac:dyDescent="0.25">
      <c r="A118" s="15"/>
      <c r="B118" s="15"/>
      <c r="C118" s="15"/>
      <c r="D118" s="15"/>
      <c r="E118" s="35"/>
      <c r="F118" s="14"/>
      <c r="G118" s="14"/>
      <c r="H118" s="16" t="str">
        <f>TRIM(IF(Stock[n°CC]=0,"",Stock[n°CC]&amp;""&amp;Stock[Pres]))</f>
        <v/>
      </c>
      <c r="I118" s="19"/>
      <c r="J118" s="17"/>
      <c r="K118" s="21" t="str">
        <f>IF(Stock[n°CC]=0,"",SUMIF(Egreso[Código de barras],Stock[Código de barras],Egreso[Cantidad]))</f>
        <v/>
      </c>
      <c r="L118" s="21" t="str">
        <f>IF(Stock[n°CC]=0,"",SUMIF(Ingreso[Código de barras],Stock[Código de barras],Ingreso[Cantidad]))</f>
        <v/>
      </c>
      <c r="M118" s="22" t="str">
        <f>IF(Stock[n°CC]=0,"",IF(Stock[n°]=Stock[Egreso],"Si","No"))</f>
        <v/>
      </c>
      <c r="N118" s="22" t="str">
        <f>IF(OR(Stock[n°CC]=0,Stock[n°CC]="vacio"),"",IF(AND(Stock[n°]=Stock[Egreso],Stock[Egreso]=Stock[Ingreso]),"Si","No"))</f>
        <v/>
      </c>
      <c r="O118" s="18"/>
    </row>
    <row r="119" spans="1:15" x14ac:dyDescent="0.25">
      <c r="A119" s="15"/>
      <c r="B119" s="15"/>
      <c r="C119" s="15"/>
      <c r="D119" s="15"/>
      <c r="E119" s="35"/>
      <c r="F119" s="14"/>
      <c r="G119" s="14"/>
      <c r="H119" s="16" t="str">
        <f>TRIM(IF(Stock[n°CC]=0,"",Stock[n°CC]&amp;""&amp;Stock[Pres]))</f>
        <v/>
      </c>
      <c r="I119" s="19"/>
      <c r="J119" s="17"/>
      <c r="K119" s="21" t="str">
        <f>IF(Stock[n°CC]=0,"",SUMIF(Egreso[Código de barras],Stock[Código de barras],Egreso[Cantidad]))</f>
        <v/>
      </c>
      <c r="L119" s="21" t="str">
        <f>IF(Stock[n°CC]=0,"",SUMIF(Ingreso[Código de barras],Stock[Código de barras],Ingreso[Cantidad]))</f>
        <v/>
      </c>
      <c r="M119" s="22" t="str">
        <f>IF(Stock[n°CC]=0,"",IF(Stock[n°]=Stock[Egreso],"Si","No"))</f>
        <v/>
      </c>
      <c r="N119" s="22" t="str">
        <f>IF(OR(Stock[n°CC]=0,Stock[n°CC]="vacio"),"",IF(AND(Stock[n°]=Stock[Egreso],Stock[Egreso]=Stock[Ingreso]),"Si","No"))</f>
        <v/>
      </c>
      <c r="O119" s="18"/>
    </row>
    <row r="120" spans="1:15" x14ac:dyDescent="0.25">
      <c r="A120" s="15"/>
      <c r="B120" s="15"/>
      <c r="C120" s="15"/>
      <c r="D120" s="15"/>
      <c r="E120" s="35"/>
      <c r="F120" s="14"/>
      <c r="G120" s="14"/>
      <c r="H120" s="16" t="str">
        <f>TRIM(IF(Stock[n°CC]=0,"",Stock[n°CC]&amp;""&amp;Stock[Pres]))</f>
        <v/>
      </c>
      <c r="I120" s="19"/>
      <c r="J120" s="17"/>
      <c r="K120" s="21" t="str">
        <f>IF(Stock[n°CC]=0,"",SUMIF(Egreso[Código de barras],Stock[Código de barras],Egreso[Cantidad]))</f>
        <v/>
      </c>
      <c r="L120" s="21" t="str">
        <f>IF(Stock[n°CC]=0,"",SUMIF(Ingreso[Código de barras],Stock[Código de barras],Ingreso[Cantidad]))</f>
        <v/>
      </c>
      <c r="M120" s="22" t="str">
        <f>IF(Stock[n°CC]=0,"",IF(Stock[n°]=Stock[Egreso],"Si","No"))</f>
        <v/>
      </c>
      <c r="N120" s="22" t="str">
        <f>IF(OR(Stock[n°CC]=0,Stock[n°CC]="vacio"),"",IF(AND(Stock[n°]=Stock[Egreso],Stock[Egreso]=Stock[Ingreso]),"Si","No"))</f>
        <v/>
      </c>
      <c r="O120" s="18"/>
    </row>
    <row r="121" spans="1:15" x14ac:dyDescent="0.25">
      <c r="A121" s="15"/>
      <c r="B121" s="15"/>
      <c r="C121" s="15"/>
      <c r="D121" s="15"/>
      <c r="E121" s="35"/>
      <c r="F121" s="14"/>
      <c r="G121" s="14"/>
      <c r="H121" s="16" t="str">
        <f>TRIM(IF(Stock[n°CC]=0,"",Stock[n°CC]&amp;""&amp;Stock[Pres]))</f>
        <v/>
      </c>
      <c r="I121" s="19"/>
      <c r="J121" s="17"/>
      <c r="K121" s="21" t="str">
        <f>IF(Stock[n°CC]=0,"",SUMIF(Egreso[Código de barras],Stock[Código de barras],Egreso[Cantidad]))</f>
        <v/>
      </c>
      <c r="L121" s="21" t="str">
        <f>IF(Stock[n°CC]=0,"",SUMIF(Ingreso[Código de barras],Stock[Código de barras],Ingreso[Cantidad]))</f>
        <v/>
      </c>
      <c r="M121" s="22" t="str">
        <f>IF(Stock[n°CC]=0,"",IF(Stock[n°]=Stock[Egreso],"Si","No"))</f>
        <v/>
      </c>
      <c r="N121" s="22" t="str">
        <f>IF(OR(Stock[n°CC]=0,Stock[n°CC]="vacio"),"",IF(AND(Stock[n°]=Stock[Egreso],Stock[Egreso]=Stock[Ingreso]),"Si","No"))</f>
        <v/>
      </c>
      <c r="O121" s="18"/>
    </row>
    <row r="122" spans="1:15" x14ac:dyDescent="0.25">
      <c r="A122" s="15"/>
      <c r="B122" s="15"/>
      <c r="C122" s="15"/>
      <c r="D122" s="15"/>
      <c r="E122" s="35"/>
      <c r="F122" s="14"/>
      <c r="G122" s="14"/>
      <c r="H122" s="16" t="str">
        <f>TRIM(IF(Stock[n°CC]=0,"",Stock[n°CC]&amp;""&amp;Stock[Pres]))</f>
        <v/>
      </c>
      <c r="I122" s="19"/>
      <c r="J122" s="17"/>
      <c r="K122" s="21" t="str">
        <f>IF(Stock[n°CC]=0,"",SUMIF(Egreso[Código de barras],Stock[Código de barras],Egreso[Cantidad]))</f>
        <v/>
      </c>
      <c r="L122" s="21" t="str">
        <f>IF(Stock[n°CC]=0,"",SUMIF(Ingreso[Código de barras],Stock[Código de barras],Ingreso[Cantidad]))</f>
        <v/>
      </c>
      <c r="M122" s="22" t="str">
        <f>IF(Stock[n°CC]=0,"",IF(Stock[n°]=Stock[Egreso],"Si","No"))</f>
        <v/>
      </c>
      <c r="N122" s="22" t="str">
        <f>IF(OR(Stock[n°CC]=0,Stock[n°CC]="vacio"),"",IF(AND(Stock[n°]=Stock[Egreso],Stock[Egreso]=Stock[Ingreso]),"Si","No"))</f>
        <v/>
      </c>
      <c r="O122" s="18"/>
    </row>
    <row r="123" spans="1:15" x14ac:dyDescent="0.25">
      <c r="A123" s="15"/>
      <c r="B123" s="15"/>
      <c r="C123" s="15"/>
      <c r="D123" s="15"/>
      <c r="E123" s="35"/>
      <c r="F123" s="14"/>
      <c r="G123" s="14"/>
      <c r="H123" s="16" t="str">
        <f>TRIM(IF(Stock[n°CC]=0,"",Stock[n°CC]&amp;""&amp;Stock[Pres]))</f>
        <v/>
      </c>
      <c r="I123" s="19"/>
      <c r="J123" s="17"/>
      <c r="K123" s="21" t="str">
        <f>IF(Stock[n°CC]=0,"",SUMIF(Egreso[Código de barras],Stock[Código de barras],Egreso[Cantidad]))</f>
        <v/>
      </c>
      <c r="L123" s="21" t="str">
        <f>IF(Stock[n°CC]=0,"",SUMIF(Ingreso[Código de barras],Stock[Código de barras],Ingreso[Cantidad]))</f>
        <v/>
      </c>
      <c r="M123" s="22" t="str">
        <f>IF(Stock[n°CC]=0,"",IF(Stock[n°]=Stock[Egreso],"Si","No"))</f>
        <v/>
      </c>
      <c r="N123" s="22" t="str">
        <f>IF(OR(Stock[n°CC]=0,Stock[n°CC]="vacio"),"",IF(AND(Stock[n°]=Stock[Egreso],Stock[Egreso]=Stock[Ingreso]),"Si","No"))</f>
        <v/>
      </c>
      <c r="O123" s="18"/>
    </row>
    <row r="124" spans="1:15" x14ac:dyDescent="0.25">
      <c r="A124" s="15"/>
      <c r="B124" s="15"/>
      <c r="C124" s="15"/>
      <c r="D124" s="15"/>
      <c r="E124" s="35"/>
      <c r="F124" s="14"/>
      <c r="G124" s="14"/>
      <c r="H124" s="16" t="str">
        <f>TRIM(IF(Stock[n°CC]=0,"",Stock[n°CC]&amp;""&amp;Stock[Pres]))</f>
        <v/>
      </c>
      <c r="I124" s="19"/>
      <c r="J124" s="17"/>
      <c r="K124" s="21" t="str">
        <f>IF(Stock[n°CC]=0,"",SUMIF(Egreso[Código de barras],Stock[Código de barras],Egreso[Cantidad]))</f>
        <v/>
      </c>
      <c r="L124" s="21" t="str">
        <f>IF(Stock[n°CC]=0,"",SUMIF(Ingreso[Código de barras],Stock[Código de barras],Ingreso[Cantidad]))</f>
        <v/>
      </c>
      <c r="M124" s="22" t="str">
        <f>IF(Stock[n°CC]=0,"",IF(Stock[n°]=Stock[Egreso],"Si","No"))</f>
        <v/>
      </c>
      <c r="N124" s="22" t="str">
        <f>IF(OR(Stock[n°CC]=0,Stock[n°CC]="vacio"),"",IF(AND(Stock[n°]=Stock[Egreso],Stock[Egreso]=Stock[Ingreso]),"Si","No"))</f>
        <v/>
      </c>
      <c r="O124" s="18"/>
    </row>
    <row r="125" spans="1:15" x14ac:dyDescent="0.25">
      <c r="A125" s="15"/>
      <c r="B125" s="15"/>
      <c r="C125" s="15"/>
      <c r="D125" s="15"/>
      <c r="E125" s="35"/>
      <c r="F125" s="14"/>
      <c r="G125" s="14"/>
      <c r="H125" s="16" t="str">
        <f>TRIM(IF(Stock[n°CC]=0,"",Stock[n°CC]&amp;""&amp;Stock[Pres]))</f>
        <v/>
      </c>
      <c r="I125" s="19"/>
      <c r="J125" s="17"/>
      <c r="K125" s="21" t="str">
        <f>IF(Stock[n°CC]=0,"",SUMIF(Egreso[Código de barras],Stock[Código de barras],Egreso[Cantidad]))</f>
        <v/>
      </c>
      <c r="L125" s="21" t="str">
        <f>IF(Stock[n°CC]=0,"",SUMIF(Ingreso[Código de barras],Stock[Código de barras],Ingreso[Cantidad]))</f>
        <v/>
      </c>
      <c r="M125" s="22" t="str">
        <f>IF(Stock[n°CC]=0,"",IF(Stock[n°]=Stock[Egreso],"Si","No"))</f>
        <v/>
      </c>
      <c r="N125" s="22" t="str">
        <f>IF(OR(Stock[n°CC]=0,Stock[n°CC]="vacio"),"",IF(AND(Stock[n°]=Stock[Egreso],Stock[Egreso]=Stock[Ingreso]),"Si","No"))</f>
        <v/>
      </c>
      <c r="O125" s="18"/>
    </row>
    <row r="126" spans="1:15" x14ac:dyDescent="0.25">
      <c r="A126" s="15"/>
      <c r="B126" s="15"/>
      <c r="C126" s="15"/>
      <c r="D126" s="15"/>
      <c r="E126" s="35"/>
      <c r="F126" s="14"/>
      <c r="G126" s="14"/>
      <c r="H126" s="16" t="str">
        <f>TRIM(IF(Stock[n°CC]=0,"",Stock[n°CC]&amp;""&amp;Stock[Pres]))</f>
        <v/>
      </c>
      <c r="I126" s="19"/>
      <c r="J126" s="17"/>
      <c r="K126" s="21" t="str">
        <f>IF(Stock[n°CC]=0,"",SUMIF(Egreso[Código de barras],Stock[Código de barras],Egreso[Cantidad]))</f>
        <v/>
      </c>
      <c r="L126" s="21" t="str">
        <f>IF(Stock[n°CC]=0,"",SUMIF(Ingreso[Código de barras],Stock[Código de barras],Ingreso[Cantidad]))</f>
        <v/>
      </c>
      <c r="M126" s="22" t="str">
        <f>IF(Stock[n°CC]=0,"",IF(Stock[n°]=Stock[Egreso],"Si","No"))</f>
        <v/>
      </c>
      <c r="N126" s="22" t="str">
        <f>IF(OR(Stock[n°CC]=0,Stock[n°CC]="vacio"),"",IF(AND(Stock[n°]=Stock[Egreso],Stock[Egreso]=Stock[Ingreso]),"Si","No"))</f>
        <v/>
      </c>
      <c r="O126" s="18"/>
    </row>
    <row r="127" spans="1:15" x14ac:dyDescent="0.25">
      <c r="A127" s="15"/>
      <c r="B127" s="15"/>
      <c r="C127" s="15"/>
      <c r="D127" s="15"/>
      <c r="E127" s="35"/>
      <c r="F127" s="14"/>
      <c r="G127" s="14"/>
      <c r="H127" s="16" t="str">
        <f>TRIM(IF(Stock[n°CC]=0,"",Stock[n°CC]&amp;""&amp;Stock[Pres]))</f>
        <v/>
      </c>
      <c r="I127" s="19"/>
      <c r="J127" s="17"/>
      <c r="K127" s="21" t="str">
        <f>IF(Stock[n°CC]=0,"",SUMIF(Egreso[Código de barras],Stock[Código de barras],Egreso[Cantidad]))</f>
        <v/>
      </c>
      <c r="L127" s="21" t="str">
        <f>IF(Stock[n°CC]=0,"",SUMIF(Ingreso[Código de barras],Stock[Código de barras],Ingreso[Cantidad]))</f>
        <v/>
      </c>
      <c r="M127" s="22" t="str">
        <f>IF(Stock[n°CC]=0,"",IF(Stock[n°]=Stock[Egreso],"Si","No"))</f>
        <v/>
      </c>
      <c r="N127" s="22" t="str">
        <f>IF(OR(Stock[n°CC]=0,Stock[n°CC]="vacio"),"",IF(AND(Stock[n°]=Stock[Egreso],Stock[Egreso]=Stock[Ingreso]),"Si","No"))</f>
        <v/>
      </c>
      <c r="O127" s="18"/>
    </row>
    <row r="128" spans="1:15" x14ac:dyDescent="0.25">
      <c r="A128" s="15"/>
      <c r="B128" s="15"/>
      <c r="C128" s="15"/>
      <c r="D128" s="15"/>
      <c r="E128" s="35"/>
      <c r="F128" s="14"/>
      <c r="G128" s="14"/>
      <c r="H128" s="16" t="str">
        <f>TRIM(IF(Stock[n°CC]=0,"",Stock[n°CC]&amp;""&amp;Stock[Pres]))</f>
        <v/>
      </c>
      <c r="I128" s="19"/>
      <c r="J128" s="17"/>
      <c r="K128" s="21" t="str">
        <f>IF(Stock[n°CC]=0,"",SUMIF(Egreso[Código de barras],Stock[Código de barras],Egreso[Cantidad]))</f>
        <v/>
      </c>
      <c r="L128" s="21" t="str">
        <f>IF(Stock[n°CC]=0,"",SUMIF(Ingreso[Código de barras],Stock[Código de barras],Ingreso[Cantidad]))</f>
        <v/>
      </c>
      <c r="M128" s="22" t="str">
        <f>IF(Stock[n°CC]=0,"",IF(Stock[n°]=Stock[Egreso],"Si","No"))</f>
        <v/>
      </c>
      <c r="N128" s="22" t="str">
        <f>IF(OR(Stock[n°CC]=0,Stock[n°CC]="vacio"),"",IF(AND(Stock[n°]=Stock[Egreso],Stock[Egreso]=Stock[Ingreso]),"Si","No"))</f>
        <v/>
      </c>
      <c r="O128" s="18"/>
    </row>
    <row r="129" spans="1:15" x14ac:dyDescent="0.25">
      <c r="A129" s="15"/>
      <c r="B129" s="15"/>
      <c r="C129" s="15"/>
      <c r="D129" s="15"/>
      <c r="E129" s="35"/>
      <c r="F129" s="14"/>
      <c r="G129" s="14"/>
      <c r="H129" s="16" t="str">
        <f>TRIM(IF(Stock[n°CC]=0,"",Stock[n°CC]&amp;""&amp;Stock[Pres]))</f>
        <v/>
      </c>
      <c r="I129" s="19"/>
      <c r="J129" s="17"/>
      <c r="K129" s="21" t="str">
        <f>IF(Stock[n°CC]=0,"",SUMIF(Egreso[Código de barras],Stock[Código de barras],Egreso[Cantidad]))</f>
        <v/>
      </c>
      <c r="L129" s="21" t="str">
        <f>IF(Stock[n°CC]=0,"",SUMIF(Ingreso[Código de barras],Stock[Código de barras],Ingreso[Cantidad]))</f>
        <v/>
      </c>
      <c r="M129" s="22" t="str">
        <f>IF(Stock[n°CC]=0,"",IF(Stock[n°]=Stock[Egreso],"Si","No"))</f>
        <v/>
      </c>
      <c r="N129" s="22" t="str">
        <f>IF(OR(Stock[n°CC]=0,Stock[n°CC]="vacio"),"",IF(AND(Stock[n°]=Stock[Egreso],Stock[Egreso]=Stock[Ingreso]),"Si","No"))</f>
        <v/>
      </c>
      <c r="O129" s="18"/>
    </row>
    <row r="130" spans="1:15" x14ac:dyDescent="0.25">
      <c r="A130" s="15"/>
      <c r="B130" s="15"/>
      <c r="C130" s="15"/>
      <c r="D130" s="15"/>
      <c r="E130" s="35"/>
      <c r="F130" s="14"/>
      <c r="G130" s="14"/>
      <c r="H130" s="16" t="str">
        <f>TRIM(IF(Stock[n°CC]=0,"",Stock[n°CC]&amp;""&amp;Stock[Pres]))</f>
        <v/>
      </c>
      <c r="I130" s="19"/>
      <c r="J130" s="17"/>
      <c r="K130" s="21" t="str">
        <f>IF(Stock[n°CC]=0,"",SUMIF(Egreso[Código de barras],Stock[Código de barras],Egreso[Cantidad]))</f>
        <v/>
      </c>
      <c r="L130" s="21" t="str">
        <f>IF(Stock[n°CC]=0,"",SUMIF(Ingreso[Código de barras],Stock[Código de barras],Ingreso[Cantidad]))</f>
        <v/>
      </c>
      <c r="M130" s="22" t="str">
        <f>IF(Stock[n°CC]=0,"",IF(Stock[n°]=Stock[Egreso],"Si","No"))</f>
        <v/>
      </c>
      <c r="N130" s="22" t="str">
        <f>IF(OR(Stock[n°CC]=0,Stock[n°CC]="vacio"),"",IF(AND(Stock[n°]=Stock[Egreso],Stock[Egreso]=Stock[Ingreso]),"Si","No"))</f>
        <v/>
      </c>
      <c r="O130" s="18"/>
    </row>
    <row r="131" spans="1:15" x14ac:dyDescent="0.25">
      <c r="A131" s="15"/>
      <c r="B131" s="15"/>
      <c r="C131" s="15"/>
      <c r="D131" s="15"/>
      <c r="E131" s="35"/>
      <c r="F131" s="14"/>
      <c r="G131" s="14"/>
      <c r="H131" s="16" t="str">
        <f>TRIM(IF(Stock[n°CC]=0,"",Stock[n°CC]&amp;""&amp;Stock[Pres]))</f>
        <v/>
      </c>
      <c r="I131" s="19"/>
      <c r="J131" s="17"/>
      <c r="K131" s="21" t="str">
        <f>IF(Stock[n°CC]=0,"",SUMIF(Egreso[Código de barras],Stock[Código de barras],Egreso[Cantidad]))</f>
        <v/>
      </c>
      <c r="L131" s="21" t="str">
        <f>IF(Stock[n°CC]=0,"",SUMIF(Ingreso[Código de barras],Stock[Código de barras],Ingreso[Cantidad]))</f>
        <v/>
      </c>
      <c r="M131" s="22" t="str">
        <f>IF(Stock[n°CC]=0,"",IF(Stock[n°]=Stock[Egreso],"Si","No"))</f>
        <v/>
      </c>
      <c r="N131" s="22" t="str">
        <f>IF(OR(Stock[n°CC]=0,Stock[n°CC]="vacio"),"",IF(AND(Stock[n°]=Stock[Egreso],Stock[Egreso]=Stock[Ingreso]),"Si","No"))</f>
        <v/>
      </c>
      <c r="O131" s="18"/>
    </row>
    <row r="132" spans="1:15" x14ac:dyDescent="0.25">
      <c r="A132" s="15"/>
      <c r="B132" s="15"/>
      <c r="C132" s="15"/>
      <c r="D132" s="15"/>
      <c r="E132" s="35"/>
      <c r="F132" s="14"/>
      <c r="G132" s="14"/>
      <c r="H132" s="16" t="str">
        <f>TRIM(IF(Stock[n°CC]=0,"",Stock[n°CC]&amp;""&amp;Stock[Pres]))</f>
        <v/>
      </c>
      <c r="I132" s="19"/>
      <c r="J132" s="17"/>
      <c r="K132" s="21" t="str">
        <f>IF(Stock[n°CC]=0,"",SUMIF(Egreso[Código de barras],Stock[Código de barras],Egreso[Cantidad]))</f>
        <v/>
      </c>
      <c r="L132" s="21" t="str">
        <f>IF(Stock[n°CC]=0,"",SUMIF(Ingreso[Código de barras],Stock[Código de barras],Ingreso[Cantidad]))</f>
        <v/>
      </c>
      <c r="M132" s="22" t="str">
        <f>IF(Stock[n°CC]=0,"",IF(Stock[n°]=Stock[Egreso],"Si","No"))</f>
        <v/>
      </c>
      <c r="N132" s="22" t="str">
        <f>IF(OR(Stock[n°CC]=0,Stock[n°CC]="vacio"),"",IF(AND(Stock[n°]=Stock[Egreso],Stock[Egreso]=Stock[Ingreso]),"Si","No"))</f>
        <v/>
      </c>
      <c r="O132" s="18"/>
    </row>
    <row r="133" spans="1:15" x14ac:dyDescent="0.25">
      <c r="A133" s="15"/>
      <c r="B133" s="15"/>
      <c r="C133" s="15"/>
      <c r="D133" s="15"/>
      <c r="E133" s="35"/>
      <c r="F133" s="14"/>
      <c r="G133" s="14"/>
      <c r="H133" s="16" t="str">
        <f>TRIM(IF(Stock[n°CC]=0,"",Stock[n°CC]&amp;""&amp;Stock[Pres]))</f>
        <v/>
      </c>
      <c r="I133" s="19"/>
      <c r="J133" s="17"/>
      <c r="K133" s="21" t="str">
        <f>IF(Stock[n°CC]=0,"",SUMIF(Egreso[Código de barras],Stock[Código de barras],Egreso[Cantidad]))</f>
        <v/>
      </c>
      <c r="L133" s="21" t="str">
        <f>IF(Stock[n°CC]=0,"",SUMIF(Ingreso[Código de barras],Stock[Código de barras],Ingreso[Cantidad]))</f>
        <v/>
      </c>
      <c r="M133" s="22" t="str">
        <f>IF(Stock[n°CC]=0,"",IF(Stock[n°]=Stock[Egreso],"Si","No"))</f>
        <v/>
      </c>
      <c r="N133" s="22" t="str">
        <f>IF(OR(Stock[n°CC]=0,Stock[n°CC]="vacio"),"",IF(AND(Stock[n°]=Stock[Egreso],Stock[Egreso]=Stock[Ingreso]),"Si","No"))</f>
        <v/>
      </c>
      <c r="O133" s="18"/>
    </row>
    <row r="134" spans="1:15" x14ac:dyDescent="0.25">
      <c r="A134" s="15"/>
      <c r="B134" s="15"/>
      <c r="C134" s="15"/>
      <c r="D134" s="15"/>
      <c r="E134" s="35"/>
      <c r="F134" s="14"/>
      <c r="G134" s="14"/>
      <c r="H134" s="16" t="str">
        <f>TRIM(IF(Stock[n°CC]=0,"",Stock[n°CC]&amp;""&amp;Stock[Pres]))</f>
        <v/>
      </c>
      <c r="I134" s="19"/>
      <c r="J134" s="17"/>
      <c r="K134" s="21" t="str">
        <f>IF(Stock[n°CC]=0,"",SUMIF(Egreso[Código de barras],Stock[Código de barras],Egreso[Cantidad]))</f>
        <v/>
      </c>
      <c r="L134" s="21" t="str">
        <f>IF(Stock[n°CC]=0,"",SUMIF(Ingreso[Código de barras],Stock[Código de barras],Ingreso[Cantidad]))</f>
        <v/>
      </c>
      <c r="M134" s="22" t="str">
        <f>IF(Stock[n°CC]=0,"",IF(Stock[n°]=Stock[Egreso],"Si","No"))</f>
        <v/>
      </c>
      <c r="N134" s="22" t="str">
        <f>IF(OR(Stock[n°CC]=0,Stock[n°CC]="vacio"),"",IF(AND(Stock[n°]=Stock[Egreso],Stock[Egreso]=Stock[Ingreso]),"Si","No"))</f>
        <v/>
      </c>
      <c r="O134" s="18"/>
    </row>
    <row r="135" spans="1:15" x14ac:dyDescent="0.25">
      <c r="A135" s="15"/>
      <c r="B135" s="15"/>
      <c r="C135" s="15"/>
      <c r="D135" s="15"/>
      <c r="E135" s="35"/>
      <c r="F135" s="14"/>
      <c r="G135" s="14"/>
      <c r="H135" s="16" t="str">
        <f>TRIM(IF(Stock[n°CC]=0,"",Stock[n°CC]&amp;""&amp;Stock[Pres]))</f>
        <v/>
      </c>
      <c r="I135" s="19"/>
      <c r="J135" s="17"/>
      <c r="K135" s="21" t="str">
        <f>IF(Stock[n°CC]=0,"",SUMIF(Egreso[Código de barras],Stock[Código de barras],Egreso[Cantidad]))</f>
        <v/>
      </c>
      <c r="L135" s="21" t="str">
        <f>IF(Stock[n°CC]=0,"",SUMIF(Ingreso[Código de barras],Stock[Código de barras],Ingreso[Cantidad]))</f>
        <v/>
      </c>
      <c r="M135" s="22" t="str">
        <f>IF(Stock[n°CC]=0,"",IF(Stock[n°]=Stock[Egreso],"Si","No"))</f>
        <v/>
      </c>
      <c r="N135" s="22" t="str">
        <f>IF(OR(Stock[n°CC]=0,Stock[n°CC]="vacio"),"",IF(AND(Stock[n°]=Stock[Egreso],Stock[Egreso]=Stock[Ingreso]),"Si","No"))</f>
        <v/>
      </c>
      <c r="O135" s="18"/>
    </row>
    <row r="136" spans="1:15" x14ac:dyDescent="0.25">
      <c r="A136" s="15"/>
      <c r="B136" s="15"/>
      <c r="C136" s="15"/>
      <c r="D136" s="15"/>
      <c r="E136" s="35"/>
      <c r="F136" s="14"/>
      <c r="G136" s="14"/>
      <c r="H136" s="16" t="str">
        <f>TRIM(IF(Stock[n°CC]=0,"",Stock[n°CC]&amp;""&amp;Stock[Pres]))</f>
        <v/>
      </c>
      <c r="I136" s="19"/>
      <c r="J136" s="17"/>
      <c r="K136" s="21" t="str">
        <f>IF(Stock[n°CC]=0,"",SUMIF(Egreso[Código de barras],Stock[Código de barras],Egreso[Cantidad]))</f>
        <v/>
      </c>
      <c r="L136" s="21" t="str">
        <f>IF(Stock[n°CC]=0,"",SUMIF(Ingreso[Código de barras],Stock[Código de barras],Ingreso[Cantidad]))</f>
        <v/>
      </c>
      <c r="M136" s="22" t="str">
        <f>IF(Stock[n°CC]=0,"",IF(Stock[n°]=Stock[Egreso],"Si","No"))</f>
        <v/>
      </c>
      <c r="N136" s="22" t="str">
        <f>IF(OR(Stock[n°CC]=0,Stock[n°CC]="vacio"),"",IF(AND(Stock[n°]=Stock[Egreso],Stock[Egreso]=Stock[Ingreso]),"Si","No"))</f>
        <v/>
      </c>
      <c r="O136" s="18"/>
    </row>
    <row r="137" spans="1:15" x14ac:dyDescent="0.25">
      <c r="A137" s="15"/>
      <c r="B137" s="15"/>
      <c r="C137" s="15"/>
      <c r="D137" s="15"/>
      <c r="E137" s="35"/>
      <c r="F137" s="14"/>
      <c r="G137" s="14"/>
      <c r="H137" s="16" t="str">
        <f>TRIM(IF(Stock[n°CC]=0,"",Stock[n°CC]&amp;""&amp;Stock[Pres]))</f>
        <v/>
      </c>
      <c r="I137" s="19"/>
      <c r="J137" s="17"/>
      <c r="K137" s="21" t="str">
        <f>IF(Stock[n°CC]=0,"",SUMIF(Egreso[Código de barras],Stock[Código de barras],Egreso[Cantidad]))</f>
        <v/>
      </c>
      <c r="L137" s="21" t="str">
        <f>IF(Stock[n°CC]=0,"",SUMIF(Ingreso[Código de barras],Stock[Código de barras],Ingreso[Cantidad]))</f>
        <v/>
      </c>
      <c r="M137" s="22" t="str">
        <f>IF(Stock[n°CC]=0,"",IF(Stock[n°]=Stock[Egreso],"Si","No"))</f>
        <v/>
      </c>
      <c r="N137" s="22" t="str">
        <f>IF(OR(Stock[n°CC]=0,Stock[n°CC]="vacio"),"",IF(AND(Stock[n°]=Stock[Egreso],Stock[Egreso]=Stock[Ingreso]),"Si","No"))</f>
        <v/>
      </c>
      <c r="O137" s="18"/>
    </row>
    <row r="138" spans="1:15" x14ac:dyDescent="0.25">
      <c r="A138" s="15"/>
      <c r="B138" s="15"/>
      <c r="C138" s="15"/>
      <c r="D138" s="15"/>
      <c r="E138" s="35"/>
      <c r="F138" s="14"/>
      <c r="G138" s="14"/>
      <c r="H138" s="16" t="str">
        <f>TRIM(IF(Stock[n°CC]=0,"",Stock[n°CC]&amp;""&amp;Stock[Pres]))</f>
        <v/>
      </c>
      <c r="I138" s="19"/>
      <c r="J138" s="17"/>
      <c r="K138" s="21" t="str">
        <f>IF(Stock[n°CC]=0,"",SUMIF(Egreso[Código de barras],Stock[Código de barras],Egreso[Cantidad]))</f>
        <v/>
      </c>
      <c r="L138" s="21" t="str">
        <f>IF(Stock[n°CC]=0,"",SUMIF(Ingreso[Código de barras],Stock[Código de barras],Ingreso[Cantidad]))</f>
        <v/>
      </c>
      <c r="M138" s="22" t="str">
        <f>IF(Stock[n°CC]=0,"",IF(Stock[n°]=Stock[Egreso],"Si","No"))</f>
        <v/>
      </c>
      <c r="N138" s="22" t="str">
        <f>IF(OR(Stock[n°CC]=0,Stock[n°CC]="vacio"),"",IF(AND(Stock[n°]=Stock[Egreso],Stock[Egreso]=Stock[Ingreso]),"Si","No"))</f>
        <v/>
      </c>
      <c r="O138" s="18"/>
    </row>
    <row r="139" spans="1:15" x14ac:dyDescent="0.25">
      <c r="A139" s="15"/>
      <c r="B139" s="15"/>
      <c r="C139" s="15"/>
      <c r="D139" s="15"/>
      <c r="E139" s="35"/>
      <c r="F139" s="14"/>
      <c r="G139" s="14"/>
      <c r="H139" s="16" t="str">
        <f>TRIM(IF(Stock[n°CC]=0,"",Stock[n°CC]&amp;""&amp;Stock[Pres]))</f>
        <v/>
      </c>
      <c r="I139" s="19"/>
      <c r="J139" s="17"/>
      <c r="K139" s="21" t="str">
        <f>IF(Stock[n°CC]=0,"",SUMIF(Egreso[Código de barras],Stock[Código de barras],Egreso[Cantidad]))</f>
        <v/>
      </c>
      <c r="L139" s="21" t="str">
        <f>IF(Stock[n°CC]=0,"",SUMIF(Ingreso[Código de barras],Stock[Código de barras],Ingreso[Cantidad]))</f>
        <v/>
      </c>
      <c r="M139" s="22" t="str">
        <f>IF(Stock[n°CC]=0,"",IF(Stock[n°]=Stock[Egreso],"Si","No"))</f>
        <v/>
      </c>
      <c r="N139" s="22" t="str">
        <f>IF(OR(Stock[n°CC]=0,Stock[n°CC]="vacio"),"",IF(AND(Stock[n°]=Stock[Egreso],Stock[Egreso]=Stock[Ingreso]),"Si","No"))</f>
        <v/>
      </c>
      <c r="O139" s="18"/>
    </row>
    <row r="140" spans="1:15" x14ac:dyDescent="0.25">
      <c r="A140" s="15"/>
      <c r="B140" s="15"/>
      <c r="C140" s="15"/>
      <c r="D140" s="15"/>
      <c r="E140" s="35"/>
      <c r="F140" s="14"/>
      <c r="G140" s="14"/>
      <c r="H140" s="16" t="str">
        <f>TRIM(IF(Stock[n°CC]=0,"",Stock[n°CC]&amp;""&amp;Stock[Pres]))</f>
        <v/>
      </c>
      <c r="I140" s="19"/>
      <c r="J140" s="17"/>
      <c r="K140" s="21" t="str">
        <f>IF(Stock[n°CC]=0,"",SUMIF(Egreso[Código de barras],Stock[Código de barras],Egreso[Cantidad]))</f>
        <v/>
      </c>
      <c r="L140" s="21" t="str">
        <f>IF(Stock[n°CC]=0,"",SUMIF(Ingreso[Código de barras],Stock[Código de barras],Ingreso[Cantidad]))</f>
        <v/>
      </c>
      <c r="M140" s="22" t="str">
        <f>IF(Stock[n°CC]=0,"",IF(Stock[n°]=Stock[Egreso],"Si","No"))</f>
        <v/>
      </c>
      <c r="N140" s="22" t="str">
        <f>IF(OR(Stock[n°CC]=0,Stock[n°CC]="vacio"),"",IF(AND(Stock[n°]=Stock[Egreso],Stock[Egreso]=Stock[Ingreso]),"Si","No"))</f>
        <v/>
      </c>
      <c r="O140" s="18"/>
    </row>
    <row r="141" spans="1:15" x14ac:dyDescent="0.25">
      <c r="A141" s="15"/>
      <c r="B141" s="15"/>
      <c r="C141" s="15"/>
      <c r="D141" s="15"/>
      <c r="E141" s="35"/>
      <c r="F141" s="14"/>
      <c r="G141" s="14"/>
      <c r="H141" s="16" t="str">
        <f>TRIM(IF(Stock[n°CC]=0,"",Stock[n°CC]&amp;""&amp;Stock[Pres]))</f>
        <v/>
      </c>
      <c r="I141" s="19"/>
      <c r="J141" s="17"/>
      <c r="K141" s="21" t="str">
        <f>IF(Stock[n°CC]=0,"",SUMIF(Egreso[Código de barras],Stock[Código de barras],Egreso[Cantidad]))</f>
        <v/>
      </c>
      <c r="L141" s="21" t="str">
        <f>IF(Stock[n°CC]=0,"",SUMIF(Ingreso[Código de barras],Stock[Código de barras],Ingreso[Cantidad]))</f>
        <v/>
      </c>
      <c r="M141" s="22" t="str">
        <f>IF(Stock[n°CC]=0,"",IF(Stock[n°]=Stock[Egreso],"Si","No"))</f>
        <v/>
      </c>
      <c r="N141" s="22" t="str">
        <f>IF(OR(Stock[n°CC]=0,Stock[n°CC]="vacio"),"",IF(AND(Stock[n°]=Stock[Egreso],Stock[Egreso]=Stock[Ingreso]),"Si","No"))</f>
        <v/>
      </c>
      <c r="O141" s="18"/>
    </row>
    <row r="142" spans="1:15" x14ac:dyDescent="0.25">
      <c r="A142" s="15"/>
      <c r="B142" s="15"/>
      <c r="C142" s="15"/>
      <c r="D142" s="15"/>
      <c r="E142" s="35"/>
      <c r="F142" s="14"/>
      <c r="G142" s="14"/>
      <c r="H142" s="16" t="str">
        <f>TRIM(IF(Stock[n°CC]=0,"",Stock[n°CC]&amp;""&amp;Stock[Pres]))</f>
        <v/>
      </c>
      <c r="I142" s="19"/>
      <c r="J142" s="17"/>
      <c r="K142" s="21" t="str">
        <f>IF(Stock[n°CC]=0,"",SUMIF(Egreso[Código de barras],Stock[Código de barras],Egreso[Cantidad]))</f>
        <v/>
      </c>
      <c r="L142" s="21" t="str">
        <f>IF(Stock[n°CC]=0,"",SUMIF(Ingreso[Código de barras],Stock[Código de barras],Ingreso[Cantidad]))</f>
        <v/>
      </c>
      <c r="M142" s="22" t="str">
        <f>IF(Stock[n°CC]=0,"",IF(Stock[n°]=Stock[Egreso],"Si","No"))</f>
        <v/>
      </c>
      <c r="N142" s="22" t="str">
        <f>IF(OR(Stock[n°CC]=0,Stock[n°CC]="vacio"),"",IF(AND(Stock[n°]=Stock[Egreso],Stock[Egreso]=Stock[Ingreso]),"Si","No"))</f>
        <v/>
      </c>
      <c r="O142" s="18"/>
    </row>
    <row r="143" spans="1:15" x14ac:dyDescent="0.25">
      <c r="A143" s="15"/>
      <c r="B143" s="15"/>
      <c r="C143" s="15"/>
      <c r="D143" s="15"/>
      <c r="E143" s="35"/>
      <c r="F143" s="14"/>
      <c r="G143" s="14"/>
      <c r="H143" s="16" t="str">
        <f>TRIM(IF(Stock[n°CC]=0,"",Stock[n°CC]&amp;""&amp;Stock[Pres]))</f>
        <v/>
      </c>
      <c r="I143" s="19"/>
      <c r="J143" s="17"/>
      <c r="K143" s="21" t="str">
        <f>IF(Stock[n°CC]=0,"",SUMIF(Egreso[Código de barras],Stock[Código de barras],Egreso[Cantidad]))</f>
        <v/>
      </c>
      <c r="L143" s="21" t="str">
        <f>IF(Stock[n°CC]=0,"",SUMIF(Ingreso[Código de barras],Stock[Código de barras],Ingreso[Cantidad]))</f>
        <v/>
      </c>
      <c r="M143" s="22" t="str">
        <f>IF(Stock[n°CC]=0,"",IF(Stock[n°]=Stock[Egreso],"Si","No"))</f>
        <v/>
      </c>
      <c r="N143" s="22" t="str">
        <f>IF(OR(Stock[n°CC]=0,Stock[n°CC]="vacio"),"",IF(AND(Stock[n°]=Stock[Egreso],Stock[Egreso]=Stock[Ingreso]),"Si","No"))</f>
        <v/>
      </c>
      <c r="O143" s="18"/>
    </row>
    <row r="144" spans="1:15" x14ac:dyDescent="0.25">
      <c r="A144" s="15"/>
      <c r="B144" s="15"/>
      <c r="C144" s="15"/>
      <c r="D144" s="15"/>
      <c r="E144" s="35"/>
      <c r="F144" s="14"/>
      <c r="G144" s="14"/>
      <c r="H144" s="16" t="str">
        <f>TRIM(IF(Stock[n°CC]=0,"",Stock[n°CC]&amp;""&amp;Stock[Pres]))</f>
        <v/>
      </c>
      <c r="I144" s="19"/>
      <c r="J144" s="17"/>
      <c r="K144" s="21" t="str">
        <f>IF(Stock[n°CC]=0,"",SUMIF(Egreso[Código de barras],Stock[Código de barras],Egreso[Cantidad]))</f>
        <v/>
      </c>
      <c r="L144" s="21" t="str">
        <f>IF(Stock[n°CC]=0,"",SUMIF(Ingreso[Código de barras],Stock[Código de barras],Ingreso[Cantidad]))</f>
        <v/>
      </c>
      <c r="M144" s="22" t="str">
        <f>IF(Stock[n°CC]=0,"",IF(Stock[n°]=Stock[Egreso],"Si","No"))</f>
        <v/>
      </c>
      <c r="N144" s="22" t="str">
        <f>IF(OR(Stock[n°CC]=0,Stock[n°CC]="vacio"),"",IF(AND(Stock[n°]=Stock[Egreso],Stock[Egreso]=Stock[Ingreso]),"Si","No"))</f>
        <v/>
      </c>
      <c r="O144" s="18"/>
    </row>
    <row r="145" spans="1:15" x14ac:dyDescent="0.25">
      <c r="A145" s="15"/>
      <c r="B145" s="15"/>
      <c r="C145" s="15"/>
      <c r="D145" s="15"/>
      <c r="E145" s="35"/>
      <c r="F145" s="14"/>
      <c r="G145" s="14"/>
      <c r="H145" s="16" t="str">
        <f>TRIM(IF(Stock[n°CC]=0,"",Stock[n°CC]&amp;""&amp;Stock[Pres]))</f>
        <v/>
      </c>
      <c r="I145" s="19"/>
      <c r="J145" s="17"/>
      <c r="K145" s="21" t="str">
        <f>IF(Stock[n°CC]=0,"",SUMIF(Egreso[Código de barras],Stock[Código de barras],Egreso[Cantidad]))</f>
        <v/>
      </c>
      <c r="L145" s="21" t="str">
        <f>IF(Stock[n°CC]=0,"",SUMIF(Ingreso[Código de barras],Stock[Código de barras],Ingreso[Cantidad]))</f>
        <v/>
      </c>
      <c r="M145" s="22" t="str">
        <f>IF(Stock[n°CC]=0,"",IF(Stock[n°]=Stock[Egreso],"Si","No"))</f>
        <v/>
      </c>
      <c r="N145" s="22" t="str">
        <f>IF(OR(Stock[n°CC]=0,Stock[n°CC]="vacio"),"",IF(AND(Stock[n°]=Stock[Egreso],Stock[Egreso]=Stock[Ingreso]),"Si","No"))</f>
        <v/>
      </c>
      <c r="O145" s="18"/>
    </row>
    <row r="146" spans="1:15" x14ac:dyDescent="0.25">
      <c r="A146" s="15"/>
      <c r="B146" s="15"/>
      <c r="C146" s="15"/>
      <c r="D146" s="15"/>
      <c r="E146" s="35"/>
      <c r="F146" s="14"/>
      <c r="G146" s="14"/>
      <c r="H146" s="16" t="str">
        <f>TRIM(IF(Stock[n°CC]=0,"",Stock[n°CC]&amp;""&amp;Stock[Pres]))</f>
        <v/>
      </c>
      <c r="I146" s="19"/>
      <c r="J146" s="17"/>
      <c r="K146" s="21" t="str">
        <f>IF(Stock[n°CC]=0,"",SUMIF(Egreso[Código de barras],Stock[Código de barras],Egreso[Cantidad]))</f>
        <v/>
      </c>
      <c r="L146" s="21" t="str">
        <f>IF(Stock[n°CC]=0,"",SUMIF(Ingreso[Código de barras],Stock[Código de barras],Ingreso[Cantidad]))</f>
        <v/>
      </c>
      <c r="M146" s="22" t="str">
        <f>IF(Stock[n°CC]=0,"",IF(Stock[n°]=Stock[Egreso],"Si","No"))</f>
        <v/>
      </c>
      <c r="N146" s="22" t="str">
        <f>IF(OR(Stock[n°CC]=0,Stock[n°CC]="vacio"),"",IF(AND(Stock[n°]=Stock[Egreso],Stock[Egreso]=Stock[Ingreso]),"Si","No"))</f>
        <v/>
      </c>
      <c r="O146" s="18"/>
    </row>
    <row r="147" spans="1:15" x14ac:dyDescent="0.25">
      <c r="A147" s="15"/>
      <c r="B147" s="15"/>
      <c r="C147" s="15"/>
      <c r="D147" s="15"/>
      <c r="E147" s="35"/>
      <c r="F147" s="14"/>
      <c r="G147" s="14"/>
      <c r="H147" s="16" t="str">
        <f>TRIM(IF(Stock[n°CC]=0,"",Stock[n°CC]&amp;""&amp;Stock[Pres]))</f>
        <v/>
      </c>
      <c r="I147" s="19"/>
      <c r="J147" s="17"/>
      <c r="K147" s="21" t="str">
        <f>IF(Stock[n°CC]=0,"",SUMIF(Egreso[Código de barras],Stock[Código de barras],Egreso[Cantidad]))</f>
        <v/>
      </c>
      <c r="L147" s="21" t="str">
        <f>IF(Stock[n°CC]=0,"",SUMIF(Ingreso[Código de barras],Stock[Código de barras],Ingreso[Cantidad]))</f>
        <v/>
      </c>
      <c r="M147" s="22" t="str">
        <f>IF(Stock[n°CC]=0,"",IF(Stock[n°]=Stock[Egreso],"Si","No"))</f>
        <v/>
      </c>
      <c r="N147" s="22" t="str">
        <f>IF(OR(Stock[n°CC]=0,Stock[n°CC]="vacio"),"",IF(AND(Stock[n°]=Stock[Egreso],Stock[Egreso]=Stock[Ingreso]),"Si","No"))</f>
        <v/>
      </c>
      <c r="O147" s="18"/>
    </row>
    <row r="148" spans="1:15" x14ac:dyDescent="0.25">
      <c r="A148" s="15"/>
      <c r="B148" s="15"/>
      <c r="C148" s="15"/>
      <c r="D148" s="15"/>
      <c r="E148" s="35"/>
      <c r="F148" s="14"/>
      <c r="G148" s="14"/>
      <c r="H148" s="16" t="str">
        <f>TRIM(IF(Stock[n°CC]=0,"",Stock[n°CC]&amp;""&amp;Stock[Pres]))</f>
        <v/>
      </c>
      <c r="I148" s="19"/>
      <c r="J148" s="17"/>
      <c r="K148" s="21" t="str">
        <f>IF(Stock[n°CC]=0,"",SUMIF(Egreso[Código de barras],Stock[Código de barras],Egreso[Cantidad]))</f>
        <v/>
      </c>
      <c r="L148" s="21" t="str">
        <f>IF(Stock[n°CC]=0,"",SUMIF(Ingreso[Código de barras],Stock[Código de barras],Ingreso[Cantidad]))</f>
        <v/>
      </c>
      <c r="M148" s="22" t="str">
        <f>IF(Stock[n°CC]=0,"",IF(Stock[n°]=Stock[Egreso],"Si","No"))</f>
        <v/>
      </c>
      <c r="N148" s="22" t="str">
        <f>IF(OR(Stock[n°CC]=0,Stock[n°CC]="vacio"),"",IF(AND(Stock[n°]=Stock[Egreso],Stock[Egreso]=Stock[Ingreso]),"Si","No"))</f>
        <v/>
      </c>
      <c r="O148" s="18"/>
    </row>
    <row r="149" spans="1:15" x14ac:dyDescent="0.25">
      <c r="A149" s="15"/>
      <c r="B149" s="15"/>
      <c r="C149" s="15"/>
      <c r="D149" s="15"/>
      <c r="E149" s="35"/>
      <c r="F149" s="14"/>
      <c r="G149" s="14"/>
      <c r="H149" s="16" t="str">
        <f>TRIM(IF(Stock[n°CC]=0,"",Stock[n°CC]&amp;""&amp;Stock[Pres]))</f>
        <v/>
      </c>
      <c r="I149" s="19"/>
      <c r="J149" s="17"/>
      <c r="K149" s="21" t="str">
        <f>IF(Stock[n°CC]=0,"",SUMIF(Egreso[Código de barras],Stock[Código de barras],Egreso[Cantidad]))</f>
        <v/>
      </c>
      <c r="L149" s="21" t="str">
        <f>IF(Stock[n°CC]=0,"",SUMIF(Ingreso[Código de barras],Stock[Código de barras],Ingreso[Cantidad]))</f>
        <v/>
      </c>
      <c r="M149" s="22" t="str">
        <f>IF(Stock[n°CC]=0,"",IF(Stock[n°]=Stock[Egreso],"Si","No"))</f>
        <v/>
      </c>
      <c r="N149" s="22" t="str">
        <f>IF(OR(Stock[n°CC]=0,Stock[n°CC]="vacio"),"",IF(AND(Stock[n°]=Stock[Egreso],Stock[Egreso]=Stock[Ingreso]),"Si","No"))</f>
        <v/>
      </c>
      <c r="O149" s="18"/>
    </row>
    <row r="150" spans="1:15" x14ac:dyDescent="0.25">
      <c r="A150" s="15"/>
      <c r="B150" s="15"/>
      <c r="C150" s="15"/>
      <c r="D150" s="15"/>
      <c r="E150" s="35"/>
      <c r="F150" s="14"/>
      <c r="G150" s="14"/>
      <c r="H150" s="16" t="str">
        <f>TRIM(IF(Stock[n°CC]=0,"",Stock[n°CC]&amp;""&amp;Stock[Pres]))</f>
        <v/>
      </c>
      <c r="I150" s="19"/>
      <c r="J150" s="17"/>
      <c r="K150" s="21" t="str">
        <f>IF(Stock[n°CC]=0,"",SUMIF(Egreso[Código de barras],Stock[Código de barras],Egreso[Cantidad]))</f>
        <v/>
      </c>
      <c r="L150" s="21" t="str">
        <f>IF(Stock[n°CC]=0,"",SUMIF(Ingreso[Código de barras],Stock[Código de barras],Ingreso[Cantidad]))</f>
        <v/>
      </c>
      <c r="M150" s="22" t="str">
        <f>IF(Stock[n°CC]=0,"",IF(Stock[n°]=Stock[Egreso],"Si","No"))</f>
        <v/>
      </c>
      <c r="N150" s="22" t="str">
        <f>IF(OR(Stock[n°CC]=0,Stock[n°CC]="vacio"),"",IF(AND(Stock[n°]=Stock[Egreso],Stock[Egreso]=Stock[Ingreso]),"Si","No"))</f>
        <v/>
      </c>
      <c r="O150" s="18"/>
    </row>
    <row r="151" spans="1:15" x14ac:dyDescent="0.25">
      <c r="A151" s="15"/>
      <c r="B151" s="15"/>
      <c r="C151" s="15"/>
      <c r="D151" s="15"/>
      <c r="E151" s="35"/>
      <c r="F151" s="14"/>
      <c r="G151" s="14"/>
      <c r="H151" s="16" t="str">
        <f>TRIM(IF(Stock[n°CC]=0,"",Stock[n°CC]&amp;""&amp;Stock[Pres]))</f>
        <v/>
      </c>
      <c r="I151" s="19"/>
      <c r="J151" s="17"/>
      <c r="K151" s="21" t="str">
        <f>IF(Stock[n°CC]=0,"",SUMIF(Egreso[Código de barras],Stock[Código de barras],Egreso[Cantidad]))</f>
        <v/>
      </c>
      <c r="L151" s="21" t="str">
        <f>IF(Stock[n°CC]=0,"",SUMIF(Ingreso[Código de barras],Stock[Código de barras],Ingreso[Cantidad]))</f>
        <v/>
      </c>
      <c r="M151" s="22" t="str">
        <f>IF(Stock[n°CC]=0,"",IF(Stock[n°]=Stock[Egreso],"Si","No"))</f>
        <v/>
      </c>
      <c r="N151" s="22" t="str">
        <f>IF(OR(Stock[n°CC]=0,Stock[n°CC]="vacio"),"",IF(AND(Stock[n°]=Stock[Egreso],Stock[Egreso]=Stock[Ingreso]),"Si","No"))</f>
        <v/>
      </c>
      <c r="O151" s="18"/>
    </row>
    <row r="152" spans="1:15" x14ac:dyDescent="0.25">
      <c r="A152" s="15"/>
      <c r="B152" s="15"/>
      <c r="C152" s="15"/>
      <c r="D152" s="15"/>
      <c r="E152" s="35"/>
      <c r="F152" s="14"/>
      <c r="G152" s="14"/>
      <c r="H152" s="16" t="str">
        <f>TRIM(IF(Stock[n°CC]=0,"",Stock[n°CC]&amp;""&amp;Stock[Pres]))</f>
        <v/>
      </c>
      <c r="I152" s="19"/>
      <c r="J152" s="17"/>
      <c r="K152" s="21" t="str">
        <f>IF(Stock[n°CC]=0,"",SUMIF(Egreso[Código de barras],Stock[Código de barras],Egreso[Cantidad]))</f>
        <v/>
      </c>
      <c r="L152" s="21" t="str">
        <f>IF(Stock[n°CC]=0,"",SUMIF(Ingreso[Código de barras],Stock[Código de barras],Ingreso[Cantidad]))</f>
        <v/>
      </c>
      <c r="M152" s="22" t="str">
        <f>IF(Stock[n°CC]=0,"",IF(Stock[n°]=Stock[Egreso],"Si","No"))</f>
        <v/>
      </c>
      <c r="N152" s="22" t="str">
        <f>IF(OR(Stock[n°CC]=0,Stock[n°CC]="vacio"),"",IF(AND(Stock[n°]=Stock[Egreso],Stock[Egreso]=Stock[Ingreso]),"Si","No"))</f>
        <v/>
      </c>
      <c r="O152" s="18"/>
    </row>
    <row r="153" spans="1:15" x14ac:dyDescent="0.25">
      <c r="A153" s="15"/>
      <c r="B153" s="15"/>
      <c r="C153" s="15"/>
      <c r="D153" s="15"/>
      <c r="E153" s="35"/>
      <c r="F153" s="14"/>
      <c r="G153" s="14"/>
      <c r="H153" s="16" t="str">
        <f>TRIM(IF(Stock[n°CC]=0,"",Stock[n°CC]&amp;""&amp;Stock[Pres]))</f>
        <v/>
      </c>
      <c r="I153" s="19"/>
      <c r="J153" s="17"/>
      <c r="K153" s="21" t="str">
        <f>IF(Stock[n°CC]=0,"",SUMIF(Egreso[Código de barras],Stock[Código de barras],Egreso[Cantidad]))</f>
        <v/>
      </c>
      <c r="L153" s="21" t="str">
        <f>IF(Stock[n°CC]=0,"",SUMIF(Ingreso[Código de barras],Stock[Código de barras],Ingreso[Cantidad]))</f>
        <v/>
      </c>
      <c r="M153" s="22" t="str">
        <f>IF(Stock[n°CC]=0,"",IF(Stock[n°]=Stock[Egreso],"Si","No"))</f>
        <v/>
      </c>
      <c r="N153" s="22" t="str">
        <f>IF(OR(Stock[n°CC]=0,Stock[n°CC]="vacio"),"",IF(AND(Stock[n°]=Stock[Egreso],Stock[Egreso]=Stock[Ingreso]),"Si","No"))</f>
        <v/>
      </c>
      <c r="O153" s="18"/>
    </row>
    <row r="154" spans="1:15" x14ac:dyDescent="0.25">
      <c r="A154" s="15"/>
      <c r="B154" s="15"/>
      <c r="C154" s="15"/>
      <c r="D154" s="15"/>
      <c r="E154" s="35"/>
      <c r="F154" s="14"/>
      <c r="G154" s="14"/>
      <c r="H154" s="16" t="str">
        <f>TRIM(IF(Stock[n°CC]=0,"",Stock[n°CC]&amp;""&amp;Stock[Pres]))</f>
        <v/>
      </c>
      <c r="I154" s="19"/>
      <c r="J154" s="17"/>
      <c r="K154" s="21" t="str">
        <f>IF(Stock[n°CC]=0,"",SUMIF(Egreso[Código de barras],Stock[Código de barras],Egreso[Cantidad]))</f>
        <v/>
      </c>
      <c r="L154" s="21" t="str">
        <f>IF(Stock[n°CC]=0,"",SUMIF(Ingreso[Código de barras],Stock[Código de barras],Ingreso[Cantidad]))</f>
        <v/>
      </c>
      <c r="M154" s="22" t="str">
        <f>IF(Stock[n°CC]=0,"",IF(Stock[n°]=Stock[Egreso],"Si","No"))</f>
        <v/>
      </c>
      <c r="N154" s="22" t="str">
        <f>IF(OR(Stock[n°CC]=0,Stock[n°CC]="vacio"),"",IF(AND(Stock[n°]=Stock[Egreso],Stock[Egreso]=Stock[Ingreso]),"Si","No"))</f>
        <v/>
      </c>
      <c r="O154" s="18"/>
    </row>
    <row r="155" spans="1:15" x14ac:dyDescent="0.25">
      <c r="A155" s="15"/>
      <c r="B155" s="15"/>
      <c r="C155" s="15"/>
      <c r="D155" s="15"/>
      <c r="E155" s="35"/>
      <c r="F155" s="14"/>
      <c r="G155" s="14"/>
      <c r="H155" s="16" t="str">
        <f>TRIM(IF(Stock[n°CC]=0,"",Stock[n°CC]&amp;""&amp;Stock[Pres]))</f>
        <v/>
      </c>
      <c r="I155" s="19"/>
      <c r="J155" s="17"/>
      <c r="K155" s="21" t="str">
        <f>IF(Stock[n°CC]=0,"",SUMIF(Egreso[Código de barras],Stock[Código de barras],Egreso[Cantidad]))</f>
        <v/>
      </c>
      <c r="L155" s="21" t="str">
        <f>IF(Stock[n°CC]=0,"",SUMIF(Ingreso[Código de barras],Stock[Código de barras],Ingreso[Cantidad]))</f>
        <v/>
      </c>
      <c r="M155" s="22" t="str">
        <f>IF(Stock[n°CC]=0,"",IF(Stock[n°]=Stock[Egreso],"Si","No"))</f>
        <v/>
      </c>
      <c r="N155" s="22" t="str">
        <f>IF(OR(Stock[n°CC]=0,Stock[n°CC]="vacio"),"",IF(AND(Stock[n°]=Stock[Egreso],Stock[Egreso]=Stock[Ingreso]),"Si","No"))</f>
        <v/>
      </c>
      <c r="O155" s="18"/>
    </row>
    <row r="156" spans="1:15" x14ac:dyDescent="0.25">
      <c r="A156" s="15"/>
      <c r="B156" s="15"/>
      <c r="C156" s="15"/>
      <c r="D156" s="15"/>
      <c r="E156" s="35"/>
      <c r="F156" s="14"/>
      <c r="G156" s="14"/>
      <c r="H156" s="16" t="str">
        <f>TRIM(IF(Stock[n°CC]=0,"",Stock[n°CC]&amp;""&amp;Stock[Pres]))</f>
        <v/>
      </c>
      <c r="I156" s="19"/>
      <c r="J156" s="17"/>
      <c r="K156" s="21" t="str">
        <f>IF(Stock[n°CC]=0,"",SUMIF(Egreso[Código de barras],Stock[Código de barras],Egreso[Cantidad]))</f>
        <v/>
      </c>
      <c r="L156" s="21" t="str">
        <f>IF(Stock[n°CC]=0,"",SUMIF(Ingreso[Código de barras],Stock[Código de barras],Ingreso[Cantidad]))</f>
        <v/>
      </c>
      <c r="M156" s="22" t="str">
        <f>IF(Stock[n°CC]=0,"",IF(Stock[n°]=Stock[Egreso],"Si","No"))</f>
        <v/>
      </c>
      <c r="N156" s="22" t="str">
        <f>IF(OR(Stock[n°CC]=0,Stock[n°CC]="vacio"),"",IF(AND(Stock[n°]=Stock[Egreso],Stock[Egreso]=Stock[Ingreso]),"Si","No"))</f>
        <v/>
      </c>
      <c r="O156" s="18"/>
    </row>
    <row r="157" spans="1:15" x14ac:dyDescent="0.25">
      <c r="A157" s="15"/>
      <c r="B157" s="15"/>
      <c r="C157" s="15"/>
      <c r="D157" s="15"/>
      <c r="E157" s="35"/>
      <c r="F157" s="14"/>
      <c r="G157" s="14"/>
      <c r="H157" s="16" t="str">
        <f>TRIM(IF(Stock[n°CC]=0,"",Stock[n°CC]&amp;""&amp;Stock[Pres]))</f>
        <v/>
      </c>
      <c r="I157" s="19"/>
      <c r="J157" s="17"/>
      <c r="K157" s="21" t="str">
        <f>IF(Stock[n°CC]=0,"",SUMIF(Egreso[Código de barras],Stock[Código de barras],Egreso[Cantidad]))</f>
        <v/>
      </c>
      <c r="L157" s="21" t="str">
        <f>IF(Stock[n°CC]=0,"",SUMIF(Ingreso[Código de barras],Stock[Código de barras],Ingreso[Cantidad]))</f>
        <v/>
      </c>
      <c r="M157" s="22" t="str">
        <f>IF(Stock[n°CC]=0,"",IF(Stock[n°]=Stock[Egreso],"Si","No"))</f>
        <v/>
      </c>
      <c r="N157" s="22" t="str">
        <f>IF(OR(Stock[n°CC]=0,Stock[n°CC]="vacio"),"",IF(AND(Stock[n°]=Stock[Egreso],Stock[Egreso]=Stock[Ingreso]),"Si","No"))</f>
        <v/>
      </c>
      <c r="O157" s="18"/>
    </row>
    <row r="158" spans="1:15" x14ac:dyDescent="0.25">
      <c r="A158" s="15"/>
      <c r="B158" s="15"/>
      <c r="C158" s="15"/>
      <c r="D158" s="15"/>
      <c r="E158" s="35"/>
      <c r="F158" s="14"/>
      <c r="G158" s="14"/>
      <c r="H158" s="16" t="str">
        <f>TRIM(IF(Stock[n°CC]=0,"",Stock[n°CC]&amp;""&amp;Stock[Pres]))</f>
        <v/>
      </c>
      <c r="I158" s="19"/>
      <c r="J158" s="17"/>
      <c r="K158" s="21" t="str">
        <f>IF(Stock[n°CC]=0,"",SUMIF(Egreso[Código de barras],Stock[Código de barras],Egreso[Cantidad]))</f>
        <v/>
      </c>
      <c r="L158" s="21" t="str">
        <f>IF(Stock[n°CC]=0,"",SUMIF(Ingreso[Código de barras],Stock[Código de barras],Ingreso[Cantidad]))</f>
        <v/>
      </c>
      <c r="M158" s="22" t="str">
        <f>IF(Stock[n°CC]=0,"",IF(Stock[n°]=Stock[Egreso],"Si","No"))</f>
        <v/>
      </c>
      <c r="N158" s="22" t="str">
        <f>IF(OR(Stock[n°CC]=0,Stock[n°CC]="vacio"),"",IF(AND(Stock[n°]=Stock[Egreso],Stock[Egreso]=Stock[Ingreso]),"Si","No"))</f>
        <v/>
      </c>
      <c r="O158" s="18"/>
    </row>
    <row r="159" spans="1:15" x14ac:dyDescent="0.25">
      <c r="A159" s="15"/>
      <c r="B159" s="15"/>
      <c r="C159" s="15"/>
      <c r="D159" s="15"/>
      <c r="E159" s="35"/>
      <c r="F159" s="14"/>
      <c r="G159" s="14"/>
      <c r="H159" s="16" t="str">
        <f>TRIM(IF(Stock[n°CC]=0,"",Stock[n°CC]&amp;""&amp;Stock[Pres]))</f>
        <v/>
      </c>
      <c r="I159" s="19"/>
      <c r="J159" s="17"/>
      <c r="K159" s="21" t="str">
        <f>IF(Stock[n°CC]=0,"",SUMIF(Egreso[Código de barras],Stock[Código de barras],Egreso[Cantidad]))</f>
        <v/>
      </c>
      <c r="L159" s="21" t="str">
        <f>IF(Stock[n°CC]=0,"",SUMIF(Ingreso[Código de barras],Stock[Código de barras],Ingreso[Cantidad]))</f>
        <v/>
      </c>
      <c r="M159" s="22" t="str">
        <f>IF(Stock[n°CC]=0,"",IF(Stock[n°]=Stock[Egreso],"Si","No"))</f>
        <v/>
      </c>
      <c r="N159" s="22" t="str">
        <f>IF(OR(Stock[n°CC]=0,Stock[n°CC]="vacio"),"",IF(AND(Stock[n°]=Stock[Egreso],Stock[Egreso]=Stock[Ingreso]),"Si","No"))</f>
        <v/>
      </c>
      <c r="O159" s="18"/>
    </row>
    <row r="160" spans="1:15" x14ac:dyDescent="0.25">
      <c r="A160" s="15"/>
      <c r="B160" s="15"/>
      <c r="C160" s="15"/>
      <c r="D160" s="15"/>
      <c r="E160" s="35"/>
      <c r="F160" s="14"/>
      <c r="G160" s="14"/>
      <c r="H160" s="16" t="str">
        <f>TRIM(IF(Stock[n°CC]=0,"",Stock[n°CC]&amp;""&amp;Stock[Pres]))</f>
        <v/>
      </c>
      <c r="I160" s="19"/>
      <c r="J160" s="17"/>
      <c r="K160" s="21" t="str">
        <f>IF(Stock[n°CC]=0,"",SUMIF(Egreso[Código de barras],Stock[Código de barras],Egreso[Cantidad]))</f>
        <v/>
      </c>
      <c r="L160" s="21" t="str">
        <f>IF(Stock[n°CC]=0,"",SUMIF(Ingreso[Código de barras],Stock[Código de barras],Ingreso[Cantidad]))</f>
        <v/>
      </c>
      <c r="M160" s="22" t="str">
        <f>IF(Stock[n°CC]=0,"",IF(Stock[n°]=Stock[Egreso],"Si","No"))</f>
        <v/>
      </c>
      <c r="N160" s="22" t="str">
        <f>IF(OR(Stock[n°CC]=0,Stock[n°CC]="vacio"),"",IF(AND(Stock[n°]=Stock[Egreso],Stock[Egreso]=Stock[Ingreso]),"Si","No"))</f>
        <v/>
      </c>
      <c r="O160" s="18"/>
    </row>
    <row r="161" spans="1:15" x14ac:dyDescent="0.25">
      <c r="A161" s="15"/>
      <c r="B161" s="15"/>
      <c r="C161" s="15"/>
      <c r="D161" s="15"/>
      <c r="E161" s="35"/>
      <c r="F161" s="14"/>
      <c r="G161" s="14"/>
      <c r="H161" s="16" t="str">
        <f>TRIM(IF(Stock[n°CC]=0,"",Stock[n°CC]&amp;""&amp;Stock[Pres]))</f>
        <v/>
      </c>
      <c r="I161" s="19"/>
      <c r="J161" s="17"/>
      <c r="K161" s="21" t="str">
        <f>IF(Stock[n°CC]=0,"",SUMIF(Egreso[Código de barras],Stock[Código de barras],Egreso[Cantidad]))</f>
        <v/>
      </c>
      <c r="L161" s="21" t="str">
        <f>IF(Stock[n°CC]=0,"",SUMIF(Ingreso[Código de barras],Stock[Código de barras],Ingreso[Cantidad]))</f>
        <v/>
      </c>
      <c r="M161" s="22" t="str">
        <f>IF(Stock[n°CC]=0,"",IF(Stock[n°]=Stock[Egreso],"Si","No"))</f>
        <v/>
      </c>
      <c r="N161" s="22" t="str">
        <f>IF(OR(Stock[n°CC]=0,Stock[n°CC]="vacio"),"",IF(AND(Stock[n°]=Stock[Egreso],Stock[Egreso]=Stock[Ingreso]),"Si","No"))</f>
        <v/>
      </c>
      <c r="O161" s="18"/>
    </row>
    <row r="162" spans="1:15" x14ac:dyDescent="0.25">
      <c r="A162" s="15"/>
      <c r="B162" s="15"/>
      <c r="C162" s="15"/>
      <c r="D162" s="15"/>
      <c r="E162" s="35"/>
      <c r="F162" s="14"/>
      <c r="G162" s="14"/>
      <c r="H162" s="16" t="str">
        <f>TRIM(IF(Stock[n°CC]=0,"",Stock[n°CC]&amp;""&amp;Stock[Pres]))</f>
        <v/>
      </c>
      <c r="I162" s="19"/>
      <c r="J162" s="17"/>
      <c r="K162" s="21" t="str">
        <f>IF(Stock[n°CC]=0,"",SUMIF(Egreso[Código de barras],Stock[Código de barras],Egreso[Cantidad]))</f>
        <v/>
      </c>
      <c r="L162" s="21" t="str">
        <f>IF(Stock[n°CC]=0,"",SUMIF(Ingreso[Código de barras],Stock[Código de barras],Ingreso[Cantidad]))</f>
        <v/>
      </c>
      <c r="M162" s="22" t="str">
        <f>IF(Stock[n°CC]=0,"",IF(Stock[n°]=Stock[Egreso],"Si","No"))</f>
        <v/>
      </c>
      <c r="N162" s="22" t="str">
        <f>IF(OR(Stock[n°CC]=0,Stock[n°CC]="vacio"),"",IF(AND(Stock[n°]=Stock[Egreso],Stock[Egreso]=Stock[Ingreso]),"Si","No"))</f>
        <v/>
      </c>
      <c r="O162" s="18"/>
    </row>
    <row r="163" spans="1:15" x14ac:dyDescent="0.25">
      <c r="A163" s="15"/>
      <c r="B163" s="15"/>
      <c r="C163" s="15"/>
      <c r="D163" s="15"/>
      <c r="E163" s="35"/>
      <c r="F163" s="14"/>
      <c r="G163" s="14"/>
      <c r="H163" s="16" t="str">
        <f>TRIM(IF(Stock[n°CC]=0,"",Stock[n°CC]&amp;""&amp;Stock[Pres]))</f>
        <v/>
      </c>
      <c r="I163" s="19"/>
      <c r="J163" s="17"/>
      <c r="K163" s="21" t="str">
        <f>IF(Stock[n°CC]=0,"",SUMIF(Egreso[Código de barras],Stock[Código de barras],Egreso[Cantidad]))</f>
        <v/>
      </c>
      <c r="L163" s="21" t="str">
        <f>IF(Stock[n°CC]=0,"",SUMIF(Ingreso[Código de barras],Stock[Código de barras],Ingreso[Cantidad]))</f>
        <v/>
      </c>
      <c r="M163" s="22" t="str">
        <f>IF(Stock[n°CC]=0,"",IF(Stock[n°]=Stock[Egreso],"Si","No"))</f>
        <v/>
      </c>
      <c r="N163" s="22" t="str">
        <f>IF(OR(Stock[n°CC]=0,Stock[n°CC]="vacio"),"",IF(AND(Stock[n°]=Stock[Egreso],Stock[Egreso]=Stock[Ingreso]),"Si","No"))</f>
        <v/>
      </c>
      <c r="O163" s="18"/>
    </row>
    <row r="164" spans="1:15" x14ac:dyDescent="0.25">
      <c r="A164" s="15"/>
      <c r="B164" s="15"/>
      <c r="C164" s="15"/>
      <c r="D164" s="15"/>
      <c r="E164" s="35"/>
      <c r="F164" s="14"/>
      <c r="G164" s="14"/>
      <c r="H164" s="16" t="str">
        <f>TRIM(IF(Stock[n°CC]=0,"",Stock[n°CC]&amp;""&amp;Stock[Pres]))</f>
        <v/>
      </c>
      <c r="I164" s="19"/>
      <c r="J164" s="17"/>
      <c r="K164" s="21" t="str">
        <f>IF(Stock[n°CC]=0,"",SUMIF(Egreso[Código de barras],Stock[Código de barras],Egreso[Cantidad]))</f>
        <v/>
      </c>
      <c r="L164" s="21" t="str">
        <f>IF(Stock[n°CC]=0,"",SUMIF(Ingreso[Código de barras],Stock[Código de barras],Ingreso[Cantidad]))</f>
        <v/>
      </c>
      <c r="M164" s="22" t="str">
        <f>IF(Stock[n°CC]=0,"",IF(Stock[n°]=Stock[Egreso],"Si","No"))</f>
        <v/>
      </c>
      <c r="N164" s="22" t="str">
        <f>IF(OR(Stock[n°CC]=0,Stock[n°CC]="vacio"),"",IF(AND(Stock[n°]=Stock[Egreso],Stock[Egreso]=Stock[Ingreso]),"Si","No"))</f>
        <v/>
      </c>
      <c r="O164" s="18"/>
    </row>
    <row r="165" spans="1:15" x14ac:dyDescent="0.25">
      <c r="A165" s="15"/>
      <c r="B165" s="15"/>
      <c r="C165" s="15"/>
      <c r="D165" s="15"/>
      <c r="E165" s="35"/>
      <c r="F165" s="14"/>
      <c r="G165" s="14"/>
      <c r="H165" s="16" t="str">
        <f>TRIM(IF(Stock[n°CC]=0,"",Stock[n°CC]&amp;""&amp;Stock[Pres]))</f>
        <v/>
      </c>
      <c r="I165" s="19"/>
      <c r="J165" s="17"/>
      <c r="K165" s="21" t="str">
        <f>IF(Stock[n°CC]=0,"",SUMIF(Egreso[Código de barras],Stock[Código de barras],Egreso[Cantidad]))</f>
        <v/>
      </c>
      <c r="L165" s="21" t="str">
        <f>IF(Stock[n°CC]=0,"",SUMIF(Ingreso[Código de barras],Stock[Código de barras],Ingreso[Cantidad]))</f>
        <v/>
      </c>
      <c r="M165" s="22" t="str">
        <f>IF(Stock[n°CC]=0,"",IF(Stock[n°]=Stock[Egreso],"Si","No"))</f>
        <v/>
      </c>
      <c r="N165" s="22" t="str">
        <f>IF(OR(Stock[n°CC]=0,Stock[n°CC]="vacio"),"",IF(AND(Stock[n°]=Stock[Egreso],Stock[Egreso]=Stock[Ingreso]),"Si","No"))</f>
        <v/>
      </c>
      <c r="O165" s="18"/>
    </row>
    <row r="166" spans="1:15" x14ac:dyDescent="0.25">
      <c r="A166" s="15"/>
      <c r="B166" s="15"/>
      <c r="C166" s="15"/>
      <c r="D166" s="15"/>
      <c r="E166" s="35"/>
      <c r="F166" s="14"/>
      <c r="G166" s="14"/>
      <c r="H166" s="16" t="str">
        <f>TRIM(IF(Stock[n°CC]=0,"",Stock[n°CC]&amp;""&amp;Stock[Pres]))</f>
        <v/>
      </c>
      <c r="I166" s="19"/>
      <c r="J166" s="17"/>
      <c r="K166" s="21" t="str">
        <f>IF(Stock[n°CC]=0,"",SUMIF(Egreso[Código de barras],Stock[Código de barras],Egreso[Cantidad]))</f>
        <v/>
      </c>
      <c r="L166" s="21" t="str">
        <f>IF(Stock[n°CC]=0,"",SUMIF(Ingreso[Código de barras],Stock[Código de barras],Ingreso[Cantidad]))</f>
        <v/>
      </c>
      <c r="M166" s="22" t="str">
        <f>IF(Stock[n°CC]=0,"",IF(Stock[n°]=Stock[Egreso],"Si","No"))</f>
        <v/>
      </c>
      <c r="N166" s="22" t="str">
        <f>IF(OR(Stock[n°CC]=0,Stock[n°CC]="vacio"),"",IF(AND(Stock[n°]=Stock[Egreso],Stock[Egreso]=Stock[Ingreso]),"Si","No"))</f>
        <v/>
      </c>
      <c r="O166" s="18"/>
    </row>
    <row r="167" spans="1:15" x14ac:dyDescent="0.25">
      <c r="A167" s="15"/>
      <c r="B167" s="15"/>
      <c r="C167" s="15"/>
      <c r="D167" s="15"/>
      <c r="E167" s="35"/>
      <c r="F167" s="14"/>
      <c r="G167" s="14"/>
      <c r="H167" s="16" t="str">
        <f>TRIM(IF(Stock[n°CC]=0,"",Stock[n°CC]&amp;""&amp;Stock[Pres]))</f>
        <v/>
      </c>
      <c r="I167" s="19"/>
      <c r="J167" s="17"/>
      <c r="K167" s="21" t="str">
        <f>IF(Stock[n°CC]=0,"",SUMIF(Egreso[Código de barras],Stock[Código de barras],Egreso[Cantidad]))</f>
        <v/>
      </c>
      <c r="L167" s="21" t="str">
        <f>IF(Stock[n°CC]=0,"",SUMIF(Ingreso[Código de barras],Stock[Código de barras],Ingreso[Cantidad]))</f>
        <v/>
      </c>
      <c r="M167" s="22" t="str">
        <f>IF(Stock[n°CC]=0,"",IF(Stock[n°]=Stock[Egreso],"Si","No"))</f>
        <v/>
      </c>
      <c r="N167" s="22" t="str">
        <f>IF(OR(Stock[n°CC]=0,Stock[n°CC]="vacio"),"",IF(AND(Stock[n°]=Stock[Egreso],Stock[Egreso]=Stock[Ingreso]),"Si","No"))</f>
        <v/>
      </c>
      <c r="O167" s="18"/>
    </row>
    <row r="168" spans="1:15" x14ac:dyDescent="0.25">
      <c r="A168" s="15"/>
      <c r="B168" s="15"/>
      <c r="C168" s="15"/>
      <c r="D168" s="15"/>
      <c r="E168" s="35"/>
      <c r="F168" s="14"/>
      <c r="G168" s="14"/>
      <c r="H168" s="16" t="str">
        <f>TRIM(IF(Stock[n°CC]=0,"",Stock[n°CC]&amp;""&amp;Stock[Pres]))</f>
        <v/>
      </c>
      <c r="I168" s="19"/>
      <c r="J168" s="17"/>
      <c r="K168" s="21" t="str">
        <f>IF(Stock[n°CC]=0,"",SUMIF(Egreso[Código de barras],Stock[Código de barras],Egreso[Cantidad]))</f>
        <v/>
      </c>
      <c r="L168" s="21" t="str">
        <f>IF(Stock[n°CC]=0,"",SUMIF(Ingreso[Código de barras],Stock[Código de barras],Ingreso[Cantidad]))</f>
        <v/>
      </c>
      <c r="M168" s="22" t="str">
        <f>IF(Stock[n°CC]=0,"",IF(Stock[n°]=Stock[Egreso],"Si","No"))</f>
        <v/>
      </c>
      <c r="N168" s="22" t="str">
        <f>IF(OR(Stock[n°CC]=0,Stock[n°CC]="vacio"),"",IF(AND(Stock[n°]=Stock[Egreso],Stock[Egreso]=Stock[Ingreso]),"Si","No"))</f>
        <v/>
      </c>
      <c r="O168" s="18"/>
    </row>
    <row r="169" spans="1:15" x14ac:dyDescent="0.25">
      <c r="A169" s="15"/>
      <c r="B169" s="15"/>
      <c r="C169" s="15"/>
      <c r="D169" s="15"/>
      <c r="E169" s="35"/>
      <c r="F169" s="14"/>
      <c r="G169" s="14"/>
      <c r="H169" s="16" t="str">
        <f>TRIM(IF(Stock[n°CC]=0,"",Stock[n°CC]&amp;""&amp;Stock[Pres]))</f>
        <v/>
      </c>
      <c r="I169" s="19"/>
      <c r="J169" s="17"/>
      <c r="K169" s="21" t="str">
        <f>IF(Stock[n°CC]=0,"",SUMIF(Egreso[Código de barras],Stock[Código de barras],Egreso[Cantidad]))</f>
        <v/>
      </c>
      <c r="L169" s="21" t="str">
        <f>IF(Stock[n°CC]=0,"",SUMIF(Ingreso[Código de barras],Stock[Código de barras],Ingreso[Cantidad]))</f>
        <v/>
      </c>
      <c r="M169" s="22" t="str">
        <f>IF(Stock[n°CC]=0,"",IF(Stock[n°]=Stock[Egreso],"Si","No"))</f>
        <v/>
      </c>
      <c r="N169" s="22" t="str">
        <f>IF(OR(Stock[n°CC]=0,Stock[n°CC]="vacio"),"",IF(AND(Stock[n°]=Stock[Egreso],Stock[Egreso]=Stock[Ingreso]),"Si","No"))</f>
        <v/>
      </c>
      <c r="O169" s="18"/>
    </row>
    <row r="170" spans="1:15" x14ac:dyDescent="0.25">
      <c r="A170" s="15"/>
      <c r="B170" s="15"/>
      <c r="C170" s="15"/>
      <c r="D170" s="15"/>
      <c r="E170" s="35"/>
      <c r="F170" s="14"/>
      <c r="G170" s="14"/>
      <c r="H170" s="16" t="str">
        <f>TRIM(IF(Stock[n°CC]=0,"",Stock[n°CC]&amp;""&amp;Stock[Pres]))</f>
        <v/>
      </c>
      <c r="I170" s="19"/>
      <c r="J170" s="17"/>
      <c r="K170" s="21" t="str">
        <f>IF(Stock[n°CC]=0,"",SUMIF(Egreso[Código de barras],Stock[Código de barras],Egreso[Cantidad]))</f>
        <v/>
      </c>
      <c r="L170" s="21" t="str">
        <f>IF(Stock[n°CC]=0,"",SUMIF(Ingreso[Código de barras],Stock[Código de barras],Ingreso[Cantidad]))</f>
        <v/>
      </c>
      <c r="M170" s="22" t="str">
        <f>IF(Stock[n°CC]=0,"",IF(Stock[n°]=Stock[Egreso],"Si","No"))</f>
        <v/>
      </c>
      <c r="N170" s="22" t="str">
        <f>IF(OR(Stock[n°CC]=0,Stock[n°CC]="vacio"),"",IF(AND(Stock[n°]=Stock[Egreso],Stock[Egreso]=Stock[Ingreso]),"Si","No"))</f>
        <v/>
      </c>
      <c r="O170" s="18"/>
    </row>
    <row r="171" spans="1:15" x14ac:dyDescent="0.25">
      <c r="A171" s="15"/>
      <c r="B171" s="15"/>
      <c r="C171" s="15"/>
      <c r="D171" s="15"/>
      <c r="E171" s="35"/>
      <c r="F171" s="14"/>
      <c r="G171" s="14"/>
      <c r="H171" s="16" t="str">
        <f>TRIM(IF(Stock[n°CC]=0,"",Stock[n°CC]&amp;""&amp;Stock[Pres]))</f>
        <v/>
      </c>
      <c r="I171" s="19"/>
      <c r="J171" s="17"/>
      <c r="K171" s="21" t="str">
        <f>IF(Stock[n°CC]=0,"",SUMIF(Egreso[Código de barras],Stock[Código de barras],Egreso[Cantidad]))</f>
        <v/>
      </c>
      <c r="L171" s="21" t="str">
        <f>IF(Stock[n°CC]=0,"",SUMIF(Ingreso[Código de barras],Stock[Código de barras],Ingreso[Cantidad]))</f>
        <v/>
      </c>
      <c r="M171" s="22" t="str">
        <f>IF(Stock[n°CC]=0,"",IF(Stock[n°]=Stock[Egreso],"Si","No"))</f>
        <v/>
      </c>
      <c r="N171" s="22" t="str">
        <f>IF(OR(Stock[n°CC]=0,Stock[n°CC]="vacio"),"",IF(AND(Stock[n°]=Stock[Egreso],Stock[Egreso]=Stock[Ingreso]),"Si","No"))</f>
        <v/>
      </c>
      <c r="O171" s="18"/>
    </row>
    <row r="172" spans="1:15" x14ac:dyDescent="0.25">
      <c r="A172" s="15"/>
      <c r="B172" s="15"/>
      <c r="C172" s="15"/>
      <c r="D172" s="15"/>
      <c r="E172" s="35"/>
      <c r="F172" s="14"/>
      <c r="G172" s="14"/>
      <c r="H172" s="16" t="str">
        <f>TRIM(IF(Stock[n°CC]=0,"",Stock[n°CC]&amp;""&amp;Stock[Pres]))</f>
        <v/>
      </c>
      <c r="I172" s="19"/>
      <c r="J172" s="17"/>
      <c r="K172" s="21" t="str">
        <f>IF(Stock[n°CC]=0,"",SUMIF(Egreso[Código de barras],Stock[Código de barras],Egreso[Cantidad]))</f>
        <v/>
      </c>
      <c r="L172" s="21" t="str">
        <f>IF(Stock[n°CC]=0,"",SUMIF(Ingreso[Código de barras],Stock[Código de barras],Ingreso[Cantidad]))</f>
        <v/>
      </c>
      <c r="M172" s="22" t="str">
        <f>IF(Stock[n°CC]=0,"",IF(Stock[n°]=Stock[Egreso],"Si","No"))</f>
        <v/>
      </c>
      <c r="N172" s="22" t="str">
        <f>IF(OR(Stock[n°CC]=0,Stock[n°CC]="vacio"),"",IF(AND(Stock[n°]=Stock[Egreso],Stock[Egreso]=Stock[Ingreso]),"Si","No"))</f>
        <v/>
      </c>
      <c r="O172" s="18"/>
    </row>
    <row r="173" spans="1:15" x14ac:dyDescent="0.25">
      <c r="A173" s="15"/>
      <c r="B173" s="15"/>
      <c r="C173" s="15"/>
      <c r="D173" s="15"/>
      <c r="E173" s="35"/>
      <c r="F173" s="14"/>
      <c r="G173" s="14"/>
      <c r="H173" s="16" t="str">
        <f>TRIM(IF(Stock[n°CC]=0,"",Stock[n°CC]&amp;""&amp;Stock[Pres]))</f>
        <v/>
      </c>
      <c r="I173" s="19"/>
      <c r="J173" s="17"/>
      <c r="K173" s="21" t="str">
        <f>IF(Stock[n°CC]=0,"",SUMIF(Egreso[Código de barras],Stock[Código de barras],Egreso[Cantidad]))</f>
        <v/>
      </c>
      <c r="L173" s="21" t="str">
        <f>IF(Stock[n°CC]=0,"",SUMIF(Ingreso[Código de barras],Stock[Código de barras],Ingreso[Cantidad]))</f>
        <v/>
      </c>
      <c r="M173" s="22" t="str">
        <f>IF(Stock[n°CC]=0,"",IF(Stock[n°]=Stock[Egreso],"Si","No"))</f>
        <v/>
      </c>
      <c r="N173" s="22" t="str">
        <f>IF(OR(Stock[n°CC]=0,Stock[n°CC]="vacio"),"",IF(AND(Stock[n°]=Stock[Egreso],Stock[Egreso]=Stock[Ingreso]),"Si","No"))</f>
        <v/>
      </c>
      <c r="O173" s="18"/>
    </row>
    <row r="174" spans="1:15" x14ac:dyDescent="0.25">
      <c r="A174" s="15"/>
      <c r="B174" s="15"/>
      <c r="C174" s="15"/>
      <c r="D174" s="15"/>
      <c r="E174" s="35"/>
      <c r="F174" s="14"/>
      <c r="G174" s="14"/>
      <c r="H174" s="16" t="str">
        <f>TRIM(IF(Stock[n°CC]=0,"",Stock[n°CC]&amp;""&amp;Stock[Pres]))</f>
        <v/>
      </c>
      <c r="I174" s="19"/>
      <c r="J174" s="17"/>
      <c r="K174" s="21" t="str">
        <f>IF(Stock[n°CC]=0,"",SUMIF(Egreso[Código de barras],Stock[Código de barras],Egreso[Cantidad]))</f>
        <v/>
      </c>
      <c r="L174" s="21" t="str">
        <f>IF(Stock[n°CC]=0,"",SUMIF(Ingreso[Código de barras],Stock[Código de barras],Ingreso[Cantidad]))</f>
        <v/>
      </c>
      <c r="M174" s="22" t="str">
        <f>IF(Stock[n°CC]=0,"",IF(Stock[n°]=Stock[Egreso],"Si","No"))</f>
        <v/>
      </c>
      <c r="N174" s="22" t="str">
        <f>IF(OR(Stock[n°CC]=0,Stock[n°CC]="vacio"),"",IF(AND(Stock[n°]=Stock[Egreso],Stock[Egreso]=Stock[Ingreso]),"Si","No"))</f>
        <v/>
      </c>
      <c r="O174" s="18"/>
    </row>
    <row r="175" spans="1:15" x14ac:dyDescent="0.25">
      <c r="A175" s="15"/>
      <c r="B175" s="15"/>
      <c r="C175" s="15"/>
      <c r="D175" s="15"/>
      <c r="E175" s="35"/>
      <c r="F175" s="14"/>
      <c r="G175" s="14"/>
      <c r="H175" s="16" t="str">
        <f>TRIM(IF(Stock[n°CC]=0,"",Stock[n°CC]&amp;""&amp;Stock[Pres]))</f>
        <v/>
      </c>
      <c r="I175" s="19"/>
      <c r="J175" s="17"/>
      <c r="K175" s="21" t="str">
        <f>IF(Stock[n°CC]=0,"",SUMIF(Egreso[Código de barras],Stock[Código de barras],Egreso[Cantidad]))</f>
        <v/>
      </c>
      <c r="L175" s="21" t="str">
        <f>IF(Stock[n°CC]=0,"",SUMIF(Ingreso[Código de barras],Stock[Código de barras],Ingreso[Cantidad]))</f>
        <v/>
      </c>
      <c r="M175" s="22" t="str">
        <f>IF(Stock[n°CC]=0,"",IF(Stock[n°]=Stock[Egreso],"Si","No"))</f>
        <v/>
      </c>
      <c r="N175" s="22" t="str">
        <f>IF(OR(Stock[n°CC]=0,Stock[n°CC]="vacio"),"",IF(AND(Stock[n°]=Stock[Egreso],Stock[Egreso]=Stock[Ingreso]),"Si","No"))</f>
        <v/>
      </c>
      <c r="O175" s="18"/>
    </row>
    <row r="176" spans="1:15" x14ac:dyDescent="0.25">
      <c r="A176" s="15"/>
      <c r="B176" s="15"/>
      <c r="C176" s="15"/>
      <c r="D176" s="15"/>
      <c r="E176" s="35"/>
      <c r="F176" s="14"/>
      <c r="G176" s="14"/>
      <c r="H176" s="16" t="str">
        <f>TRIM(IF(Stock[n°CC]=0,"",Stock[n°CC]&amp;""&amp;Stock[Pres]))</f>
        <v/>
      </c>
      <c r="I176" s="19"/>
      <c r="J176" s="17"/>
      <c r="K176" s="21" t="str">
        <f>IF(Stock[n°CC]=0,"",SUMIF(Egreso[Código de barras],Stock[Código de barras],Egreso[Cantidad]))</f>
        <v/>
      </c>
      <c r="L176" s="21" t="str">
        <f>IF(Stock[n°CC]=0,"",SUMIF(Ingreso[Código de barras],Stock[Código de barras],Ingreso[Cantidad]))</f>
        <v/>
      </c>
      <c r="M176" s="22" t="str">
        <f>IF(Stock[n°CC]=0,"",IF(Stock[n°]=Stock[Egreso],"Si","No"))</f>
        <v/>
      </c>
      <c r="N176" s="22" t="str">
        <f>IF(OR(Stock[n°CC]=0,Stock[n°CC]="vacio"),"",IF(AND(Stock[n°]=Stock[Egreso],Stock[Egreso]=Stock[Ingreso]),"Si","No"))</f>
        <v/>
      </c>
      <c r="O176" s="18"/>
    </row>
    <row r="177" spans="1:15" x14ac:dyDescent="0.25">
      <c r="A177" s="15"/>
      <c r="B177" s="15"/>
      <c r="C177" s="15"/>
      <c r="D177" s="15"/>
      <c r="E177" s="35"/>
      <c r="F177" s="14"/>
      <c r="G177" s="14"/>
      <c r="H177" s="16" t="str">
        <f>TRIM(IF(Stock[n°CC]=0,"",Stock[n°CC]&amp;""&amp;Stock[Pres]))</f>
        <v/>
      </c>
      <c r="I177" s="19"/>
      <c r="J177" s="17"/>
      <c r="K177" s="21" t="str">
        <f>IF(Stock[n°CC]=0,"",SUMIF(Egreso[Código de barras],Stock[Código de barras],Egreso[Cantidad]))</f>
        <v/>
      </c>
      <c r="L177" s="21" t="str">
        <f>IF(Stock[n°CC]=0,"",SUMIF(Ingreso[Código de barras],Stock[Código de barras],Ingreso[Cantidad]))</f>
        <v/>
      </c>
      <c r="M177" s="22" t="str">
        <f>IF(Stock[n°CC]=0,"",IF(Stock[n°]=Stock[Egreso],"Si","No"))</f>
        <v/>
      </c>
      <c r="N177" s="22" t="str">
        <f>IF(OR(Stock[n°CC]=0,Stock[n°CC]="vacio"),"",IF(AND(Stock[n°]=Stock[Egreso],Stock[Egreso]=Stock[Ingreso]),"Si","No"))</f>
        <v/>
      </c>
      <c r="O177" s="18"/>
    </row>
    <row r="178" spans="1:15" x14ac:dyDescent="0.25">
      <c r="A178" s="15"/>
      <c r="B178" s="15"/>
      <c r="C178" s="15"/>
      <c r="D178" s="15"/>
      <c r="E178" s="35"/>
      <c r="F178" s="14"/>
      <c r="G178" s="14"/>
      <c r="H178" s="16" t="str">
        <f>TRIM(IF(Stock[n°CC]=0,"",Stock[n°CC]&amp;""&amp;Stock[Pres]))</f>
        <v/>
      </c>
      <c r="I178" s="19"/>
      <c r="J178" s="17"/>
      <c r="K178" s="21" t="str">
        <f>IF(Stock[n°CC]=0,"",SUMIF(Egreso[Código de barras],Stock[Código de barras],Egreso[Cantidad]))</f>
        <v/>
      </c>
      <c r="L178" s="21" t="str">
        <f>IF(Stock[n°CC]=0,"",SUMIF(Ingreso[Código de barras],Stock[Código de barras],Ingreso[Cantidad]))</f>
        <v/>
      </c>
      <c r="M178" s="22" t="str">
        <f>IF(Stock[n°CC]=0,"",IF(Stock[n°]=Stock[Egreso],"Si","No"))</f>
        <v/>
      </c>
      <c r="N178" s="22" t="str">
        <f>IF(OR(Stock[n°CC]=0,Stock[n°CC]="vacio"),"",IF(AND(Stock[n°]=Stock[Egreso],Stock[Egreso]=Stock[Ingreso]),"Si","No"))</f>
        <v/>
      </c>
      <c r="O178" s="18"/>
    </row>
    <row r="179" spans="1:15" x14ac:dyDescent="0.25">
      <c r="A179" s="15"/>
      <c r="B179" s="15"/>
      <c r="C179" s="15"/>
      <c r="D179" s="15"/>
      <c r="E179" s="35"/>
      <c r="F179" s="14"/>
      <c r="G179" s="14"/>
      <c r="H179" s="16" t="str">
        <f>TRIM(IF(Stock[n°CC]=0,"",Stock[n°CC]&amp;""&amp;Stock[Pres]))</f>
        <v/>
      </c>
      <c r="I179" s="19"/>
      <c r="J179" s="17"/>
      <c r="K179" s="21" t="str">
        <f>IF(Stock[n°CC]=0,"",SUMIF(Egreso[Código de barras],Stock[Código de barras],Egreso[Cantidad]))</f>
        <v/>
      </c>
      <c r="L179" s="21" t="str">
        <f>IF(Stock[n°CC]=0,"",SUMIF(Ingreso[Código de barras],Stock[Código de barras],Ingreso[Cantidad]))</f>
        <v/>
      </c>
      <c r="M179" s="22" t="str">
        <f>IF(Stock[n°CC]=0,"",IF(Stock[n°]=Stock[Egreso],"Si","No"))</f>
        <v/>
      </c>
      <c r="N179" s="22" t="str">
        <f>IF(OR(Stock[n°CC]=0,Stock[n°CC]="vacio"),"",IF(AND(Stock[n°]=Stock[Egreso],Stock[Egreso]=Stock[Ingreso]),"Si","No"))</f>
        <v/>
      </c>
      <c r="O179" s="18"/>
    </row>
    <row r="180" spans="1:15" x14ac:dyDescent="0.25">
      <c r="A180" s="15"/>
      <c r="B180" s="15"/>
      <c r="C180" s="15"/>
      <c r="D180" s="15"/>
      <c r="E180" s="35"/>
      <c r="F180" s="14"/>
      <c r="G180" s="14"/>
      <c r="H180" s="16" t="str">
        <f>TRIM(IF(Stock[n°CC]=0,"",Stock[n°CC]&amp;""&amp;Stock[Pres]))</f>
        <v/>
      </c>
      <c r="I180" s="19"/>
      <c r="J180" s="17"/>
      <c r="K180" s="21" t="str">
        <f>IF(Stock[n°CC]=0,"",SUMIF(Egreso[Código de barras],Stock[Código de barras],Egreso[Cantidad]))</f>
        <v/>
      </c>
      <c r="L180" s="21" t="str">
        <f>IF(Stock[n°CC]=0,"",SUMIF(Ingreso[Código de barras],Stock[Código de barras],Ingreso[Cantidad]))</f>
        <v/>
      </c>
      <c r="M180" s="22" t="str">
        <f>IF(Stock[n°CC]=0,"",IF(Stock[n°]=Stock[Egreso],"Si","No"))</f>
        <v/>
      </c>
      <c r="N180" s="22" t="str">
        <f>IF(OR(Stock[n°CC]=0,Stock[n°CC]="vacio"),"",IF(AND(Stock[n°]=Stock[Egreso],Stock[Egreso]=Stock[Ingreso]),"Si","No"))</f>
        <v/>
      </c>
      <c r="O180" s="18"/>
    </row>
    <row r="181" spans="1:15" x14ac:dyDescent="0.25">
      <c r="A181" s="15"/>
      <c r="B181" s="15"/>
      <c r="C181" s="15"/>
      <c r="D181" s="15"/>
      <c r="E181" s="35"/>
      <c r="F181" s="14"/>
      <c r="G181" s="14"/>
      <c r="H181" s="16" t="str">
        <f>TRIM(IF(Stock[n°CC]=0,"",Stock[n°CC]&amp;""&amp;Stock[Pres]))</f>
        <v/>
      </c>
      <c r="I181" s="19"/>
      <c r="J181" s="17"/>
      <c r="K181" s="21" t="str">
        <f>IF(Stock[n°CC]=0,"",SUMIF(Egreso[Código de barras],Stock[Código de barras],Egreso[Cantidad]))</f>
        <v/>
      </c>
      <c r="L181" s="21" t="str">
        <f>IF(Stock[n°CC]=0,"",SUMIF(Ingreso[Código de barras],Stock[Código de barras],Ingreso[Cantidad]))</f>
        <v/>
      </c>
      <c r="M181" s="22" t="str">
        <f>IF(Stock[n°CC]=0,"",IF(Stock[n°]=Stock[Egreso],"Si","No"))</f>
        <v/>
      </c>
      <c r="N181" s="22" t="str">
        <f>IF(OR(Stock[n°CC]=0,Stock[n°CC]="vacio"),"",IF(AND(Stock[n°]=Stock[Egreso],Stock[Egreso]=Stock[Ingreso]),"Si","No"))</f>
        <v/>
      </c>
      <c r="O181" s="18"/>
    </row>
    <row r="182" spans="1:15" x14ac:dyDescent="0.25">
      <c r="A182" s="15"/>
      <c r="B182" s="15"/>
      <c r="C182" s="15"/>
      <c r="D182" s="15"/>
      <c r="E182" s="35"/>
      <c r="F182" s="14"/>
      <c r="G182" s="14"/>
      <c r="H182" s="16" t="str">
        <f>TRIM(IF(Stock[n°CC]=0,"",Stock[n°CC]&amp;""&amp;Stock[Pres]))</f>
        <v/>
      </c>
      <c r="I182" s="19"/>
      <c r="J182" s="17"/>
      <c r="K182" s="21" t="str">
        <f>IF(Stock[n°CC]=0,"",SUMIF(Egreso[Código de barras],Stock[Código de barras],Egreso[Cantidad]))</f>
        <v/>
      </c>
      <c r="L182" s="21" t="str">
        <f>IF(Stock[n°CC]=0,"",SUMIF(Ingreso[Código de barras],Stock[Código de barras],Ingreso[Cantidad]))</f>
        <v/>
      </c>
      <c r="M182" s="22" t="str">
        <f>IF(Stock[n°CC]=0,"",IF(Stock[n°]=Stock[Egreso],"Si","No"))</f>
        <v/>
      </c>
      <c r="N182" s="22" t="str">
        <f>IF(OR(Stock[n°CC]=0,Stock[n°CC]="vacio"),"",IF(AND(Stock[n°]=Stock[Egreso],Stock[Egreso]=Stock[Ingreso]),"Si","No"))</f>
        <v/>
      </c>
      <c r="O182" s="18"/>
    </row>
    <row r="183" spans="1:15" x14ac:dyDescent="0.25">
      <c r="A183" s="15"/>
      <c r="B183" s="15"/>
      <c r="C183" s="15"/>
      <c r="D183" s="15"/>
      <c r="E183" s="35"/>
      <c r="F183" s="14"/>
      <c r="G183" s="14"/>
      <c r="H183" s="16" t="str">
        <f>TRIM(IF(Stock[n°CC]=0,"",Stock[n°CC]&amp;""&amp;Stock[Pres]))</f>
        <v/>
      </c>
      <c r="I183" s="19"/>
      <c r="J183" s="17"/>
      <c r="K183" s="21" t="str">
        <f>IF(Stock[n°CC]=0,"",SUMIF(Egreso[Código de barras],Stock[Código de barras],Egreso[Cantidad]))</f>
        <v/>
      </c>
      <c r="L183" s="21" t="str">
        <f>IF(Stock[n°CC]=0,"",SUMIF(Ingreso[Código de barras],Stock[Código de barras],Ingreso[Cantidad]))</f>
        <v/>
      </c>
      <c r="M183" s="22" t="str">
        <f>IF(Stock[n°CC]=0,"",IF(Stock[n°]=Stock[Egreso],"Si","No"))</f>
        <v/>
      </c>
      <c r="N183" s="22" t="str">
        <f>IF(OR(Stock[n°CC]=0,Stock[n°CC]="vacio"),"",IF(AND(Stock[n°]=Stock[Egreso],Stock[Egreso]=Stock[Ingreso]),"Si","No"))</f>
        <v/>
      </c>
      <c r="O183" s="18"/>
    </row>
    <row r="184" spans="1:15" x14ac:dyDescent="0.25">
      <c r="A184" s="15"/>
      <c r="B184" s="15"/>
      <c r="C184" s="15"/>
      <c r="D184" s="15"/>
      <c r="E184" s="35"/>
      <c r="F184" s="14"/>
      <c r="G184" s="14"/>
      <c r="H184" s="16" t="str">
        <f>TRIM(IF(Stock[n°CC]=0,"",Stock[n°CC]&amp;""&amp;Stock[Pres]))</f>
        <v/>
      </c>
      <c r="I184" s="19"/>
      <c r="J184" s="17"/>
      <c r="K184" s="21" t="str">
        <f>IF(Stock[n°CC]=0,"",SUMIF(Egreso[Código de barras],Stock[Código de barras],Egreso[Cantidad]))</f>
        <v/>
      </c>
      <c r="L184" s="21" t="str">
        <f>IF(Stock[n°CC]=0,"",SUMIF(Ingreso[Código de barras],Stock[Código de barras],Ingreso[Cantidad]))</f>
        <v/>
      </c>
      <c r="M184" s="22" t="str">
        <f>IF(Stock[n°CC]=0,"",IF(Stock[n°]=Stock[Egreso],"Si","No"))</f>
        <v/>
      </c>
      <c r="N184" s="22" t="str">
        <f>IF(OR(Stock[n°CC]=0,Stock[n°CC]="vacio"),"",IF(AND(Stock[n°]=Stock[Egreso],Stock[Egreso]=Stock[Ingreso]),"Si","No"))</f>
        <v/>
      </c>
      <c r="O184" s="18"/>
    </row>
    <row r="185" spans="1:15" x14ac:dyDescent="0.25">
      <c r="A185" s="15"/>
      <c r="B185" s="15"/>
      <c r="C185" s="15"/>
      <c r="D185" s="15"/>
      <c r="E185" s="35"/>
      <c r="F185" s="14"/>
      <c r="G185" s="14"/>
      <c r="H185" s="16" t="str">
        <f>TRIM(IF(Stock[n°CC]=0,"",Stock[n°CC]&amp;""&amp;Stock[Pres]))</f>
        <v/>
      </c>
      <c r="I185" s="19"/>
      <c r="J185" s="17"/>
      <c r="K185" s="21" t="str">
        <f>IF(Stock[n°CC]=0,"",SUMIF(Egreso[Código de barras],Stock[Código de barras],Egreso[Cantidad]))</f>
        <v/>
      </c>
      <c r="L185" s="21" t="str">
        <f>IF(Stock[n°CC]=0,"",SUMIF(Ingreso[Código de barras],Stock[Código de barras],Ingreso[Cantidad]))</f>
        <v/>
      </c>
      <c r="M185" s="22" t="str">
        <f>IF(Stock[n°CC]=0,"",IF(Stock[n°]=Stock[Egreso],"Si","No"))</f>
        <v/>
      </c>
      <c r="N185" s="22" t="str">
        <f>IF(OR(Stock[n°CC]=0,Stock[n°CC]="vacio"),"",IF(AND(Stock[n°]=Stock[Egreso],Stock[Egreso]=Stock[Ingreso]),"Si","No"))</f>
        <v/>
      </c>
      <c r="O185" s="18"/>
    </row>
    <row r="186" spans="1:15" x14ac:dyDescent="0.25">
      <c r="A186" s="15"/>
      <c r="B186" s="15"/>
      <c r="C186" s="15"/>
      <c r="D186" s="15"/>
      <c r="E186" s="35"/>
      <c r="F186" s="14"/>
      <c r="G186" s="14"/>
      <c r="H186" s="16" t="str">
        <f>TRIM(IF(Stock[n°CC]=0,"",Stock[n°CC]&amp;""&amp;Stock[Pres]))</f>
        <v/>
      </c>
      <c r="I186" s="19"/>
      <c r="J186" s="17"/>
      <c r="K186" s="21" t="str">
        <f>IF(Stock[n°CC]=0,"",SUMIF(Egreso[Código de barras],Stock[Código de barras],Egreso[Cantidad]))</f>
        <v/>
      </c>
      <c r="L186" s="21" t="str">
        <f>IF(Stock[n°CC]=0,"",SUMIF(Ingreso[Código de barras],Stock[Código de barras],Ingreso[Cantidad]))</f>
        <v/>
      </c>
      <c r="M186" s="22" t="str">
        <f>IF(Stock[n°CC]=0,"",IF(Stock[n°]=Stock[Egreso],"Si","No"))</f>
        <v/>
      </c>
      <c r="N186" s="22" t="str">
        <f>IF(OR(Stock[n°CC]=0,Stock[n°CC]="vacio"),"",IF(AND(Stock[n°]=Stock[Egreso],Stock[Egreso]=Stock[Ingreso]),"Si","No"))</f>
        <v/>
      </c>
      <c r="O186" s="18"/>
    </row>
    <row r="187" spans="1:15" x14ac:dyDescent="0.25">
      <c r="A187" s="15"/>
      <c r="B187" s="15"/>
      <c r="C187" s="15"/>
      <c r="D187" s="15"/>
      <c r="E187" s="35"/>
      <c r="F187" s="14"/>
      <c r="G187" s="14"/>
      <c r="H187" s="16" t="str">
        <f>TRIM(IF(Stock[n°CC]=0,"",Stock[n°CC]&amp;""&amp;Stock[Pres]))</f>
        <v/>
      </c>
      <c r="I187" s="19"/>
      <c r="J187" s="17"/>
      <c r="K187" s="21" t="str">
        <f>IF(Stock[n°CC]=0,"",SUMIF(Egreso[Código de barras],Stock[Código de barras],Egreso[Cantidad]))</f>
        <v/>
      </c>
      <c r="L187" s="21" t="str">
        <f>IF(Stock[n°CC]=0,"",SUMIF(Ingreso[Código de barras],Stock[Código de barras],Ingreso[Cantidad]))</f>
        <v/>
      </c>
      <c r="M187" s="22" t="str">
        <f>IF(Stock[n°CC]=0,"",IF(Stock[n°]=Stock[Egreso],"Si","No"))</f>
        <v/>
      </c>
      <c r="N187" s="22" t="str">
        <f>IF(OR(Stock[n°CC]=0,Stock[n°CC]="vacio"),"",IF(AND(Stock[n°]=Stock[Egreso],Stock[Egreso]=Stock[Ingreso]),"Si","No"))</f>
        <v/>
      </c>
      <c r="O187" s="18"/>
    </row>
    <row r="188" spans="1:15" x14ac:dyDescent="0.25">
      <c r="A188" s="15"/>
      <c r="B188" s="15"/>
      <c r="C188" s="15"/>
      <c r="D188" s="15"/>
      <c r="E188" s="35"/>
      <c r="F188" s="14"/>
      <c r="G188" s="14"/>
      <c r="H188" s="16" t="str">
        <f>TRIM(IF(Stock[n°CC]=0,"",Stock[n°CC]&amp;""&amp;Stock[Pres]))</f>
        <v/>
      </c>
      <c r="I188" s="19"/>
      <c r="J188" s="17"/>
      <c r="K188" s="21" t="str">
        <f>IF(Stock[n°CC]=0,"",SUMIF(Egreso[Código de barras],Stock[Código de barras],Egreso[Cantidad]))</f>
        <v/>
      </c>
      <c r="L188" s="21" t="str">
        <f>IF(Stock[n°CC]=0,"",SUMIF(Ingreso[Código de barras],Stock[Código de barras],Ingreso[Cantidad]))</f>
        <v/>
      </c>
      <c r="M188" s="22" t="str">
        <f>IF(Stock[n°CC]=0,"",IF(Stock[n°]=Stock[Egreso],"Si","No"))</f>
        <v/>
      </c>
      <c r="N188" s="22" t="str">
        <f>IF(OR(Stock[n°CC]=0,Stock[n°CC]="vacio"),"",IF(AND(Stock[n°]=Stock[Egreso],Stock[Egreso]=Stock[Ingreso]),"Si","No"))</f>
        <v/>
      </c>
      <c r="O188" s="18"/>
    </row>
    <row r="189" spans="1:15" x14ac:dyDescent="0.25">
      <c r="A189" s="15"/>
      <c r="B189" s="15"/>
      <c r="C189" s="15"/>
      <c r="D189" s="15"/>
      <c r="E189" s="35"/>
      <c r="F189" s="14"/>
      <c r="G189" s="14"/>
      <c r="H189" s="16" t="str">
        <f>TRIM(IF(Stock[n°CC]=0,"",Stock[n°CC]&amp;""&amp;Stock[Pres]))</f>
        <v/>
      </c>
      <c r="I189" s="19"/>
      <c r="J189" s="17"/>
      <c r="K189" s="21" t="str">
        <f>IF(Stock[n°CC]=0,"",SUMIF(Egreso[Código de barras],Stock[Código de barras],Egreso[Cantidad]))</f>
        <v/>
      </c>
      <c r="L189" s="21" t="str">
        <f>IF(Stock[n°CC]=0,"",SUMIF(Ingreso[Código de barras],Stock[Código de barras],Ingreso[Cantidad]))</f>
        <v/>
      </c>
      <c r="M189" s="22" t="str">
        <f>IF(Stock[n°CC]=0,"",IF(Stock[n°]=Stock[Egreso],"Si","No"))</f>
        <v/>
      </c>
      <c r="N189" s="22" t="str">
        <f>IF(OR(Stock[n°CC]=0,Stock[n°CC]="vacio"),"",IF(AND(Stock[n°]=Stock[Egreso],Stock[Egreso]=Stock[Ingreso]),"Si","No"))</f>
        <v/>
      </c>
      <c r="O189" s="18"/>
    </row>
    <row r="190" spans="1:15" x14ac:dyDescent="0.25">
      <c r="A190" s="15"/>
      <c r="B190" s="15"/>
      <c r="C190" s="15"/>
      <c r="D190" s="15"/>
      <c r="E190" s="35"/>
      <c r="F190" s="14"/>
      <c r="G190" s="14"/>
      <c r="H190" s="16" t="str">
        <f>TRIM(IF(Stock[n°CC]=0,"",Stock[n°CC]&amp;""&amp;Stock[Pres]))</f>
        <v/>
      </c>
      <c r="I190" s="19"/>
      <c r="J190" s="17"/>
      <c r="K190" s="21" t="str">
        <f>IF(Stock[n°CC]=0,"",SUMIF(Egreso[Código de barras],Stock[Código de barras],Egreso[Cantidad]))</f>
        <v/>
      </c>
      <c r="L190" s="21" t="str">
        <f>IF(Stock[n°CC]=0,"",SUMIF(Ingreso[Código de barras],Stock[Código de barras],Ingreso[Cantidad]))</f>
        <v/>
      </c>
      <c r="M190" s="22" t="str">
        <f>IF(Stock[n°CC]=0,"",IF(Stock[n°]=Stock[Egreso],"Si","No"))</f>
        <v/>
      </c>
      <c r="N190" s="22" t="str">
        <f>IF(OR(Stock[n°CC]=0,Stock[n°CC]="vacio"),"",IF(AND(Stock[n°]=Stock[Egreso],Stock[Egreso]=Stock[Ingreso]),"Si","No"))</f>
        <v/>
      </c>
      <c r="O190" s="18"/>
    </row>
    <row r="191" spans="1:15" x14ac:dyDescent="0.25">
      <c r="A191" s="15"/>
      <c r="B191" s="15"/>
      <c r="C191" s="15"/>
      <c r="D191" s="15"/>
      <c r="E191" s="35"/>
      <c r="F191" s="14"/>
      <c r="G191" s="14"/>
      <c r="H191" s="16" t="str">
        <f>TRIM(IF(Stock[n°CC]=0,"",Stock[n°CC]&amp;""&amp;Stock[Pres]))</f>
        <v/>
      </c>
      <c r="I191" s="19"/>
      <c r="J191" s="17"/>
      <c r="K191" s="21" t="str">
        <f>IF(Stock[n°CC]=0,"",SUMIF(Egreso[Código de barras],Stock[Código de barras],Egreso[Cantidad]))</f>
        <v/>
      </c>
      <c r="L191" s="21" t="str">
        <f>IF(Stock[n°CC]=0,"",SUMIF(Ingreso[Código de barras],Stock[Código de barras],Ingreso[Cantidad]))</f>
        <v/>
      </c>
      <c r="M191" s="22" t="str">
        <f>IF(Stock[n°CC]=0,"",IF(Stock[n°]=Stock[Egreso],"Si","No"))</f>
        <v/>
      </c>
      <c r="N191" s="22" t="str">
        <f>IF(OR(Stock[n°CC]=0,Stock[n°CC]="vacio"),"",IF(AND(Stock[n°]=Stock[Egreso],Stock[Egreso]=Stock[Ingreso]),"Si","No"))</f>
        <v/>
      </c>
      <c r="O191" s="18"/>
    </row>
    <row r="192" spans="1:15" x14ac:dyDescent="0.25">
      <c r="A192" s="15"/>
      <c r="B192" s="15"/>
      <c r="C192" s="15"/>
      <c r="D192" s="15"/>
      <c r="E192" s="35"/>
      <c r="F192" s="14"/>
      <c r="G192" s="14"/>
      <c r="H192" s="16" t="str">
        <f>TRIM(IF(Stock[n°CC]=0,"",Stock[n°CC]&amp;""&amp;Stock[Pres]))</f>
        <v/>
      </c>
      <c r="I192" s="19"/>
      <c r="J192" s="17"/>
      <c r="K192" s="21" t="str">
        <f>IF(Stock[n°CC]=0,"",SUMIF(Egreso[Código de barras],Stock[Código de barras],Egreso[Cantidad]))</f>
        <v/>
      </c>
      <c r="L192" s="21" t="str">
        <f>IF(Stock[n°CC]=0,"",SUMIF(Ingreso[Código de barras],Stock[Código de barras],Ingreso[Cantidad]))</f>
        <v/>
      </c>
      <c r="M192" s="22" t="str">
        <f>IF(Stock[n°CC]=0,"",IF(Stock[n°]=Stock[Egreso],"Si","No"))</f>
        <v/>
      </c>
      <c r="N192" s="22" t="str">
        <f>IF(OR(Stock[n°CC]=0,Stock[n°CC]="vacio"),"",IF(AND(Stock[n°]=Stock[Egreso],Stock[Egreso]=Stock[Ingreso]),"Si","No"))</f>
        <v/>
      </c>
      <c r="O192" s="18"/>
    </row>
    <row r="193" spans="1:15" x14ac:dyDescent="0.25">
      <c r="A193" s="15"/>
      <c r="B193" s="15"/>
      <c r="C193" s="15"/>
      <c r="D193" s="15"/>
      <c r="E193" s="35"/>
      <c r="F193" s="14"/>
      <c r="G193" s="14"/>
      <c r="H193" s="16" t="str">
        <f>TRIM(IF(Stock[n°CC]=0,"",Stock[n°CC]&amp;""&amp;Stock[Pres]))</f>
        <v/>
      </c>
      <c r="I193" s="19"/>
      <c r="J193" s="17"/>
      <c r="K193" s="21" t="str">
        <f>IF(Stock[n°CC]=0,"",SUMIF(Egreso[Código de barras],Stock[Código de barras],Egreso[Cantidad]))</f>
        <v/>
      </c>
      <c r="L193" s="21" t="str">
        <f>IF(Stock[n°CC]=0,"",SUMIF(Ingreso[Código de barras],Stock[Código de barras],Ingreso[Cantidad]))</f>
        <v/>
      </c>
      <c r="M193" s="22" t="str">
        <f>IF(Stock[n°CC]=0,"",IF(Stock[n°]=Stock[Egreso],"Si","No"))</f>
        <v/>
      </c>
      <c r="N193" s="22" t="str">
        <f>IF(OR(Stock[n°CC]=0,Stock[n°CC]="vacio"),"",IF(AND(Stock[n°]=Stock[Egreso],Stock[Egreso]=Stock[Ingreso]),"Si","No"))</f>
        <v/>
      </c>
      <c r="O193" s="18"/>
    </row>
    <row r="194" spans="1:15" x14ac:dyDescent="0.25">
      <c r="A194" s="15"/>
      <c r="B194" s="15"/>
      <c r="C194" s="15"/>
      <c r="D194" s="15"/>
      <c r="E194" s="35"/>
      <c r="F194" s="14"/>
      <c r="G194" s="14"/>
      <c r="H194" s="16" t="str">
        <f>TRIM(IF(Stock[n°CC]=0,"",Stock[n°CC]&amp;""&amp;Stock[Pres]))</f>
        <v/>
      </c>
      <c r="I194" s="19"/>
      <c r="J194" s="17"/>
      <c r="K194" s="21" t="str">
        <f>IF(Stock[n°CC]=0,"",SUMIF(Egreso[Código de barras],Stock[Código de barras],Egreso[Cantidad]))</f>
        <v/>
      </c>
      <c r="L194" s="21" t="str">
        <f>IF(Stock[n°CC]=0,"",SUMIF(Ingreso[Código de barras],Stock[Código de barras],Ingreso[Cantidad]))</f>
        <v/>
      </c>
      <c r="M194" s="22" t="str">
        <f>IF(Stock[n°CC]=0,"",IF(Stock[n°]=Stock[Egreso],"Si","No"))</f>
        <v/>
      </c>
      <c r="N194" s="22" t="str">
        <f>IF(OR(Stock[n°CC]=0,Stock[n°CC]="vacio"),"",IF(AND(Stock[n°]=Stock[Egreso],Stock[Egreso]=Stock[Ingreso]),"Si","No"))</f>
        <v/>
      </c>
      <c r="O194" s="18"/>
    </row>
    <row r="195" spans="1:15" x14ac:dyDescent="0.25">
      <c r="A195" s="15"/>
      <c r="B195" s="15"/>
      <c r="C195" s="15"/>
      <c r="D195" s="15"/>
      <c r="E195" s="35"/>
      <c r="F195" s="14"/>
      <c r="G195" s="14"/>
      <c r="H195" s="16" t="str">
        <f>TRIM(IF(Stock[n°CC]=0,"",Stock[n°CC]&amp;""&amp;Stock[Pres]))</f>
        <v/>
      </c>
      <c r="I195" s="19"/>
      <c r="J195" s="17"/>
      <c r="K195" s="21" t="str">
        <f>IF(Stock[n°CC]=0,"",SUMIF(Egreso[Código de barras],Stock[Código de barras],Egreso[Cantidad]))</f>
        <v/>
      </c>
      <c r="L195" s="21" t="str">
        <f>IF(Stock[n°CC]=0,"",SUMIF(Ingreso[Código de barras],Stock[Código de barras],Ingreso[Cantidad]))</f>
        <v/>
      </c>
      <c r="M195" s="22" t="str">
        <f>IF(Stock[n°CC]=0,"",IF(Stock[n°]=Stock[Egreso],"Si","No"))</f>
        <v/>
      </c>
      <c r="N195" s="22" t="str">
        <f>IF(OR(Stock[n°CC]=0,Stock[n°CC]="vacio"),"",IF(AND(Stock[n°]=Stock[Egreso],Stock[Egreso]=Stock[Ingreso]),"Si","No"))</f>
        <v/>
      </c>
      <c r="O195" s="18"/>
    </row>
    <row r="196" spans="1:15" x14ac:dyDescent="0.25">
      <c r="A196" s="15"/>
      <c r="B196" s="15"/>
      <c r="C196" s="15"/>
      <c r="D196" s="15"/>
      <c r="E196" s="35"/>
      <c r="F196" s="14"/>
      <c r="G196" s="14"/>
      <c r="H196" s="16" t="str">
        <f>TRIM(IF(Stock[n°CC]=0,"",Stock[n°CC]&amp;""&amp;Stock[Pres]))</f>
        <v/>
      </c>
      <c r="I196" s="19"/>
      <c r="J196" s="17"/>
      <c r="K196" s="21" t="str">
        <f>IF(Stock[n°CC]=0,"",SUMIF(Egreso[Código de barras],Stock[Código de barras],Egreso[Cantidad]))</f>
        <v/>
      </c>
      <c r="L196" s="21" t="str">
        <f>IF(Stock[n°CC]=0,"",SUMIF(Ingreso[Código de barras],Stock[Código de barras],Ingreso[Cantidad]))</f>
        <v/>
      </c>
      <c r="M196" s="22" t="str">
        <f>IF(Stock[n°CC]=0,"",IF(Stock[n°]=Stock[Egreso],"Si","No"))</f>
        <v/>
      </c>
      <c r="N196" s="22" t="str">
        <f>IF(OR(Stock[n°CC]=0,Stock[n°CC]="vacio"),"",IF(AND(Stock[n°]=Stock[Egreso],Stock[Egreso]=Stock[Ingreso]),"Si","No"))</f>
        <v/>
      </c>
      <c r="O196" s="18"/>
    </row>
    <row r="197" spans="1:15" x14ac:dyDescent="0.25">
      <c r="A197" s="15"/>
      <c r="B197" s="15"/>
      <c r="C197" s="15"/>
      <c r="D197" s="15"/>
      <c r="E197" s="35"/>
      <c r="F197" s="14"/>
      <c r="G197" s="14"/>
      <c r="H197" s="16" t="str">
        <f>TRIM(IF(Stock[n°CC]=0,"",Stock[n°CC]&amp;""&amp;Stock[Pres]))</f>
        <v/>
      </c>
      <c r="I197" s="19"/>
      <c r="J197" s="17"/>
      <c r="K197" s="21" t="str">
        <f>IF(Stock[n°CC]=0,"",SUMIF(Egreso[Código de barras],Stock[Código de barras],Egreso[Cantidad]))</f>
        <v/>
      </c>
      <c r="L197" s="21" t="str">
        <f>IF(Stock[n°CC]=0,"",SUMIF(Ingreso[Código de barras],Stock[Código de barras],Ingreso[Cantidad]))</f>
        <v/>
      </c>
      <c r="M197" s="22" t="str">
        <f>IF(Stock[n°CC]=0,"",IF(Stock[n°]=Stock[Egreso],"Si","No"))</f>
        <v/>
      </c>
      <c r="N197" s="22" t="str">
        <f>IF(OR(Stock[n°CC]=0,Stock[n°CC]="vacio"),"",IF(AND(Stock[n°]=Stock[Egreso],Stock[Egreso]=Stock[Ingreso]),"Si","No"))</f>
        <v/>
      </c>
      <c r="O197" s="18"/>
    </row>
    <row r="198" spans="1:15" x14ac:dyDescent="0.25">
      <c r="A198" s="15"/>
      <c r="B198" s="15"/>
      <c r="C198" s="15"/>
      <c r="D198" s="15"/>
      <c r="E198" s="35"/>
      <c r="F198" s="14"/>
      <c r="G198" s="14"/>
      <c r="H198" s="16" t="str">
        <f>TRIM(IF(Stock[n°CC]=0,"",Stock[n°CC]&amp;""&amp;Stock[Pres]))</f>
        <v/>
      </c>
      <c r="I198" s="19"/>
      <c r="J198" s="17"/>
      <c r="K198" s="21" t="str">
        <f>IF(Stock[n°CC]=0,"",SUMIF(Egreso[Código de barras],Stock[Código de barras],Egreso[Cantidad]))</f>
        <v/>
      </c>
      <c r="L198" s="21" t="str">
        <f>IF(Stock[n°CC]=0,"",SUMIF(Ingreso[Código de barras],Stock[Código de barras],Ingreso[Cantidad]))</f>
        <v/>
      </c>
      <c r="M198" s="22" t="str">
        <f>IF(Stock[n°CC]=0,"",IF(Stock[n°]=Stock[Egreso],"Si","No"))</f>
        <v/>
      </c>
      <c r="N198" s="22" t="str">
        <f>IF(OR(Stock[n°CC]=0,Stock[n°CC]="vacio"),"",IF(AND(Stock[n°]=Stock[Egreso],Stock[Egreso]=Stock[Ingreso]),"Si","No"))</f>
        <v/>
      </c>
      <c r="O198" s="18"/>
    </row>
    <row r="199" spans="1:15" x14ac:dyDescent="0.25">
      <c r="A199" s="15"/>
      <c r="B199" s="15"/>
      <c r="C199" s="15"/>
      <c r="D199" s="15"/>
      <c r="E199" s="35"/>
      <c r="F199" s="14"/>
      <c r="G199" s="14"/>
      <c r="H199" s="16" t="str">
        <f>TRIM(IF(Stock[n°CC]=0,"",Stock[n°CC]&amp;""&amp;Stock[Pres]))</f>
        <v/>
      </c>
      <c r="I199" s="19"/>
      <c r="J199" s="17"/>
      <c r="K199" s="21" t="str">
        <f>IF(Stock[n°CC]=0,"",SUMIF(Egreso[Código de barras],Stock[Código de barras],Egreso[Cantidad]))</f>
        <v/>
      </c>
      <c r="L199" s="21" t="str">
        <f>IF(Stock[n°CC]=0,"",SUMIF(Ingreso[Código de barras],Stock[Código de barras],Ingreso[Cantidad]))</f>
        <v/>
      </c>
      <c r="M199" s="22" t="str">
        <f>IF(Stock[n°CC]=0,"",IF(Stock[n°]=Stock[Egreso],"Si","No"))</f>
        <v/>
      </c>
      <c r="N199" s="22" t="str">
        <f>IF(OR(Stock[n°CC]=0,Stock[n°CC]="vacio"),"",IF(AND(Stock[n°]=Stock[Egreso],Stock[Egreso]=Stock[Ingreso]),"Si","No"))</f>
        <v/>
      </c>
      <c r="O199" s="18"/>
    </row>
    <row r="200" spans="1:15" x14ac:dyDescent="0.25">
      <c r="A200" s="15"/>
      <c r="B200" s="15"/>
      <c r="C200" s="15"/>
      <c r="D200" s="15"/>
      <c r="E200" s="35"/>
      <c r="F200" s="14"/>
      <c r="G200" s="14"/>
      <c r="H200" s="16" t="str">
        <f>TRIM(IF(Stock[n°CC]=0,"",Stock[n°CC]&amp;""&amp;Stock[Pres]))</f>
        <v/>
      </c>
      <c r="I200" s="19"/>
      <c r="J200" s="17"/>
      <c r="K200" s="21" t="str">
        <f>IF(Stock[n°CC]=0,"",SUMIF(Egreso[Código de barras],Stock[Código de barras],Egreso[Cantidad]))</f>
        <v/>
      </c>
      <c r="L200" s="21" t="str">
        <f>IF(Stock[n°CC]=0,"",SUMIF(Ingreso[Código de barras],Stock[Código de barras],Ingreso[Cantidad]))</f>
        <v/>
      </c>
      <c r="M200" s="22" t="str">
        <f>IF(Stock[n°CC]=0,"",IF(Stock[n°]=Stock[Egreso],"Si","No"))</f>
        <v/>
      </c>
      <c r="N200" s="22" t="str">
        <f>IF(OR(Stock[n°CC]=0,Stock[n°CC]="vacio"),"",IF(AND(Stock[n°]=Stock[Egreso],Stock[Egreso]=Stock[Ingreso]),"Si","No"))</f>
        <v/>
      </c>
      <c r="O200" s="18"/>
    </row>
  </sheetData>
  <sheetProtection formatColumns="0" formatRows="0" autoFilter="0" pivotTables="0"/>
  <phoneticPr fontId="4" type="noConversion"/>
  <conditionalFormatting sqref="M2:N200">
    <cfRule type="cellIs" dxfId="78" priority="175" operator="equal">
      <formula>"No"</formula>
    </cfRule>
  </conditionalFormatting>
  <conditionalFormatting sqref="A6:H6 E2:H5 A2:C5 H7:H18 A43:H43 E19:H29 E31:H31 E30:F30 H30 E32:F39 H32:H39 A7:A39 G40:H42 A44:A45 H44:H45 A46:H46 A52:H52 E47:H48 E49:F51 H49:H51 A47:C48 A49:A51 H53:H59 A53:A59 E60:H63 H64 A60:C60 B61:C63 E65:E69 G65:H69 A70:H70 A71:C76 E71:H76 A77:H77 E78:H79 A80:H80 H81 H82:O87 A78:C79 A81:A87 A88:O88 E89:H89 A89 E90:E99 G90:H93 J89:O103 H94:H103 J2:O81 I2:I7 A104:O200">
    <cfRule type="expression" dxfId="77" priority="153">
      <formula>$A2="vacio"</formula>
    </cfRule>
  </conditionalFormatting>
  <conditionalFormatting sqref="J2:J200">
    <cfRule type="cellIs" dxfId="76" priority="152" operator="equal">
      <formula>"Corregido"</formula>
    </cfRule>
    <cfRule type="cellIs" dxfId="75" priority="172" operator="equal">
      <formula>"Error"</formula>
    </cfRule>
    <cfRule type="cellIs" dxfId="74" priority="173" operator="equal">
      <formula>"Ok"</formula>
    </cfRule>
  </conditionalFormatting>
  <conditionalFormatting sqref="M2:N200">
    <cfRule type="cellIs" dxfId="73" priority="150" operator="equal">
      <formula>"Si"</formula>
    </cfRule>
  </conditionalFormatting>
  <conditionalFormatting sqref="D2:D5">
    <cfRule type="expression" dxfId="72" priority="59">
      <formula>$A2="vacio"</formula>
    </cfRule>
  </conditionalFormatting>
  <conditionalFormatting sqref="B7:C18 E7:G18">
    <cfRule type="expression" dxfId="71" priority="58">
      <formula>$A7="vacio"</formula>
    </cfRule>
  </conditionalFormatting>
  <conditionalFormatting sqref="B19:C27">
    <cfRule type="expression" dxfId="70" priority="57">
      <formula>$A19="vacio"</formula>
    </cfRule>
  </conditionalFormatting>
  <conditionalFormatting sqref="D7:D27">
    <cfRule type="expression" dxfId="69" priority="56">
      <formula>$A7="vacio"</formula>
    </cfRule>
  </conditionalFormatting>
  <conditionalFormatting sqref="I8:I55">
    <cfRule type="expression" dxfId="68" priority="55">
      <formula>$A8="vacio"</formula>
    </cfRule>
  </conditionalFormatting>
  <conditionalFormatting sqref="B28:C39">
    <cfRule type="expression" dxfId="67" priority="54">
      <formula>$A28="vacio"</formula>
    </cfRule>
  </conditionalFormatting>
  <conditionalFormatting sqref="D28:D39">
    <cfRule type="expression" dxfId="66" priority="53">
      <formula>$A28="vacio"</formula>
    </cfRule>
  </conditionalFormatting>
  <conditionalFormatting sqref="G30">
    <cfRule type="expression" dxfId="65" priority="52">
      <formula>$A30="vacio"</formula>
    </cfRule>
  </conditionalFormatting>
  <conditionalFormatting sqref="G32:G33 G35:G37 G39">
    <cfRule type="expression" dxfId="64" priority="51">
      <formula>$A32="vacio"</formula>
    </cfRule>
  </conditionalFormatting>
  <conditionalFormatting sqref="G34 G38">
    <cfRule type="expression" dxfId="63" priority="50">
      <formula>$A34="vacio"</formula>
    </cfRule>
  </conditionalFormatting>
  <conditionalFormatting sqref="E40:F40 A40">
    <cfRule type="expression" dxfId="62" priority="49">
      <formula>$A40="vacio"</formula>
    </cfRule>
  </conditionalFormatting>
  <conditionalFormatting sqref="B40:C40">
    <cfRule type="expression" dxfId="61" priority="48">
      <formula>$A40="vacio"</formula>
    </cfRule>
  </conditionalFormatting>
  <conditionalFormatting sqref="D40">
    <cfRule type="expression" dxfId="60" priority="47">
      <formula>$A40="vacio"</formula>
    </cfRule>
  </conditionalFormatting>
  <conditionalFormatting sqref="E41:F41 A41">
    <cfRule type="expression" dxfId="59" priority="46">
      <formula>$A41="vacio"</formula>
    </cfRule>
  </conditionalFormatting>
  <conditionalFormatting sqref="B41:C41">
    <cfRule type="expression" dxfId="58" priority="45">
      <formula>$A41="vacio"</formula>
    </cfRule>
  </conditionalFormatting>
  <conditionalFormatting sqref="D41">
    <cfRule type="expression" dxfId="57" priority="44">
      <formula>$A41="vacio"</formula>
    </cfRule>
  </conditionalFormatting>
  <conditionalFormatting sqref="E42:F42 A42">
    <cfRule type="expression" dxfId="56" priority="43">
      <formula>$A42="vacio"</formula>
    </cfRule>
  </conditionalFormatting>
  <conditionalFormatting sqref="B42:C42">
    <cfRule type="expression" dxfId="55" priority="42">
      <formula>$A42="vacio"</formula>
    </cfRule>
  </conditionalFormatting>
  <conditionalFormatting sqref="D42">
    <cfRule type="expression" dxfId="54" priority="41">
      <formula>$A42="vacio"</formula>
    </cfRule>
  </conditionalFormatting>
  <conditionalFormatting sqref="B44:G45">
    <cfRule type="expression" dxfId="53" priority="40">
      <formula>$A44="vacio"</formula>
    </cfRule>
  </conditionalFormatting>
  <conditionalFormatting sqref="D47:D48">
    <cfRule type="expression" dxfId="52" priority="39">
      <formula>$A47="vacio"</formula>
    </cfRule>
  </conditionalFormatting>
  <conditionalFormatting sqref="B49:C51">
    <cfRule type="expression" dxfId="51" priority="38">
      <formula>$A49="vacio"</formula>
    </cfRule>
  </conditionalFormatting>
  <conditionalFormatting sqref="D49:D51">
    <cfRule type="expression" dxfId="50" priority="37">
      <formula>$A49="vacio"</formula>
    </cfRule>
  </conditionalFormatting>
  <conditionalFormatting sqref="G49:G51">
    <cfRule type="expression" dxfId="49" priority="36">
      <formula>$A49="vacio"</formula>
    </cfRule>
  </conditionalFormatting>
  <conditionalFormatting sqref="B53:C59 F53:G59">
    <cfRule type="expression" dxfId="48" priority="35">
      <formula>$A53="vacio"</formula>
    </cfRule>
  </conditionalFormatting>
  <conditionalFormatting sqref="E53:E59">
    <cfRule type="expression" dxfId="47" priority="34">
      <formula>$A53="vacio"</formula>
    </cfRule>
  </conditionalFormatting>
  <conditionalFormatting sqref="D53:D59">
    <cfRule type="expression" dxfId="46" priority="33">
      <formula>$A53="vacio"</formula>
    </cfRule>
  </conditionalFormatting>
  <conditionalFormatting sqref="I56:I81">
    <cfRule type="expression" dxfId="45" priority="32">
      <formula>$A56="vacio"</formula>
    </cfRule>
  </conditionalFormatting>
  <conditionalFormatting sqref="D60:D63">
    <cfRule type="expression" dxfId="44" priority="31">
      <formula>$A60="vacio"</formula>
    </cfRule>
  </conditionalFormatting>
  <conditionalFormatting sqref="B64:C64 E64:F64">
    <cfRule type="expression" dxfId="43" priority="30">
      <formula>$A64="vacio"</formula>
    </cfRule>
  </conditionalFormatting>
  <conditionalFormatting sqref="D64">
    <cfRule type="expression" dxfId="42" priority="29">
      <formula>$A64="vacio"</formula>
    </cfRule>
  </conditionalFormatting>
  <conditionalFormatting sqref="G64">
    <cfRule type="expression" dxfId="41" priority="28">
      <formula>$A64="vacio"</formula>
    </cfRule>
  </conditionalFormatting>
  <conditionalFormatting sqref="A61:A64">
    <cfRule type="expression" dxfId="40" priority="27">
      <formula>$A61="vacio"</formula>
    </cfRule>
  </conditionalFormatting>
  <conditionalFormatting sqref="B65:C69">
    <cfRule type="expression" dxfId="39" priority="26">
      <formula>$A65="vacio"</formula>
    </cfRule>
  </conditionalFormatting>
  <conditionalFormatting sqref="D65:D69">
    <cfRule type="expression" dxfId="38" priority="25">
      <formula>$A65="vacio"</formula>
    </cfRule>
  </conditionalFormatting>
  <conditionalFormatting sqref="F65:F69">
    <cfRule type="expression" dxfId="37" priority="24">
      <formula>$A65="vacio"</formula>
    </cfRule>
  </conditionalFormatting>
  <conditionalFormatting sqref="A65:A69">
    <cfRule type="expression" dxfId="36" priority="23">
      <formula>$A65="vacio"</formula>
    </cfRule>
  </conditionalFormatting>
  <conditionalFormatting sqref="D71:D76">
    <cfRule type="expression" dxfId="35" priority="22">
      <formula>$A71="vacio"</formula>
    </cfRule>
  </conditionalFormatting>
  <conditionalFormatting sqref="D78:D79">
    <cfRule type="expression" dxfId="34" priority="21">
      <formula>$A78="vacio"</formula>
    </cfRule>
  </conditionalFormatting>
  <conditionalFormatting sqref="E82:G87 B81:G81 B82:C87">
    <cfRule type="expression" dxfId="7" priority="20">
      <formula>$A81="vacio"</formula>
    </cfRule>
  </conditionalFormatting>
  <conditionalFormatting sqref="D82:D87">
    <cfRule type="expression" dxfId="33" priority="18">
      <formula>$A82="vacio"</formula>
    </cfRule>
  </conditionalFormatting>
  <conditionalFormatting sqref="B89:C93">
    <cfRule type="expression" dxfId="32" priority="17">
      <formula>$A89="vacio"</formula>
    </cfRule>
  </conditionalFormatting>
  <conditionalFormatting sqref="D89:D93">
    <cfRule type="expression" dxfId="31" priority="16">
      <formula>$A89="vacio"</formula>
    </cfRule>
  </conditionalFormatting>
  <conditionalFormatting sqref="F90:F99">
    <cfRule type="expression" dxfId="30" priority="15">
      <formula>$A90="vacio"</formula>
    </cfRule>
  </conditionalFormatting>
  <conditionalFormatting sqref="A90:A94">
    <cfRule type="expression" dxfId="29" priority="14">
      <formula>$A90="vacio"</formula>
    </cfRule>
  </conditionalFormatting>
  <conditionalFormatting sqref="B94:C98">
    <cfRule type="expression" dxfId="28" priority="13">
      <formula>$A94="vacio"</formula>
    </cfRule>
  </conditionalFormatting>
  <conditionalFormatting sqref="D94:D98">
    <cfRule type="expression" dxfId="27" priority="12">
      <formula>$A94="vacio"</formula>
    </cfRule>
  </conditionalFormatting>
  <conditionalFormatting sqref="A95:A98">
    <cfRule type="expression" dxfId="26" priority="11">
      <formula>$A95="vacio"</formula>
    </cfRule>
  </conditionalFormatting>
  <conditionalFormatting sqref="A99">
    <cfRule type="expression" dxfId="25" priority="10">
      <formula>$A99="vacio"</formula>
    </cfRule>
  </conditionalFormatting>
  <conditionalFormatting sqref="B99:C99">
    <cfRule type="expression" dxfId="24" priority="9">
      <formula>$A99="vacio"</formula>
    </cfRule>
  </conditionalFormatting>
  <conditionalFormatting sqref="D99">
    <cfRule type="expression" dxfId="23" priority="8">
      <formula>$A99="vacio"</formula>
    </cfRule>
  </conditionalFormatting>
  <conditionalFormatting sqref="A100:A103">
    <cfRule type="expression" dxfId="22" priority="7">
      <formula>$A100="vacio"</formula>
    </cfRule>
  </conditionalFormatting>
  <conditionalFormatting sqref="B100:C103">
    <cfRule type="expression" dxfId="21" priority="6">
      <formula>$A100="vacio"</formula>
    </cfRule>
  </conditionalFormatting>
  <conditionalFormatting sqref="E100:E103">
    <cfRule type="expression" dxfId="20" priority="5">
      <formula>$A100="vacio"</formula>
    </cfRule>
  </conditionalFormatting>
  <conditionalFormatting sqref="F100:F103">
    <cfRule type="expression" dxfId="19" priority="4">
      <formula>$A100="vacio"</formula>
    </cfRule>
  </conditionalFormatting>
  <conditionalFormatting sqref="D100:D103">
    <cfRule type="expression" dxfId="18" priority="3">
      <formula>$A100="vacio"</formula>
    </cfRule>
  </conditionalFormatting>
  <conditionalFormatting sqref="I89:I103">
    <cfRule type="expression" dxfId="17" priority="2">
      <formula>$A89="vacio"</formula>
    </cfRule>
  </conditionalFormatting>
  <conditionalFormatting sqref="G94:G103">
    <cfRule type="expression" dxfId="16" priority="1">
      <formula>$A94="vacio"</formula>
    </cfRule>
  </conditionalFormatting>
  <dataValidations xWindow="889" yWindow="384" count="2">
    <dataValidation type="list" allowBlank="1" showInputMessage="1" showErrorMessage="1" prompt="Lo completa la persona que controla que la cantidad de envases a llevar es correcta" sqref="J2:J200" xr:uid="{00000000-0002-0000-0000-000000000000}">
      <formula1>"Ok, Error, Corregido"</formula1>
    </dataValidation>
    <dataValidation type="list" allowBlank="1" showInputMessage="1" showErrorMessage="1" errorTitle="Código erróneo" error="Sólo se aceptan códigos de preservantes que se encuentren en la hoja &quot;Preservantes&quot;" sqref="G2:G200" xr:uid="{00000000-0002-0000-0000-000001000000}">
      <formula1>ddpres</formula1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0"/>
  <sheetViews>
    <sheetView workbookViewId="0">
      <selection activeCell="F8" sqref="F8"/>
    </sheetView>
  </sheetViews>
  <sheetFormatPr defaultColWidth="9.140625" defaultRowHeight="15" x14ac:dyDescent="0.25"/>
  <cols>
    <col min="1" max="1" width="15.5703125" style="20" customWidth="1"/>
    <col min="2" max="2" width="12.28515625" style="20" customWidth="1"/>
    <col min="3" max="3" width="12.5703125" style="20" customWidth="1"/>
    <col min="4" max="4" width="45.140625" style="20" customWidth="1"/>
    <col min="5" max="5" width="10.85546875" style="20" bestFit="1" customWidth="1"/>
    <col min="6" max="6" width="25.5703125" style="20" bestFit="1" customWidth="1"/>
    <col min="7" max="7" width="27.5703125" style="20" bestFit="1" customWidth="1"/>
    <col min="8" max="16384" width="9.140625" style="20"/>
  </cols>
  <sheetData>
    <row r="1" spans="1:7" ht="37.5" x14ac:dyDescent="0.25">
      <c r="A1" s="23" t="s">
        <v>19</v>
      </c>
      <c r="B1" s="24" t="s">
        <v>22</v>
      </c>
      <c r="C1" s="24" t="s">
        <v>23</v>
      </c>
      <c r="D1" s="24" t="s">
        <v>15</v>
      </c>
      <c r="E1" s="24" t="s">
        <v>16</v>
      </c>
      <c r="F1" s="24" t="s">
        <v>191</v>
      </c>
      <c r="G1" s="24" t="s">
        <v>17</v>
      </c>
    </row>
    <row r="2" spans="1:7" x14ac:dyDescent="0.25">
      <c r="A2" s="25" t="s">
        <v>111</v>
      </c>
      <c r="B2" s="25">
        <f t="shared" ref="B2:B57" si="0">IF(A2=0,"",1)</f>
        <v>1</v>
      </c>
      <c r="C2" s="26">
        <f>IF(Egreso[Código de barras]=0,"",INDEX(Stock[n°CC],MATCH(Egreso[Código de barras],Stock[Código de barras],0)))</f>
        <v>2106300001</v>
      </c>
      <c r="D2" s="26" t="str">
        <f>IF(Egreso[Código de barras]=0,"",INDEX(Stock[Cliente],MATCH(Egreso[Código de barras],Stock[Código de barras],0)))</f>
        <v>Empresa1</v>
      </c>
      <c r="E2" s="40">
        <f>IF(Egreso[Código de barras]=0,"",INDEX(Stock[Mes],MATCH(Egreso[Código de barras],Stock[Código de barras],0)))</f>
        <v>44348</v>
      </c>
      <c r="F2" s="27">
        <f>IF(Egreso[Código de barras]=0,"",INDEX(Stock[Detalle],MATCH(Egreso[Código de barras],Stock[Código de barras],0)))</f>
        <v>0</v>
      </c>
      <c r="G2" s="26" t="str">
        <f>IF(Egreso[Código de barras]=0,"",INDEX(Stock[Matriz],MATCH(Egreso[Código de barras],Stock[Código de barras],0)))</f>
        <v>Agua de Consumo</v>
      </c>
    </row>
    <row r="3" spans="1:7" x14ac:dyDescent="0.25">
      <c r="A3" s="25" t="s">
        <v>112</v>
      </c>
      <c r="B3" s="25">
        <f t="shared" si="0"/>
        <v>1</v>
      </c>
      <c r="C3" s="26">
        <f>IF(Egreso[Código de barras]=0,"",INDEX(Stock[n°CC],MATCH(Egreso[Código de barras],Stock[Código de barras],0)))</f>
        <v>2106300002</v>
      </c>
      <c r="D3" s="26" t="str">
        <f>IF(Egreso[Código de barras]=0,"",INDEX(Stock[Cliente],MATCH(Egreso[Código de barras],Stock[Código de barras],0)))</f>
        <v>Empresa1</v>
      </c>
      <c r="E3" s="40">
        <f>IF(Egreso[Código de barras]=0,"",INDEX(Stock[Mes],MATCH(Egreso[Código de barras],Stock[Código de barras],0)))</f>
        <v>44348</v>
      </c>
      <c r="F3" s="27">
        <f>IF(Egreso[Código de barras]=0,"",INDEX(Stock[Detalle],MATCH(Egreso[Código de barras],Stock[Código de barras],0)))</f>
        <v>0</v>
      </c>
      <c r="G3" s="26" t="str">
        <f>IF(Egreso[Código de barras]=0,"",INDEX(Stock[Matriz],MATCH(Egreso[Código de barras],Stock[Código de barras],0)))</f>
        <v>Agua de Consumo</v>
      </c>
    </row>
    <row r="4" spans="1:7" x14ac:dyDescent="0.25">
      <c r="A4" s="25" t="s">
        <v>113</v>
      </c>
      <c r="B4" s="25">
        <f t="shared" si="0"/>
        <v>1</v>
      </c>
      <c r="C4" s="26">
        <f>IF(Egreso[Código de barras]=0,"",INDEX(Stock[n°CC],MATCH(Egreso[Código de barras],Stock[Código de barras],0)))</f>
        <v>2106300001</v>
      </c>
      <c r="D4" s="26" t="str">
        <f>IF(Egreso[Código de barras]=0,"",INDEX(Stock[Cliente],MATCH(Egreso[Código de barras],Stock[Código de barras],0)))</f>
        <v>Empresa1</v>
      </c>
      <c r="E4" s="40">
        <f>IF(Egreso[Código de barras]=0,"",INDEX(Stock[Mes],MATCH(Egreso[Código de barras],Stock[Código de barras],0)))</f>
        <v>44348</v>
      </c>
      <c r="F4" s="27">
        <f>IF(Egreso[Código de barras]=0,"",INDEX(Stock[Detalle],MATCH(Egreso[Código de barras],Stock[Código de barras],0)))</f>
        <v>0</v>
      </c>
      <c r="G4" s="26" t="str">
        <f>IF(Egreso[Código de barras]=0,"",INDEX(Stock[Matriz],MATCH(Egreso[Código de barras],Stock[Código de barras],0)))</f>
        <v>Agua de Consumo</v>
      </c>
    </row>
    <row r="5" spans="1:7" x14ac:dyDescent="0.25">
      <c r="A5" s="25" t="s">
        <v>114</v>
      </c>
      <c r="B5" s="25">
        <f t="shared" si="0"/>
        <v>1</v>
      </c>
      <c r="C5" s="26">
        <f>IF(Egreso[Código de barras]=0,"",INDEX(Stock[n°CC],MATCH(Egreso[Código de barras],Stock[Código de barras],0)))</f>
        <v>2106300001</v>
      </c>
      <c r="D5" s="26" t="str">
        <f>IF(Egreso[Código de barras]=0,"",INDEX(Stock[Cliente],MATCH(Egreso[Código de barras],Stock[Código de barras],0)))</f>
        <v>Empresa1</v>
      </c>
      <c r="E5" s="40">
        <f>IF(Egreso[Código de barras]=0,"",INDEX(Stock[Mes],MATCH(Egreso[Código de barras],Stock[Código de barras],0)))</f>
        <v>44348</v>
      </c>
      <c r="F5" s="27">
        <f>IF(Egreso[Código de barras]=0,"",INDEX(Stock[Detalle],MATCH(Egreso[Código de barras],Stock[Código de barras],0)))</f>
        <v>0</v>
      </c>
      <c r="G5" s="26" t="str">
        <f>IF(Egreso[Código de barras]=0,"",INDEX(Stock[Matriz],MATCH(Egreso[Código de barras],Stock[Código de barras],0)))</f>
        <v>Agua de Consumo</v>
      </c>
    </row>
    <row r="6" spans="1:7" x14ac:dyDescent="0.25">
      <c r="A6" s="25" t="s">
        <v>48</v>
      </c>
      <c r="B6" s="25">
        <f t="shared" si="0"/>
        <v>1</v>
      </c>
      <c r="C6" s="26" t="str">
        <f>IF(Egreso[Código de barras]=0,"",INDEX(Stock[n°CC],MATCH(Egreso[Código de barras],Stock[Código de barras],0)))</f>
        <v>vacio</v>
      </c>
      <c r="D6" s="26">
        <f>IF(Egreso[Código de barras]=0,"",INDEX(Stock[Cliente],MATCH(Egreso[Código de barras],Stock[Código de barras],0)))</f>
        <v>0</v>
      </c>
      <c r="E6" s="40">
        <f>IF(Egreso[Código de barras]=0,"",INDEX(Stock[Mes],MATCH(Egreso[Código de barras],Stock[Código de barras],0)))</f>
        <v>0</v>
      </c>
      <c r="F6" s="27">
        <f>IF(Egreso[Código de barras]=0,"",INDEX(Stock[Detalle],MATCH(Egreso[Código de barras],Stock[Código de barras],0)))</f>
        <v>0</v>
      </c>
      <c r="G6" s="26">
        <f>IF(Egreso[Código de barras]=0,"",INDEX(Stock[Matriz],MATCH(Egreso[Código de barras],Stock[Código de barras],0)))</f>
        <v>0</v>
      </c>
    </row>
    <row r="7" spans="1:7" x14ac:dyDescent="0.25">
      <c r="A7" s="25" t="s">
        <v>115</v>
      </c>
      <c r="B7" s="25">
        <f t="shared" si="0"/>
        <v>1</v>
      </c>
      <c r="C7" s="26">
        <f>IF(Egreso[Código de barras]=0,"",INDEX(Stock[n°CC],MATCH(Egreso[Código de barras],Stock[Código de barras],0)))</f>
        <v>2106300014</v>
      </c>
      <c r="D7" s="26" t="str">
        <f>IF(Egreso[Código de barras]=0,"",INDEX(Stock[Cliente],MATCH(Egreso[Código de barras],Stock[Código de barras],0)))</f>
        <v>Empresa2</v>
      </c>
      <c r="E7" s="40">
        <f>IF(Egreso[Código de barras]=0,"",INDEX(Stock[Mes],MATCH(Egreso[Código de barras],Stock[Código de barras],0)))</f>
        <v>44348</v>
      </c>
      <c r="F7" s="27" t="str">
        <f>IF(Egreso[Código de barras]=0,"",INDEX(Stock[Detalle],MATCH(Egreso[Código de barras],Stock[Código de barras],0)))</f>
        <v>CTMyMC</v>
      </c>
      <c r="G7" s="26" t="str">
        <f>IF(Egreso[Código de barras]=0,"",INDEX(Stock[Matriz],MATCH(Egreso[Código de barras],Stock[Código de barras],0)))</f>
        <v>Efluente Líquido</v>
      </c>
    </row>
    <row r="8" spans="1:7" x14ac:dyDescent="0.25">
      <c r="A8" s="25" t="s">
        <v>116</v>
      </c>
      <c r="B8" s="25">
        <f t="shared" si="0"/>
        <v>1</v>
      </c>
      <c r="C8" s="26">
        <f>IF(Egreso[Código de barras]=0,"",INDEX(Stock[n°CC],MATCH(Egreso[Código de barras],Stock[Código de barras],0)))</f>
        <v>2106300014</v>
      </c>
      <c r="D8" s="26" t="str">
        <f>IF(Egreso[Código de barras]=0,"",INDEX(Stock[Cliente],MATCH(Egreso[Código de barras],Stock[Código de barras],0)))</f>
        <v>Empresa2</v>
      </c>
      <c r="E8" s="40">
        <f>IF(Egreso[Código de barras]=0,"",INDEX(Stock[Mes],MATCH(Egreso[Código de barras],Stock[Código de barras],0)))</f>
        <v>44348</v>
      </c>
      <c r="F8" s="27" t="str">
        <f>IF(Egreso[Código de barras]=0,"",INDEX(Stock[Detalle],MATCH(Egreso[Código de barras],Stock[Código de barras],0)))</f>
        <v>CTMyMC</v>
      </c>
      <c r="G8" s="26" t="str">
        <f>IF(Egreso[Código de barras]=0,"",INDEX(Stock[Matriz],MATCH(Egreso[Código de barras],Stock[Código de barras],0)))</f>
        <v>Efluente Líquido</v>
      </c>
    </row>
    <row r="9" spans="1:7" x14ac:dyDescent="0.25">
      <c r="A9" s="25" t="s">
        <v>117</v>
      </c>
      <c r="B9" s="25">
        <f t="shared" si="0"/>
        <v>1</v>
      </c>
      <c r="C9" s="26">
        <f>IF(Egreso[Código de barras]=0,"",INDEX(Stock[n°CC],MATCH(Egreso[Código de barras],Stock[Código de barras],0)))</f>
        <v>2106300014</v>
      </c>
      <c r="D9" s="26" t="str">
        <f>IF(Egreso[Código de barras]=0,"",INDEX(Stock[Cliente],MATCH(Egreso[Código de barras],Stock[Código de barras],0)))</f>
        <v>Empresa2</v>
      </c>
      <c r="E9" s="40">
        <f>IF(Egreso[Código de barras]=0,"",INDEX(Stock[Mes],MATCH(Egreso[Código de barras],Stock[Código de barras],0)))</f>
        <v>44348</v>
      </c>
      <c r="F9" s="27" t="str">
        <f>IF(Egreso[Código de barras]=0,"",INDEX(Stock[Detalle],MATCH(Egreso[Código de barras],Stock[Código de barras],0)))</f>
        <v>CTMyMC</v>
      </c>
      <c r="G9" s="26" t="str">
        <f>IF(Egreso[Código de barras]=0,"",INDEX(Stock[Matriz],MATCH(Egreso[Código de barras],Stock[Código de barras],0)))</f>
        <v>Efluente Líquido</v>
      </c>
    </row>
    <row r="10" spans="1:7" x14ac:dyDescent="0.25">
      <c r="A10" s="25" t="s">
        <v>118</v>
      </c>
      <c r="B10" s="25">
        <f t="shared" si="0"/>
        <v>1</v>
      </c>
      <c r="C10" s="26">
        <f>IF(Egreso[Código de barras]=0,"",INDEX(Stock[n°CC],MATCH(Egreso[Código de barras],Stock[Código de barras],0)))</f>
        <v>2106300013</v>
      </c>
      <c r="D10" s="26" t="str">
        <f>IF(Egreso[Código de barras]=0,"",INDEX(Stock[Cliente],MATCH(Egreso[Código de barras],Stock[Código de barras],0)))</f>
        <v>Empresa2</v>
      </c>
      <c r="E10" s="40">
        <f>IF(Egreso[Código de barras]=0,"",INDEX(Stock[Mes],MATCH(Egreso[Código de barras],Stock[Código de barras],0)))</f>
        <v>44348</v>
      </c>
      <c r="F10" s="27" t="str">
        <f>IF(Egreso[Código de barras]=0,"",INDEX(Stock[Detalle],MATCH(Egreso[Código de barras],Stock[Código de barras],0)))</f>
        <v>CÁMARA DE ECUALIZACIÓN</v>
      </c>
      <c r="G10" s="26" t="str">
        <f>IF(Egreso[Código de barras]=0,"",INDEX(Stock[Matriz],MATCH(Egreso[Código de barras],Stock[Código de barras],0)))</f>
        <v>Efluente Líquido</v>
      </c>
    </row>
    <row r="11" spans="1:7" x14ac:dyDescent="0.25">
      <c r="A11" s="25" t="s">
        <v>119</v>
      </c>
      <c r="B11" s="25">
        <f t="shared" si="0"/>
        <v>1</v>
      </c>
      <c r="C11" s="26">
        <f>IF(Egreso[Código de barras]=0,"",INDEX(Stock[n°CC],MATCH(Egreso[Código de barras],Stock[Código de barras],0)))</f>
        <v>2106300012</v>
      </c>
      <c r="D11" s="26" t="str">
        <f>IF(Egreso[Código de barras]=0,"",INDEX(Stock[Cliente],MATCH(Egreso[Código de barras],Stock[Código de barras],0)))</f>
        <v>Empresa2</v>
      </c>
      <c r="E11" s="40">
        <f>IF(Egreso[Código de barras]=0,"",INDEX(Stock[Mes],MATCH(Egreso[Código de barras],Stock[Código de barras],0)))</f>
        <v>44348</v>
      </c>
      <c r="F11" s="27" t="str">
        <f>IF(Egreso[Código de barras]=0,"",INDEX(Stock[Detalle],MATCH(Egreso[Código de barras],Stock[Código de barras],0)))</f>
        <v>CÁMARA DE ECUALIZACIÓN</v>
      </c>
      <c r="G11" s="26" t="str">
        <f>IF(Egreso[Código de barras]=0,"",INDEX(Stock[Matriz],MATCH(Egreso[Código de barras],Stock[Código de barras],0)))</f>
        <v>Efluente Líquido</v>
      </c>
    </row>
    <row r="12" spans="1:7" x14ac:dyDescent="0.25">
      <c r="A12" s="25" t="s">
        <v>120</v>
      </c>
      <c r="B12" s="25">
        <f t="shared" si="0"/>
        <v>1</v>
      </c>
      <c r="C12" s="26">
        <f>IF(Egreso[Código de barras]=0,"",INDEX(Stock[n°CC],MATCH(Egreso[Código de barras],Stock[Código de barras],0)))</f>
        <v>2106300012</v>
      </c>
      <c r="D12" s="26" t="str">
        <f>IF(Egreso[Código de barras]=0,"",INDEX(Stock[Cliente],MATCH(Egreso[Código de barras],Stock[Código de barras],0)))</f>
        <v>Empresa2</v>
      </c>
      <c r="E12" s="40">
        <f>IF(Egreso[Código de barras]=0,"",INDEX(Stock[Mes],MATCH(Egreso[Código de barras],Stock[Código de barras],0)))</f>
        <v>44348</v>
      </c>
      <c r="F12" s="27" t="str">
        <f>IF(Egreso[Código de barras]=0,"",INDEX(Stock[Detalle],MATCH(Egreso[Código de barras],Stock[Código de barras],0)))</f>
        <v>CÁMARA DE ECUALIZACIÓN</v>
      </c>
      <c r="G12" s="26" t="str">
        <f>IF(Egreso[Código de barras]=0,"",INDEX(Stock[Matriz],MATCH(Egreso[Código de barras],Stock[Código de barras],0)))</f>
        <v>Efluente Líquido</v>
      </c>
    </row>
    <row r="13" spans="1:7" x14ac:dyDescent="0.25">
      <c r="A13" s="25" t="s">
        <v>121</v>
      </c>
      <c r="B13" s="25">
        <f t="shared" si="0"/>
        <v>1</v>
      </c>
      <c r="C13" s="26">
        <f>IF(Egreso[Código de barras]=0,"",INDEX(Stock[n°CC],MATCH(Egreso[Código de barras],Stock[Código de barras],0)))</f>
        <v>2106300012</v>
      </c>
      <c r="D13" s="26" t="str">
        <f>IF(Egreso[Código de barras]=0,"",INDEX(Stock[Cliente],MATCH(Egreso[Código de barras],Stock[Código de barras],0)))</f>
        <v>Empresa2</v>
      </c>
      <c r="E13" s="40">
        <f>IF(Egreso[Código de barras]=0,"",INDEX(Stock[Mes],MATCH(Egreso[Código de barras],Stock[Código de barras],0)))</f>
        <v>44348</v>
      </c>
      <c r="F13" s="27" t="str">
        <f>IF(Egreso[Código de barras]=0,"",INDEX(Stock[Detalle],MATCH(Egreso[Código de barras],Stock[Código de barras],0)))</f>
        <v>CÁMARA DE ECUALIZACIÓN</v>
      </c>
      <c r="G13" s="26" t="str">
        <f>IF(Egreso[Código de barras]=0,"",INDEX(Stock[Matriz],MATCH(Egreso[Código de barras],Stock[Código de barras],0)))</f>
        <v>Efluente Líquido</v>
      </c>
    </row>
    <row r="14" spans="1:7" x14ac:dyDescent="0.25">
      <c r="A14" s="25" t="s">
        <v>122</v>
      </c>
      <c r="B14" s="25">
        <f t="shared" si="0"/>
        <v>1</v>
      </c>
      <c r="C14" s="26">
        <f>IF(Egreso[Código de barras]=0,"",INDEX(Stock[n°CC],MATCH(Egreso[Código de barras],Stock[Código de barras],0)))</f>
        <v>2106300013</v>
      </c>
      <c r="D14" s="26" t="str">
        <f>IF(Egreso[Código de barras]=0,"",INDEX(Stock[Cliente],MATCH(Egreso[Código de barras],Stock[Código de barras],0)))</f>
        <v>Empresa2</v>
      </c>
      <c r="E14" s="40">
        <f>IF(Egreso[Código de barras]=0,"",INDEX(Stock[Mes],MATCH(Egreso[Código de barras],Stock[Código de barras],0)))</f>
        <v>44348</v>
      </c>
      <c r="F14" s="27" t="str">
        <f>IF(Egreso[Código de barras]=0,"",INDEX(Stock[Detalle],MATCH(Egreso[Código de barras],Stock[Código de barras],0)))</f>
        <v>CÁMARA DE ECUALIZACIÓN</v>
      </c>
      <c r="G14" s="26" t="str">
        <f>IF(Egreso[Código de barras]=0,"",INDEX(Stock[Matriz],MATCH(Egreso[Código de barras],Stock[Código de barras],0)))</f>
        <v>Efluente Líquido</v>
      </c>
    </row>
    <row r="15" spans="1:7" x14ac:dyDescent="0.25">
      <c r="A15" s="25" t="s">
        <v>123</v>
      </c>
      <c r="B15" s="25">
        <f t="shared" si="0"/>
        <v>1</v>
      </c>
      <c r="C15" s="26">
        <f>IF(Egreso[Código de barras]=0,"",INDEX(Stock[n°CC],MATCH(Egreso[Código de barras],Stock[Código de barras],0)))</f>
        <v>2106300013</v>
      </c>
      <c r="D15" s="26" t="str">
        <f>IF(Egreso[Código de barras]=0,"",INDEX(Stock[Cliente],MATCH(Egreso[Código de barras],Stock[Código de barras],0)))</f>
        <v>Empresa2</v>
      </c>
      <c r="E15" s="40">
        <f>IF(Egreso[Código de barras]=0,"",INDEX(Stock[Mes],MATCH(Egreso[Código de barras],Stock[Código de barras],0)))</f>
        <v>44348</v>
      </c>
      <c r="F15" s="27" t="str">
        <f>IF(Egreso[Código de barras]=0,"",INDEX(Stock[Detalle],MATCH(Egreso[Código de barras],Stock[Código de barras],0)))</f>
        <v>CÁMARA DE ECUALIZACIÓN</v>
      </c>
      <c r="G15" s="26" t="str">
        <f>IF(Egreso[Código de barras]=0,"",INDEX(Stock[Matriz],MATCH(Egreso[Código de barras],Stock[Código de barras],0)))</f>
        <v>Efluente Líquido</v>
      </c>
    </row>
    <row r="16" spans="1:7" x14ac:dyDescent="0.25">
      <c r="A16" s="25" t="s">
        <v>124</v>
      </c>
      <c r="B16" s="25">
        <f t="shared" si="0"/>
        <v>1</v>
      </c>
      <c r="C16" s="26">
        <f>IF(Egreso[Código de barras]=0,"",INDEX(Stock[n°CC],MATCH(Egreso[Código de barras],Stock[Código de barras],0)))</f>
        <v>2106300014</v>
      </c>
      <c r="D16" s="26" t="str">
        <f>IF(Egreso[Código de barras]=0,"",INDEX(Stock[Cliente],MATCH(Egreso[Código de barras],Stock[Código de barras],0)))</f>
        <v>Empresa2</v>
      </c>
      <c r="E16" s="40">
        <f>IF(Egreso[Código de barras]=0,"",INDEX(Stock[Mes],MATCH(Egreso[Código de barras],Stock[Código de barras],0)))</f>
        <v>44348</v>
      </c>
      <c r="F16" s="27" t="str">
        <f>IF(Egreso[Código de barras]=0,"",INDEX(Stock[Detalle],MATCH(Egreso[Código de barras],Stock[Código de barras],0)))</f>
        <v>CTMyMC</v>
      </c>
      <c r="G16" s="26" t="str">
        <f>IF(Egreso[Código de barras]=0,"",INDEX(Stock[Matriz],MATCH(Egreso[Código de barras],Stock[Código de barras],0)))</f>
        <v>Efluente Líquido</v>
      </c>
    </row>
    <row r="17" spans="1:7" x14ac:dyDescent="0.25">
      <c r="A17" s="25" t="s">
        <v>125</v>
      </c>
      <c r="B17" s="25">
        <f t="shared" si="0"/>
        <v>1</v>
      </c>
      <c r="C17" s="26">
        <f>IF(Egreso[Código de barras]=0,"",INDEX(Stock[n°CC],MATCH(Egreso[Código de barras],Stock[Código de barras],0)))</f>
        <v>2106300014</v>
      </c>
      <c r="D17" s="26" t="str">
        <f>IF(Egreso[Código de barras]=0,"",INDEX(Stock[Cliente],MATCH(Egreso[Código de barras],Stock[Código de barras],0)))</f>
        <v>Empresa2</v>
      </c>
      <c r="E17" s="40">
        <f>IF(Egreso[Código de barras]=0,"",INDEX(Stock[Mes],MATCH(Egreso[Código de barras],Stock[Código de barras],0)))</f>
        <v>44348</v>
      </c>
      <c r="F17" s="27" t="str">
        <f>IF(Egreso[Código de barras]=0,"",INDEX(Stock[Detalle],MATCH(Egreso[Código de barras],Stock[Código de barras],0)))</f>
        <v>CTMyMC</v>
      </c>
      <c r="G17" s="26" t="str">
        <f>IF(Egreso[Código de barras]=0,"",INDEX(Stock[Matriz],MATCH(Egreso[Código de barras],Stock[Código de barras],0)))</f>
        <v>Efluente Líquido</v>
      </c>
    </row>
    <row r="18" spans="1:7" x14ac:dyDescent="0.25">
      <c r="A18" s="25" t="s">
        <v>126</v>
      </c>
      <c r="B18" s="25">
        <f t="shared" si="0"/>
        <v>1</v>
      </c>
      <c r="C18" s="26">
        <f>IF(Egreso[Código de barras]=0,"",INDEX(Stock[n°CC],MATCH(Egreso[Código de barras],Stock[Código de barras],0)))</f>
        <v>2106300014</v>
      </c>
      <c r="D18" s="26" t="str">
        <f>IF(Egreso[Código de barras]=0,"",INDEX(Stock[Cliente],MATCH(Egreso[Código de barras],Stock[Código de barras],0)))</f>
        <v>Empresa2</v>
      </c>
      <c r="E18" s="40">
        <f>IF(Egreso[Código de barras]=0,"",INDEX(Stock[Mes],MATCH(Egreso[Código de barras],Stock[Código de barras],0)))</f>
        <v>44348</v>
      </c>
      <c r="F18" s="27" t="str">
        <f>IF(Egreso[Código de barras]=0,"",INDEX(Stock[Detalle],MATCH(Egreso[Código de barras],Stock[Código de barras],0)))</f>
        <v>CTMyMC</v>
      </c>
      <c r="G18" s="26" t="str">
        <f>IF(Egreso[Código de barras]=0,"",INDEX(Stock[Matriz],MATCH(Egreso[Código de barras],Stock[Código de barras],0)))</f>
        <v>Efluente Líquido</v>
      </c>
    </row>
    <row r="19" spans="1:7" x14ac:dyDescent="0.25">
      <c r="A19" s="25" t="s">
        <v>127</v>
      </c>
      <c r="B19" s="25">
        <f t="shared" si="0"/>
        <v>1</v>
      </c>
      <c r="C19" s="26">
        <f>IF(Egreso[Código de barras]=0,"",INDEX(Stock[n°CC],MATCH(Egreso[Código de barras],Stock[Código de barras],0)))</f>
        <v>2106300003</v>
      </c>
      <c r="D19" s="26" t="str">
        <f>IF(Egreso[Código de barras]=0,"",INDEX(Stock[Cliente],MATCH(Egreso[Código de barras],Stock[Código de barras],0)))</f>
        <v>Empresa2</v>
      </c>
      <c r="E19" s="40">
        <f>IF(Egreso[Código de barras]=0,"",INDEX(Stock[Mes],MATCH(Egreso[Código de barras],Stock[Código de barras],0)))</f>
        <v>44348</v>
      </c>
      <c r="F19" s="27" t="str">
        <f>IF(Egreso[Código de barras]=0,"",INDEX(Stock[Detalle],MATCH(Egreso[Código de barras],Stock[Código de barras],0)))</f>
        <v>PF3</v>
      </c>
      <c r="G19" s="26" t="str">
        <f>IF(Egreso[Código de barras]=0,"",INDEX(Stock[Matriz],MATCH(Egreso[Código de barras],Stock[Código de barras],0)))</f>
        <v>Pozo Freático</v>
      </c>
    </row>
    <row r="20" spans="1:7" x14ac:dyDescent="0.25">
      <c r="A20" s="25" t="s">
        <v>128</v>
      </c>
      <c r="B20" s="25">
        <f t="shared" si="0"/>
        <v>1</v>
      </c>
      <c r="C20" s="26">
        <f>IF(Egreso[Código de barras]=0,"",INDEX(Stock[n°CC],MATCH(Egreso[Código de barras],Stock[Código de barras],0)))</f>
        <v>2106300003</v>
      </c>
      <c r="D20" s="26" t="str">
        <f>IF(Egreso[Código de barras]=0,"",INDEX(Stock[Cliente],MATCH(Egreso[Código de barras],Stock[Código de barras],0)))</f>
        <v>Empresa2</v>
      </c>
      <c r="E20" s="40">
        <f>IF(Egreso[Código de barras]=0,"",INDEX(Stock[Mes],MATCH(Egreso[Código de barras],Stock[Código de barras],0)))</f>
        <v>44348</v>
      </c>
      <c r="F20" s="27" t="str">
        <f>IF(Egreso[Código de barras]=0,"",INDEX(Stock[Detalle],MATCH(Egreso[Código de barras],Stock[Código de barras],0)))</f>
        <v>PF3</v>
      </c>
      <c r="G20" s="26" t="str">
        <f>IF(Egreso[Código de barras]=0,"",INDEX(Stock[Matriz],MATCH(Egreso[Código de barras],Stock[Código de barras],0)))</f>
        <v>Pozo Freático</v>
      </c>
    </row>
    <row r="21" spans="1:7" x14ac:dyDescent="0.25">
      <c r="A21" s="25" t="s">
        <v>129</v>
      </c>
      <c r="B21" s="25">
        <f t="shared" si="0"/>
        <v>1</v>
      </c>
      <c r="C21" s="26">
        <f>IF(Egreso[Código de barras]=0,"",INDEX(Stock[n°CC],MATCH(Egreso[Código de barras],Stock[Código de barras],0)))</f>
        <v>2106300004</v>
      </c>
      <c r="D21" s="26" t="str">
        <f>IF(Egreso[Código de barras]=0,"",INDEX(Stock[Cliente],MATCH(Egreso[Código de barras],Stock[Código de barras],0)))</f>
        <v>Empresa2</v>
      </c>
      <c r="E21" s="40">
        <f>IF(Egreso[Código de barras]=0,"",INDEX(Stock[Mes],MATCH(Egreso[Código de barras],Stock[Código de barras],0)))</f>
        <v>44348</v>
      </c>
      <c r="F21" s="27" t="str">
        <f>IF(Egreso[Código de barras]=0,"",INDEX(Stock[Detalle],MATCH(Egreso[Código de barras],Stock[Código de barras],0)))</f>
        <v>PF2</v>
      </c>
      <c r="G21" s="26" t="str">
        <f>IF(Egreso[Código de barras]=0,"",INDEX(Stock[Matriz],MATCH(Egreso[Código de barras],Stock[Código de barras],0)))</f>
        <v>Pozo Freático</v>
      </c>
    </row>
    <row r="22" spans="1:7" x14ac:dyDescent="0.25">
      <c r="A22" s="25" t="s">
        <v>130</v>
      </c>
      <c r="B22" s="25">
        <f t="shared" si="0"/>
        <v>1</v>
      </c>
      <c r="C22" s="26">
        <f>IF(Egreso[Código de barras]=0,"",INDEX(Stock[n°CC],MATCH(Egreso[Código de barras],Stock[Código de barras],0)))</f>
        <v>2106300004</v>
      </c>
      <c r="D22" s="26" t="str">
        <f>IF(Egreso[Código de barras]=0,"",INDEX(Stock[Cliente],MATCH(Egreso[Código de barras],Stock[Código de barras],0)))</f>
        <v>Empresa2</v>
      </c>
      <c r="E22" s="40">
        <f>IF(Egreso[Código de barras]=0,"",INDEX(Stock[Mes],MATCH(Egreso[Código de barras],Stock[Código de barras],0)))</f>
        <v>44348</v>
      </c>
      <c r="F22" s="27" t="str">
        <f>IF(Egreso[Código de barras]=0,"",INDEX(Stock[Detalle],MATCH(Egreso[Código de barras],Stock[Código de barras],0)))</f>
        <v>PF2</v>
      </c>
      <c r="G22" s="26" t="str">
        <f>IF(Egreso[Código de barras]=0,"",INDEX(Stock[Matriz],MATCH(Egreso[Código de barras],Stock[Código de barras],0)))</f>
        <v>Pozo Freático</v>
      </c>
    </row>
    <row r="23" spans="1:7" x14ac:dyDescent="0.25">
      <c r="A23" s="25" t="s">
        <v>131</v>
      </c>
      <c r="B23" s="25">
        <f t="shared" si="0"/>
        <v>1</v>
      </c>
      <c r="C23" s="26">
        <f>IF(Egreso[Código de barras]=0,"",INDEX(Stock[n°CC],MATCH(Egreso[Código de barras],Stock[Código de barras],0)))</f>
        <v>2106300005</v>
      </c>
      <c r="D23" s="26" t="str">
        <f>IF(Egreso[Código de barras]=0,"",INDEX(Stock[Cliente],MATCH(Egreso[Código de barras],Stock[Código de barras],0)))</f>
        <v>Empresa2</v>
      </c>
      <c r="E23" s="40">
        <f>IF(Egreso[Código de barras]=0,"",INDEX(Stock[Mes],MATCH(Egreso[Código de barras],Stock[Código de barras],0)))</f>
        <v>44348</v>
      </c>
      <c r="F23" s="27" t="str">
        <f>IF(Egreso[Código de barras]=0,"",INDEX(Stock[Detalle],MATCH(Egreso[Código de barras],Stock[Código de barras],0)))</f>
        <v>PF1</v>
      </c>
      <c r="G23" s="26" t="str">
        <f>IF(Egreso[Código de barras]=0,"",INDEX(Stock[Matriz],MATCH(Egreso[Código de barras],Stock[Código de barras],0)))</f>
        <v>Pozo Freático</v>
      </c>
    </row>
    <row r="24" spans="1:7" x14ac:dyDescent="0.25">
      <c r="A24" s="25" t="s">
        <v>132</v>
      </c>
      <c r="B24" s="25">
        <f t="shared" si="0"/>
        <v>1</v>
      </c>
      <c r="C24" s="26">
        <f>IF(Egreso[Código de barras]=0,"",INDEX(Stock[n°CC],MATCH(Egreso[Código de barras],Stock[Código de barras],0)))</f>
        <v>2106300005</v>
      </c>
      <c r="D24" s="26" t="str">
        <f>IF(Egreso[Código de barras]=0,"",INDEX(Stock[Cliente],MATCH(Egreso[Código de barras],Stock[Código de barras],0)))</f>
        <v>Empresa2</v>
      </c>
      <c r="E24" s="40">
        <f>IF(Egreso[Código de barras]=0,"",INDEX(Stock[Mes],MATCH(Egreso[Código de barras],Stock[Código de barras],0)))</f>
        <v>44348</v>
      </c>
      <c r="F24" s="27" t="str">
        <f>IF(Egreso[Código de barras]=0,"",INDEX(Stock[Detalle],MATCH(Egreso[Código de barras],Stock[Código de barras],0)))</f>
        <v>PF1</v>
      </c>
      <c r="G24" s="26" t="str">
        <f>IF(Egreso[Código de barras]=0,"",INDEX(Stock[Matriz],MATCH(Egreso[Código de barras],Stock[Código de barras],0)))</f>
        <v>Pozo Freático</v>
      </c>
    </row>
    <row r="25" spans="1:7" x14ac:dyDescent="0.25">
      <c r="A25" s="25" t="s">
        <v>133</v>
      </c>
      <c r="B25" s="25">
        <f t="shared" si="0"/>
        <v>1</v>
      </c>
      <c r="C25" s="26">
        <f>IF(Egreso[Código de barras]=0,"",INDEX(Stock[n°CC],MATCH(Egreso[Código de barras],Stock[Código de barras],0)))</f>
        <v>2106300003</v>
      </c>
      <c r="D25" s="26" t="str">
        <f>IF(Egreso[Código de barras]=0,"",INDEX(Stock[Cliente],MATCH(Egreso[Código de barras],Stock[Código de barras],0)))</f>
        <v>Empresa2</v>
      </c>
      <c r="E25" s="40">
        <f>IF(Egreso[Código de barras]=0,"",INDEX(Stock[Mes],MATCH(Egreso[Código de barras],Stock[Código de barras],0)))</f>
        <v>44348</v>
      </c>
      <c r="F25" s="27" t="str">
        <f>IF(Egreso[Código de barras]=0,"",INDEX(Stock[Detalle],MATCH(Egreso[Código de barras],Stock[Código de barras],0)))</f>
        <v>PF3</v>
      </c>
      <c r="G25" s="26" t="str">
        <f>IF(Egreso[Código de barras]=0,"",INDEX(Stock[Matriz],MATCH(Egreso[Código de barras],Stock[Código de barras],0)))</f>
        <v>Pozo Freático</v>
      </c>
    </row>
    <row r="26" spans="1:7" x14ac:dyDescent="0.25">
      <c r="A26" s="25" t="s">
        <v>134</v>
      </c>
      <c r="B26" s="25">
        <f t="shared" si="0"/>
        <v>1</v>
      </c>
      <c r="C26" s="26">
        <f>IF(Egreso[Código de barras]=0,"",INDEX(Stock[n°CC],MATCH(Egreso[Código de barras],Stock[Código de barras],0)))</f>
        <v>2106300003</v>
      </c>
      <c r="D26" s="26" t="str">
        <f>IF(Egreso[Código de barras]=0,"",INDEX(Stock[Cliente],MATCH(Egreso[Código de barras],Stock[Código de barras],0)))</f>
        <v>Empresa2</v>
      </c>
      <c r="E26" s="40">
        <f>IF(Egreso[Código de barras]=0,"",INDEX(Stock[Mes],MATCH(Egreso[Código de barras],Stock[Código de barras],0)))</f>
        <v>44348</v>
      </c>
      <c r="F26" s="27" t="str">
        <f>IF(Egreso[Código de barras]=0,"",INDEX(Stock[Detalle],MATCH(Egreso[Código de barras],Stock[Código de barras],0)))</f>
        <v>PF3</v>
      </c>
      <c r="G26" s="26" t="str">
        <f>IF(Egreso[Código de barras]=0,"",INDEX(Stock[Matriz],MATCH(Egreso[Código de barras],Stock[Código de barras],0)))</f>
        <v>Pozo Freático</v>
      </c>
    </row>
    <row r="27" spans="1:7" x14ac:dyDescent="0.25">
      <c r="A27" s="25" t="s">
        <v>135</v>
      </c>
      <c r="B27" s="25">
        <f t="shared" si="0"/>
        <v>1</v>
      </c>
      <c r="C27" s="26">
        <f>IF(Egreso[Código de barras]=0,"",INDEX(Stock[n°CC],MATCH(Egreso[Código de barras],Stock[Código de barras],0)))</f>
        <v>2106300004</v>
      </c>
      <c r="D27" s="26" t="str">
        <f>IF(Egreso[Código de barras]=0,"",INDEX(Stock[Cliente],MATCH(Egreso[Código de barras],Stock[Código de barras],0)))</f>
        <v>Empresa2</v>
      </c>
      <c r="E27" s="40">
        <f>IF(Egreso[Código de barras]=0,"",INDEX(Stock[Mes],MATCH(Egreso[Código de barras],Stock[Código de barras],0)))</f>
        <v>44348</v>
      </c>
      <c r="F27" s="27" t="str">
        <f>IF(Egreso[Código de barras]=0,"",INDEX(Stock[Detalle],MATCH(Egreso[Código de barras],Stock[Código de barras],0)))</f>
        <v>PF2</v>
      </c>
      <c r="G27" s="26" t="str">
        <f>IF(Egreso[Código de barras]=0,"",INDEX(Stock[Matriz],MATCH(Egreso[Código de barras],Stock[Código de barras],0)))</f>
        <v>Pozo Freático</v>
      </c>
    </row>
    <row r="28" spans="1:7" x14ac:dyDescent="0.25">
      <c r="A28" s="25" t="s">
        <v>136</v>
      </c>
      <c r="B28" s="25">
        <f t="shared" si="0"/>
        <v>1</v>
      </c>
      <c r="C28" s="26">
        <f>IF(Egreso[Código de barras]=0,"",INDEX(Stock[n°CC],MATCH(Egreso[Código de barras],Stock[Código de barras],0)))</f>
        <v>2106300004</v>
      </c>
      <c r="D28" s="26" t="str">
        <f>IF(Egreso[Código de barras]=0,"",INDEX(Stock[Cliente],MATCH(Egreso[Código de barras],Stock[Código de barras],0)))</f>
        <v>Empresa2</v>
      </c>
      <c r="E28" s="40">
        <f>IF(Egreso[Código de barras]=0,"",INDEX(Stock[Mes],MATCH(Egreso[Código de barras],Stock[Código de barras],0)))</f>
        <v>44348</v>
      </c>
      <c r="F28" s="27" t="str">
        <f>IF(Egreso[Código de barras]=0,"",INDEX(Stock[Detalle],MATCH(Egreso[Código de barras],Stock[Código de barras],0)))</f>
        <v>PF2</v>
      </c>
      <c r="G28" s="26" t="str">
        <f>IF(Egreso[Código de barras]=0,"",INDEX(Stock[Matriz],MATCH(Egreso[Código de barras],Stock[Código de barras],0)))</f>
        <v>Pozo Freático</v>
      </c>
    </row>
    <row r="29" spans="1:7" x14ac:dyDescent="0.25">
      <c r="A29" s="25" t="s">
        <v>137</v>
      </c>
      <c r="B29" s="25">
        <f t="shared" si="0"/>
        <v>1</v>
      </c>
      <c r="C29" s="26">
        <f>IF(Egreso[Código de barras]=0,"",INDEX(Stock[n°CC],MATCH(Egreso[Código de barras],Stock[Código de barras],0)))</f>
        <v>2106300005</v>
      </c>
      <c r="D29" s="26" t="str">
        <f>IF(Egreso[Código de barras]=0,"",INDEX(Stock[Cliente],MATCH(Egreso[Código de barras],Stock[Código de barras],0)))</f>
        <v>Empresa2</v>
      </c>
      <c r="E29" s="40">
        <f>IF(Egreso[Código de barras]=0,"",INDEX(Stock[Mes],MATCH(Egreso[Código de barras],Stock[Código de barras],0)))</f>
        <v>44348</v>
      </c>
      <c r="F29" s="27" t="str">
        <f>IF(Egreso[Código de barras]=0,"",INDEX(Stock[Detalle],MATCH(Egreso[Código de barras],Stock[Código de barras],0)))</f>
        <v>PF1</v>
      </c>
      <c r="G29" s="26" t="str">
        <f>IF(Egreso[Código de barras]=0,"",INDEX(Stock[Matriz],MATCH(Egreso[Código de barras],Stock[Código de barras],0)))</f>
        <v>Pozo Freático</v>
      </c>
    </row>
    <row r="30" spans="1:7" x14ac:dyDescent="0.25">
      <c r="A30" s="25" t="s">
        <v>138</v>
      </c>
      <c r="B30" s="25">
        <f t="shared" si="0"/>
        <v>1</v>
      </c>
      <c r="C30" s="26">
        <f>IF(Egreso[Código de barras]=0,"",INDEX(Stock[n°CC],MATCH(Egreso[Código de barras],Stock[Código de barras],0)))</f>
        <v>2106300005</v>
      </c>
      <c r="D30" s="26" t="str">
        <f>IF(Egreso[Código de barras]=0,"",INDEX(Stock[Cliente],MATCH(Egreso[Código de barras],Stock[Código de barras],0)))</f>
        <v>Empresa2</v>
      </c>
      <c r="E30" s="40">
        <f>IF(Egreso[Código de barras]=0,"",INDEX(Stock[Mes],MATCH(Egreso[Código de barras],Stock[Código de barras],0)))</f>
        <v>44348</v>
      </c>
      <c r="F30" s="27" t="str">
        <f>IF(Egreso[Código de barras]=0,"",INDEX(Stock[Detalle],MATCH(Egreso[Código de barras],Stock[Código de barras],0)))</f>
        <v>PF1</v>
      </c>
      <c r="G30" s="26" t="str">
        <f>IF(Egreso[Código de barras]=0,"",INDEX(Stock[Matriz],MATCH(Egreso[Código de barras],Stock[Código de barras],0)))</f>
        <v>Pozo Freático</v>
      </c>
    </row>
    <row r="31" spans="1:7" x14ac:dyDescent="0.25">
      <c r="A31" s="25" t="s">
        <v>139</v>
      </c>
      <c r="B31" s="25">
        <f t="shared" si="0"/>
        <v>1</v>
      </c>
      <c r="C31" s="26">
        <f>IF(Egreso[Código de barras]=0,"",INDEX(Stock[n°CC],MATCH(Egreso[Código de barras],Stock[Código de barras],0)))</f>
        <v>2106300006</v>
      </c>
      <c r="D31" s="26" t="str">
        <f>IF(Egreso[Código de barras]=0,"",INDEX(Stock[Cliente],MATCH(Egreso[Código de barras],Stock[Código de barras],0)))</f>
        <v>Empresa2</v>
      </c>
      <c r="E31" s="40">
        <f>IF(Egreso[Código de barras]=0,"",INDEX(Stock[Mes],MATCH(Egreso[Código de barras],Stock[Código de barras],0)))</f>
        <v>44348</v>
      </c>
      <c r="F31" s="27" t="str">
        <f>IF(Egreso[Código de barras]=0,"",INDEX(Stock[Detalle],MATCH(Egreso[Código de barras],Stock[Código de barras],0)))</f>
        <v>CISTERNA CRAMER</v>
      </c>
      <c r="G31" s="26" t="str">
        <f>IF(Egreso[Código de barras]=0,"",INDEX(Stock[Matriz],MATCH(Egreso[Código de barras],Stock[Código de barras],0)))</f>
        <v>Agua de Consumo</v>
      </c>
    </row>
    <row r="32" spans="1:7" x14ac:dyDescent="0.25">
      <c r="A32" s="25" t="s">
        <v>140</v>
      </c>
      <c r="B32" s="25">
        <f t="shared" si="0"/>
        <v>1</v>
      </c>
      <c r="C32" s="26">
        <f>IF(Egreso[Código de barras]=0,"",INDEX(Stock[n°CC],MATCH(Egreso[Código de barras],Stock[Código de barras],0)))</f>
        <v>2106300009</v>
      </c>
      <c r="D32" s="26" t="str">
        <f>IF(Egreso[Código de barras]=0,"",INDEX(Stock[Cliente],MATCH(Egreso[Código de barras],Stock[Código de barras],0)))</f>
        <v>Empresa2</v>
      </c>
      <c r="E32" s="40">
        <f>IF(Egreso[Código de barras]=0,"",INDEX(Stock[Mes],MATCH(Egreso[Código de barras],Stock[Código de barras],0)))</f>
        <v>44348</v>
      </c>
      <c r="F32" s="27" t="str">
        <f>IF(Egreso[Código de barras]=0,"",INDEX(Stock[Detalle],MATCH(Egreso[Código de barras],Stock[Código de barras],0)))</f>
        <v>CISTERNA CRAMER</v>
      </c>
      <c r="G32" s="26" t="str">
        <f>IF(Egreso[Código de barras]=0,"",INDEX(Stock[Matriz],MATCH(Egreso[Código de barras],Stock[Código de barras],0)))</f>
        <v>Agua de Consumo</v>
      </c>
    </row>
    <row r="33" spans="1:7" x14ac:dyDescent="0.25">
      <c r="A33" s="25" t="s">
        <v>141</v>
      </c>
      <c r="B33" s="25">
        <f t="shared" si="0"/>
        <v>1</v>
      </c>
      <c r="C33" s="26">
        <f>IF(Egreso[Código de barras]=0,"",INDEX(Stock[n°CC],MATCH(Egreso[Código de barras],Stock[Código de barras],0)))</f>
        <v>2106300007</v>
      </c>
      <c r="D33" s="26" t="str">
        <f>IF(Egreso[Código de barras]=0,"",INDEX(Stock[Cliente],MATCH(Egreso[Código de barras],Stock[Código de barras],0)))</f>
        <v>Empresa2</v>
      </c>
      <c r="E33" s="40">
        <f>IF(Egreso[Código de barras]=0,"",INDEX(Stock[Mes],MATCH(Egreso[Código de barras],Stock[Código de barras],0)))</f>
        <v>44348</v>
      </c>
      <c r="F33" s="27" t="str">
        <f>IF(Egreso[Código de barras]=0,"",INDEX(Stock[Detalle],MATCH(Egreso[Código de barras],Stock[Código de barras],0)))</f>
        <v>CISTERNA HUIDOBRO</v>
      </c>
      <c r="G33" s="26" t="str">
        <f>IF(Egreso[Código de barras]=0,"",INDEX(Stock[Matriz],MATCH(Egreso[Código de barras],Stock[Código de barras],0)))</f>
        <v>Agua de Consumo</v>
      </c>
    </row>
    <row r="34" spans="1:7" x14ac:dyDescent="0.25">
      <c r="A34" s="25" t="s">
        <v>142</v>
      </c>
      <c r="B34" s="25">
        <f t="shared" si="0"/>
        <v>1</v>
      </c>
      <c r="C34" s="26">
        <f>IF(Egreso[Código de barras]=0,"",INDEX(Stock[n°CC],MATCH(Egreso[Código de barras],Stock[Código de barras],0)))</f>
        <v>2106300010</v>
      </c>
      <c r="D34" s="26" t="str">
        <f>IF(Egreso[Código de barras]=0,"",INDEX(Stock[Cliente],MATCH(Egreso[Código de barras],Stock[Código de barras],0)))</f>
        <v>Empresa2</v>
      </c>
      <c r="E34" s="40">
        <f>IF(Egreso[Código de barras]=0,"",INDEX(Stock[Mes],MATCH(Egreso[Código de barras],Stock[Código de barras],0)))</f>
        <v>44348</v>
      </c>
      <c r="F34" s="27" t="str">
        <f>IF(Egreso[Código de barras]=0,"",INDEX(Stock[Detalle],MATCH(Egreso[Código de barras],Stock[Código de barras],0)))</f>
        <v>CISTERNA HUIDOBRO</v>
      </c>
      <c r="G34" s="26" t="str">
        <f>IF(Egreso[Código de barras]=0,"",INDEX(Stock[Matriz],MATCH(Egreso[Código de barras],Stock[Código de barras],0)))</f>
        <v>Agua de Consumo</v>
      </c>
    </row>
    <row r="35" spans="1:7" x14ac:dyDescent="0.25">
      <c r="A35" s="25" t="s">
        <v>143</v>
      </c>
      <c r="B35" s="25">
        <f t="shared" si="0"/>
        <v>1</v>
      </c>
      <c r="C35" s="26">
        <f>IF(Egreso[Código de barras]=0,"",INDEX(Stock[n°CC],MATCH(Egreso[Código de barras],Stock[Código de barras],0)))</f>
        <v>2106300008</v>
      </c>
      <c r="D35" s="26" t="str">
        <f>IF(Egreso[Código de barras]=0,"",INDEX(Stock[Cliente],MATCH(Egreso[Código de barras],Stock[Código de barras],0)))</f>
        <v>Empresa2</v>
      </c>
      <c r="E35" s="40">
        <f>IF(Egreso[Código de barras]=0,"",INDEX(Stock[Mes],MATCH(Egreso[Código de barras],Stock[Código de barras],0)))</f>
        <v>44348</v>
      </c>
      <c r="F35" s="27" t="str">
        <f>IF(Egreso[Código de barras]=0,"",INDEX(Stock[Detalle],MATCH(Egreso[Código de barras],Stock[Código de barras],0)))</f>
        <v>CISTERNA CONESA</v>
      </c>
      <c r="G35" s="26" t="str">
        <f>IF(Egreso[Código de barras]=0,"",INDEX(Stock[Matriz],MATCH(Egreso[Código de barras],Stock[Código de barras],0)))</f>
        <v>Agua de Consumo</v>
      </c>
    </row>
    <row r="36" spans="1:7" x14ac:dyDescent="0.25">
      <c r="A36" s="25" t="s">
        <v>144</v>
      </c>
      <c r="B36" s="25">
        <f t="shared" si="0"/>
        <v>1</v>
      </c>
      <c r="C36" s="26">
        <f>IF(Egreso[Código de barras]=0,"",INDEX(Stock[n°CC],MATCH(Egreso[Código de barras],Stock[Código de barras],0)))</f>
        <v>2106300011</v>
      </c>
      <c r="D36" s="26" t="str">
        <f>IF(Egreso[Código de barras]=0,"",INDEX(Stock[Cliente],MATCH(Egreso[Código de barras],Stock[Código de barras],0)))</f>
        <v>Empresa2</v>
      </c>
      <c r="E36" s="40">
        <f>IF(Egreso[Código de barras]=0,"",INDEX(Stock[Mes],MATCH(Egreso[Código de barras],Stock[Código de barras],0)))</f>
        <v>44348</v>
      </c>
      <c r="F36" s="27" t="str">
        <f>IF(Egreso[Código de barras]=0,"",INDEX(Stock[Detalle],MATCH(Egreso[Código de barras],Stock[Código de barras],0)))</f>
        <v>CISTERNA CONESA</v>
      </c>
      <c r="G36" s="26" t="str">
        <f>IF(Egreso[Código de barras]=0,"",INDEX(Stock[Matriz],MATCH(Egreso[Código de barras],Stock[Código de barras],0)))</f>
        <v>Agua de Consumo</v>
      </c>
    </row>
    <row r="37" spans="1:7" x14ac:dyDescent="0.25">
      <c r="A37" s="25" t="s">
        <v>145</v>
      </c>
      <c r="B37" s="25">
        <f t="shared" si="0"/>
        <v>1</v>
      </c>
      <c r="C37" s="26">
        <f>IF(Egreso[Código de barras]=0,"",INDEX(Stock[n°CC],MATCH(Egreso[Código de barras],Stock[Código de barras],0)))</f>
        <v>2106300006</v>
      </c>
      <c r="D37" s="26" t="str">
        <f>IF(Egreso[Código de barras]=0,"",INDEX(Stock[Cliente],MATCH(Egreso[Código de barras],Stock[Código de barras],0)))</f>
        <v>Empresa2</v>
      </c>
      <c r="E37" s="40">
        <f>IF(Egreso[Código de barras]=0,"",INDEX(Stock[Mes],MATCH(Egreso[Código de barras],Stock[Código de barras],0)))</f>
        <v>44348</v>
      </c>
      <c r="F37" s="27" t="str">
        <f>IF(Egreso[Código de barras]=0,"",INDEX(Stock[Detalle],MATCH(Egreso[Código de barras],Stock[Código de barras],0)))</f>
        <v>CISTERNA CRAMER</v>
      </c>
      <c r="G37" s="26" t="str">
        <f>IF(Egreso[Código de barras]=0,"",INDEX(Stock[Matriz],MATCH(Egreso[Código de barras],Stock[Código de barras],0)))</f>
        <v>Agua de Consumo</v>
      </c>
    </row>
    <row r="38" spans="1:7" x14ac:dyDescent="0.25">
      <c r="A38" s="25" t="s">
        <v>146</v>
      </c>
      <c r="B38" s="25">
        <f t="shared" si="0"/>
        <v>1</v>
      </c>
      <c r="C38" s="26">
        <f>IF(Egreso[Código de barras]=0,"",INDEX(Stock[n°CC],MATCH(Egreso[Código de barras],Stock[Código de barras],0)))</f>
        <v>2106300006</v>
      </c>
      <c r="D38" s="26" t="str">
        <f>IF(Egreso[Código de barras]=0,"",INDEX(Stock[Cliente],MATCH(Egreso[Código de barras],Stock[Código de barras],0)))</f>
        <v>Empresa2</v>
      </c>
      <c r="E38" s="40">
        <f>IF(Egreso[Código de barras]=0,"",INDEX(Stock[Mes],MATCH(Egreso[Código de barras],Stock[Código de barras],0)))</f>
        <v>44348</v>
      </c>
      <c r="F38" s="27" t="str">
        <f>IF(Egreso[Código de barras]=0,"",INDEX(Stock[Detalle],MATCH(Egreso[Código de barras],Stock[Código de barras],0)))</f>
        <v>CISTERNA CRAMER</v>
      </c>
      <c r="G38" s="26" t="str">
        <f>IF(Egreso[Código de barras]=0,"",INDEX(Stock[Matriz],MATCH(Egreso[Código de barras],Stock[Código de barras],0)))</f>
        <v>Agua de Consumo</v>
      </c>
    </row>
    <row r="39" spans="1:7" x14ac:dyDescent="0.25">
      <c r="A39" s="25" t="s">
        <v>147</v>
      </c>
      <c r="B39" s="25">
        <f t="shared" si="0"/>
        <v>1</v>
      </c>
      <c r="C39" s="26">
        <f>IF(Egreso[Código de barras]=0,"",INDEX(Stock[n°CC],MATCH(Egreso[Código de barras],Stock[Código de barras],0)))</f>
        <v>2106300007</v>
      </c>
      <c r="D39" s="26" t="str">
        <f>IF(Egreso[Código de barras]=0,"",INDEX(Stock[Cliente],MATCH(Egreso[Código de barras],Stock[Código de barras],0)))</f>
        <v>Empresa2</v>
      </c>
      <c r="E39" s="40">
        <f>IF(Egreso[Código de barras]=0,"",INDEX(Stock[Mes],MATCH(Egreso[Código de barras],Stock[Código de barras],0)))</f>
        <v>44348</v>
      </c>
      <c r="F39" s="27" t="str">
        <f>IF(Egreso[Código de barras]=0,"",INDEX(Stock[Detalle],MATCH(Egreso[Código de barras],Stock[Código de barras],0)))</f>
        <v>CISTERNA HUIDOBRO</v>
      </c>
      <c r="G39" s="26" t="str">
        <f>IF(Egreso[Código de barras]=0,"",INDEX(Stock[Matriz],MATCH(Egreso[Código de barras],Stock[Código de barras],0)))</f>
        <v>Agua de Consumo</v>
      </c>
    </row>
    <row r="40" spans="1:7" x14ac:dyDescent="0.25">
      <c r="A40" s="25" t="s">
        <v>148</v>
      </c>
      <c r="B40" s="25">
        <f t="shared" si="0"/>
        <v>1</v>
      </c>
      <c r="C40" s="26">
        <f>IF(Egreso[Código de barras]=0,"",INDEX(Stock[n°CC],MATCH(Egreso[Código de barras],Stock[Código de barras],0)))</f>
        <v>2106300007</v>
      </c>
      <c r="D40" s="26" t="str">
        <f>IF(Egreso[Código de barras]=0,"",INDEX(Stock[Cliente],MATCH(Egreso[Código de barras],Stock[Código de barras],0)))</f>
        <v>Empresa2</v>
      </c>
      <c r="E40" s="40">
        <f>IF(Egreso[Código de barras]=0,"",INDEX(Stock[Mes],MATCH(Egreso[Código de barras],Stock[Código de barras],0)))</f>
        <v>44348</v>
      </c>
      <c r="F40" s="27" t="str">
        <f>IF(Egreso[Código de barras]=0,"",INDEX(Stock[Detalle],MATCH(Egreso[Código de barras],Stock[Código de barras],0)))</f>
        <v>CISTERNA HUIDOBRO</v>
      </c>
      <c r="G40" s="26" t="str">
        <f>IF(Egreso[Código de barras]=0,"",INDEX(Stock[Matriz],MATCH(Egreso[Código de barras],Stock[Código de barras],0)))</f>
        <v>Agua de Consumo</v>
      </c>
    </row>
    <row r="41" spans="1:7" x14ac:dyDescent="0.25">
      <c r="A41" s="25" t="s">
        <v>149</v>
      </c>
      <c r="B41" s="25">
        <f t="shared" si="0"/>
        <v>1</v>
      </c>
      <c r="C41" s="26">
        <f>IF(Egreso[Código de barras]=0,"",INDEX(Stock[n°CC],MATCH(Egreso[Código de barras],Stock[Código de barras],0)))</f>
        <v>2106300008</v>
      </c>
      <c r="D41" s="26" t="str">
        <f>IF(Egreso[Código de barras]=0,"",INDEX(Stock[Cliente],MATCH(Egreso[Código de barras],Stock[Código de barras],0)))</f>
        <v>Empresa2</v>
      </c>
      <c r="E41" s="40">
        <f>IF(Egreso[Código de barras]=0,"",INDEX(Stock[Mes],MATCH(Egreso[Código de barras],Stock[Código de barras],0)))</f>
        <v>44348</v>
      </c>
      <c r="F41" s="27" t="str">
        <f>IF(Egreso[Código de barras]=0,"",INDEX(Stock[Detalle],MATCH(Egreso[Código de barras],Stock[Código de barras],0)))</f>
        <v>CISTERNA CONESA</v>
      </c>
      <c r="G41" s="26" t="str">
        <f>IF(Egreso[Código de barras]=0,"",INDEX(Stock[Matriz],MATCH(Egreso[Código de barras],Stock[Código de barras],0)))</f>
        <v>Agua de Consumo</v>
      </c>
    </row>
    <row r="42" spans="1:7" x14ac:dyDescent="0.25">
      <c r="A42" s="25" t="s">
        <v>150</v>
      </c>
      <c r="B42" s="25">
        <f t="shared" si="0"/>
        <v>1</v>
      </c>
      <c r="C42" s="26">
        <f>IF(Egreso[Código de barras]=0,"",INDEX(Stock[n°CC],MATCH(Egreso[Código de barras],Stock[Código de barras],0)))</f>
        <v>2106300008</v>
      </c>
      <c r="D42" s="26" t="str">
        <f>IF(Egreso[Código de barras]=0,"",INDEX(Stock[Cliente],MATCH(Egreso[Código de barras],Stock[Código de barras],0)))</f>
        <v>Empresa2</v>
      </c>
      <c r="E42" s="40">
        <f>IF(Egreso[Código de barras]=0,"",INDEX(Stock[Mes],MATCH(Egreso[Código de barras],Stock[Código de barras],0)))</f>
        <v>44348</v>
      </c>
      <c r="F42" s="27" t="str">
        <f>IF(Egreso[Código de barras]=0,"",INDEX(Stock[Detalle],MATCH(Egreso[Código de barras],Stock[Código de barras],0)))</f>
        <v>CISTERNA CONESA</v>
      </c>
      <c r="G42" s="26" t="str">
        <f>IF(Egreso[Código de barras]=0,"",INDEX(Stock[Matriz],MATCH(Egreso[Código de barras],Stock[Código de barras],0)))</f>
        <v>Agua de Consumo</v>
      </c>
    </row>
    <row r="43" spans="1:7" x14ac:dyDescent="0.25">
      <c r="A43" s="25" t="s">
        <v>48</v>
      </c>
      <c r="B43" s="25">
        <f t="shared" si="0"/>
        <v>1</v>
      </c>
      <c r="C43" s="26" t="str">
        <f>IF(Egreso[Código de barras]=0,"",INDEX(Stock[n°CC],MATCH(Egreso[Código de barras],Stock[Código de barras],0)))</f>
        <v>vacio</v>
      </c>
      <c r="D43" s="26">
        <f>IF(Egreso[Código de barras]=0,"",INDEX(Stock[Cliente],MATCH(Egreso[Código de barras],Stock[Código de barras],0)))</f>
        <v>0</v>
      </c>
      <c r="E43" s="40">
        <f>IF(Egreso[Código de barras]=0,"",INDEX(Stock[Mes],MATCH(Egreso[Código de barras],Stock[Código de barras],0)))</f>
        <v>0</v>
      </c>
      <c r="F43" s="27">
        <f>IF(Egreso[Código de barras]=0,"",INDEX(Stock[Detalle],MATCH(Egreso[Código de barras],Stock[Código de barras],0)))</f>
        <v>0</v>
      </c>
      <c r="G43" s="26">
        <f>IF(Egreso[Código de barras]=0,"",INDEX(Stock[Matriz],MATCH(Egreso[Código de barras],Stock[Código de barras],0)))</f>
        <v>0</v>
      </c>
    </row>
    <row r="44" spans="1:7" x14ac:dyDescent="0.25">
      <c r="A44" s="25" t="s">
        <v>158</v>
      </c>
      <c r="B44" s="25">
        <f t="shared" si="0"/>
        <v>1</v>
      </c>
      <c r="C44" s="26">
        <f>IF(Egreso[Código de barras]=0,"",INDEX(Stock[n°CC],MATCH(Egreso[Código de barras],Stock[Código de barras],0)))</f>
        <v>2107020002</v>
      </c>
      <c r="D44" s="26" t="str">
        <f>IF(Egreso[Código de barras]=0,"",INDEX(Stock[Cliente],MATCH(Egreso[Código de barras],Stock[Código de barras],0)))</f>
        <v>Empresa3</v>
      </c>
      <c r="E44" s="40">
        <f>IF(Egreso[Código de barras]=0,"",INDEX(Stock[Mes],MATCH(Egreso[Código de barras],Stock[Código de barras],0)))</f>
        <v>44378</v>
      </c>
      <c r="F44" s="27" t="str">
        <f>IF(Egreso[Código de barras]=0,"",INDEX(Stock[Detalle],MATCH(Egreso[Código de barras],Stock[Código de barras],0)))</f>
        <v>BOMBA</v>
      </c>
      <c r="G44" s="26" t="str">
        <f>IF(Egreso[Código de barras]=0,"",INDEX(Stock[Matriz],MATCH(Egreso[Código de barras],Stock[Código de barras],0)))</f>
        <v>Agua de Consumo</v>
      </c>
    </row>
    <row r="45" spans="1:7" x14ac:dyDescent="0.25">
      <c r="A45" s="25" t="s">
        <v>159</v>
      </c>
      <c r="B45" s="25">
        <f t="shared" si="0"/>
        <v>1</v>
      </c>
      <c r="C45" s="26">
        <f>IF(Egreso[Código de barras]=0,"",INDEX(Stock[n°CC],MATCH(Egreso[Código de barras],Stock[Código de barras],0)))</f>
        <v>2107020001</v>
      </c>
      <c r="D45" s="26" t="str">
        <f>IF(Egreso[Código de barras]=0,"",INDEX(Stock[Cliente],MATCH(Egreso[Código de barras],Stock[Código de barras],0)))</f>
        <v>Empresa3</v>
      </c>
      <c r="E45" s="40">
        <f>IF(Egreso[Código de barras]=0,"",INDEX(Stock[Mes],MATCH(Egreso[Código de barras],Stock[Código de barras],0)))</f>
        <v>44378</v>
      </c>
      <c r="F45" s="27" t="str">
        <f>IF(Egreso[Código de barras]=0,"",INDEX(Stock[Detalle],MATCH(Egreso[Código de barras],Stock[Código de barras],0)))</f>
        <v>BOMBA</v>
      </c>
      <c r="G45" s="26" t="str">
        <f>IF(Egreso[Código de barras]=0,"",INDEX(Stock[Matriz],MATCH(Egreso[Código de barras],Stock[Código de barras],0)))</f>
        <v>Agua de Consumo</v>
      </c>
    </row>
    <row r="46" spans="1:7" x14ac:dyDescent="0.25">
      <c r="A46" s="25" t="s">
        <v>48</v>
      </c>
      <c r="B46" s="25">
        <f t="shared" si="0"/>
        <v>1</v>
      </c>
      <c r="C46" s="26" t="str">
        <f>IF(Egreso[Código de barras]=0,"",INDEX(Stock[n°CC],MATCH(Egreso[Código de barras],Stock[Código de barras],0)))</f>
        <v>vacio</v>
      </c>
      <c r="D46" s="26">
        <f>IF(Egreso[Código de barras]=0,"",INDEX(Stock[Cliente],MATCH(Egreso[Código de barras],Stock[Código de barras],0)))</f>
        <v>0</v>
      </c>
      <c r="E46" s="40">
        <f>IF(Egreso[Código de barras]=0,"",INDEX(Stock[Mes],MATCH(Egreso[Código de barras],Stock[Código de barras],0)))</f>
        <v>0</v>
      </c>
      <c r="F46" s="27">
        <f>IF(Egreso[Código de barras]=0,"",INDEX(Stock[Detalle],MATCH(Egreso[Código de barras],Stock[Código de barras],0)))</f>
        <v>0</v>
      </c>
      <c r="G46" s="26">
        <f>IF(Egreso[Código de barras]=0,"",INDEX(Stock[Matriz],MATCH(Egreso[Código de barras],Stock[Código de barras],0)))</f>
        <v>0</v>
      </c>
    </row>
    <row r="47" spans="1:7" x14ac:dyDescent="0.25">
      <c r="A47" s="25" t="s">
        <v>160</v>
      </c>
      <c r="B47" s="25">
        <f t="shared" si="0"/>
        <v>1</v>
      </c>
      <c r="C47" s="26">
        <f>IF(Egreso[Código de barras]=0,"",INDEX(Stock[n°CC],MATCH(Egreso[Código de barras],Stock[Código de barras],0)))</f>
        <v>2107020003</v>
      </c>
      <c r="D47" s="26" t="str">
        <f>IF(Egreso[Código de barras]=0,"",INDEX(Stock[Cliente],MATCH(Egreso[Código de barras],Stock[Código de barras],0)))</f>
        <v>Empresa10</v>
      </c>
      <c r="E47" s="40">
        <f>IF(Egreso[Código de barras]=0,"",INDEX(Stock[Mes],MATCH(Egreso[Código de barras],Stock[Código de barras],0)))</f>
        <v>44378</v>
      </c>
      <c r="F47" s="27">
        <f>IF(Egreso[Código de barras]=0,"",INDEX(Stock[Detalle],MATCH(Egreso[Código de barras],Stock[Código de barras],0)))</f>
        <v>0</v>
      </c>
      <c r="G47" s="26" t="str">
        <f>IF(Egreso[Código de barras]=0,"",INDEX(Stock[Matriz],MATCH(Egreso[Código de barras],Stock[Código de barras],0)))</f>
        <v>Agua de Consumo</v>
      </c>
    </row>
    <row r="48" spans="1:7" x14ac:dyDescent="0.25">
      <c r="A48" s="25" t="s">
        <v>161</v>
      </c>
      <c r="B48" s="25">
        <f t="shared" si="0"/>
        <v>1</v>
      </c>
      <c r="C48" s="26">
        <f>IF(Egreso[Código de barras]=0,"",INDEX(Stock[n°CC],MATCH(Egreso[Código de barras],Stock[Código de barras],0)))</f>
        <v>2107020003</v>
      </c>
      <c r="D48" s="26" t="str">
        <f>IF(Egreso[Código de barras]=0,"",INDEX(Stock[Cliente],MATCH(Egreso[Código de barras],Stock[Código de barras],0)))</f>
        <v>Empresa10</v>
      </c>
      <c r="E48" s="40">
        <f>IF(Egreso[Código de barras]=0,"",INDEX(Stock[Mes],MATCH(Egreso[Código de barras],Stock[Código de barras],0)))</f>
        <v>44378</v>
      </c>
      <c r="F48" s="27">
        <f>IF(Egreso[Código de barras]=0,"",INDEX(Stock[Detalle],MATCH(Egreso[Código de barras],Stock[Código de barras],0)))</f>
        <v>0</v>
      </c>
      <c r="G48" s="26" t="str">
        <f>IF(Egreso[Código de barras]=0,"",INDEX(Stock[Matriz],MATCH(Egreso[Código de barras],Stock[Código de barras],0)))</f>
        <v>Agua de Consumo</v>
      </c>
    </row>
    <row r="49" spans="1:7" x14ac:dyDescent="0.25">
      <c r="A49" s="25" t="s">
        <v>162</v>
      </c>
      <c r="B49" s="25">
        <f t="shared" si="0"/>
        <v>1</v>
      </c>
      <c r="C49" s="26">
        <f>IF(Egreso[Código de barras]=0,"",INDEX(Stock[n°CC],MATCH(Egreso[Código de barras],Stock[Código de barras],0)))</f>
        <v>2107020003</v>
      </c>
      <c r="D49" s="26" t="str">
        <f>IF(Egreso[Código de barras]=0,"",INDEX(Stock[Cliente],MATCH(Egreso[Código de barras],Stock[Código de barras],0)))</f>
        <v>Empresa10</v>
      </c>
      <c r="E49" s="40">
        <f>IF(Egreso[Código de barras]=0,"",INDEX(Stock[Mes],MATCH(Egreso[Código de barras],Stock[Código de barras],0)))</f>
        <v>44378</v>
      </c>
      <c r="F49" s="27">
        <f>IF(Egreso[Código de barras]=0,"",INDEX(Stock[Detalle],MATCH(Egreso[Código de barras],Stock[Código de barras],0)))</f>
        <v>0</v>
      </c>
      <c r="G49" s="26" t="str">
        <f>IF(Egreso[Código de barras]=0,"",INDEX(Stock[Matriz],MATCH(Egreso[Código de barras],Stock[Código de barras],0)))</f>
        <v>Agua de Consumo</v>
      </c>
    </row>
    <row r="50" spans="1:7" x14ac:dyDescent="0.25">
      <c r="A50" s="25" t="s">
        <v>163</v>
      </c>
      <c r="B50" s="25">
        <f t="shared" si="0"/>
        <v>1</v>
      </c>
      <c r="C50" s="26">
        <f>IF(Egreso[Código de barras]=0,"",INDEX(Stock[n°CC],MATCH(Egreso[Código de barras],Stock[Código de barras],0)))</f>
        <v>2107020004</v>
      </c>
      <c r="D50" s="26" t="str">
        <f>IF(Egreso[Código de barras]=0,"",INDEX(Stock[Cliente],MATCH(Egreso[Código de barras],Stock[Código de barras],0)))</f>
        <v>Empresa9</v>
      </c>
      <c r="E50" s="40">
        <f>IF(Egreso[Código de barras]=0,"",INDEX(Stock[Mes],MATCH(Egreso[Código de barras],Stock[Código de barras],0)))</f>
        <v>44378</v>
      </c>
      <c r="F50" s="27">
        <f>IF(Egreso[Código de barras]=0,"",INDEX(Stock[Detalle],MATCH(Egreso[Código de barras],Stock[Código de barras],0)))</f>
        <v>0</v>
      </c>
      <c r="G50" s="26" t="str">
        <f>IF(Egreso[Código de barras]=0,"",INDEX(Stock[Matriz],MATCH(Egreso[Código de barras],Stock[Código de barras],0)))</f>
        <v>Agua de Consumo</v>
      </c>
    </row>
    <row r="51" spans="1:7" x14ac:dyDescent="0.25">
      <c r="A51" s="25" t="s">
        <v>164</v>
      </c>
      <c r="B51" s="25">
        <f t="shared" si="0"/>
        <v>1</v>
      </c>
      <c r="C51" s="26">
        <f>IF(Egreso[Código de barras]=0,"",INDEX(Stock[n°CC],MATCH(Egreso[Código de barras],Stock[Código de barras],0)))</f>
        <v>2107020004</v>
      </c>
      <c r="D51" s="26" t="str">
        <f>IF(Egreso[Código de barras]=0,"",INDEX(Stock[Cliente],MATCH(Egreso[Código de barras],Stock[Código de barras],0)))</f>
        <v>Empresa9</v>
      </c>
      <c r="E51" s="40">
        <f>IF(Egreso[Código de barras]=0,"",INDEX(Stock[Mes],MATCH(Egreso[Código de barras],Stock[Código de barras],0)))</f>
        <v>44378</v>
      </c>
      <c r="F51" s="27">
        <f>IF(Egreso[Código de barras]=0,"",INDEX(Stock[Detalle],MATCH(Egreso[Código de barras],Stock[Código de barras],0)))</f>
        <v>0</v>
      </c>
      <c r="G51" s="26" t="str">
        <f>IF(Egreso[Código de barras]=0,"",INDEX(Stock[Matriz],MATCH(Egreso[Código de barras],Stock[Código de barras],0)))</f>
        <v>Agua de Consumo</v>
      </c>
    </row>
    <row r="52" spans="1:7" x14ac:dyDescent="0.25">
      <c r="A52" s="25" t="s">
        <v>165</v>
      </c>
      <c r="B52" s="25">
        <f t="shared" si="0"/>
        <v>1</v>
      </c>
      <c r="C52" s="26">
        <f>IF(Egreso[Código de barras]=0,"",INDEX(Stock[n°CC],MATCH(Egreso[Código de barras],Stock[Código de barras],0)))</f>
        <v>2107020005</v>
      </c>
      <c r="D52" s="26" t="str">
        <f>IF(Egreso[Código de barras]=0,"",INDEX(Stock[Cliente],MATCH(Egreso[Código de barras],Stock[Código de barras],0)))</f>
        <v>Empresa8</v>
      </c>
      <c r="E52" s="40">
        <f>IF(Egreso[Código de barras]=0,"",INDEX(Stock[Mes],MATCH(Egreso[Código de barras],Stock[Código de barras],0)))</f>
        <v>44378</v>
      </c>
      <c r="F52" s="27">
        <f>IF(Egreso[Código de barras]=0,"",INDEX(Stock[Detalle],MATCH(Egreso[Código de barras],Stock[Código de barras],0)))</f>
        <v>0</v>
      </c>
      <c r="G52" s="26" t="str">
        <f>IF(Egreso[Código de barras]=0,"",INDEX(Stock[Matriz],MATCH(Egreso[Código de barras],Stock[Código de barras],0)))</f>
        <v>Agua de Consumo</v>
      </c>
    </row>
    <row r="53" spans="1:7" x14ac:dyDescent="0.25">
      <c r="A53" s="25" t="s">
        <v>166</v>
      </c>
      <c r="B53" s="25">
        <f t="shared" si="0"/>
        <v>1</v>
      </c>
      <c r="C53" s="26">
        <f>IF(Egreso[Código de barras]=0,"",INDEX(Stock[n°CC],MATCH(Egreso[Código de barras],Stock[Código de barras],0)))</f>
        <v>2107020005</v>
      </c>
      <c r="D53" s="26" t="str">
        <f>IF(Egreso[Código de barras]=0,"",INDEX(Stock[Cliente],MATCH(Egreso[Código de barras],Stock[Código de barras],0)))</f>
        <v>Empresa8</v>
      </c>
      <c r="E53" s="40">
        <f>IF(Egreso[Código de barras]=0,"",INDEX(Stock[Mes],MATCH(Egreso[Código de barras],Stock[Código de barras],0)))</f>
        <v>44378</v>
      </c>
      <c r="F53" s="27">
        <f>IF(Egreso[Código de barras]=0,"",INDEX(Stock[Detalle],MATCH(Egreso[Código de barras],Stock[Código de barras],0)))</f>
        <v>0</v>
      </c>
      <c r="G53" s="26" t="str">
        <f>IF(Egreso[Código de barras]=0,"",INDEX(Stock[Matriz],MATCH(Egreso[Código de barras],Stock[Código de barras],0)))</f>
        <v>Agua de Consumo</v>
      </c>
    </row>
    <row r="54" spans="1:7" x14ac:dyDescent="0.25">
      <c r="A54" s="25" t="s">
        <v>167</v>
      </c>
      <c r="B54" s="25">
        <f t="shared" si="0"/>
        <v>1</v>
      </c>
      <c r="C54" s="26">
        <f>IF(Egreso[Código de barras]=0,"",INDEX(Stock[n°CC],MATCH(Egreso[Código de barras],Stock[Código de barras],0)))</f>
        <v>2107020005</v>
      </c>
      <c r="D54" s="26" t="str">
        <f>IF(Egreso[Código de barras]=0,"",INDEX(Stock[Cliente],MATCH(Egreso[Código de barras],Stock[Código de barras],0)))</f>
        <v>Empresa8</v>
      </c>
      <c r="E54" s="40">
        <f>IF(Egreso[Código de barras]=0,"",INDEX(Stock[Mes],MATCH(Egreso[Código de barras],Stock[Código de barras],0)))</f>
        <v>44378</v>
      </c>
      <c r="F54" s="27">
        <f>IF(Egreso[Código de barras]=0,"",INDEX(Stock[Detalle],MATCH(Egreso[Código de barras],Stock[Código de barras],0)))</f>
        <v>0</v>
      </c>
      <c r="G54" s="26" t="str">
        <f>IF(Egreso[Código de barras]=0,"",INDEX(Stock[Matriz],MATCH(Egreso[Código de barras],Stock[Código de barras],0)))</f>
        <v>Agua de Consumo</v>
      </c>
    </row>
    <row r="55" spans="1:7" x14ac:dyDescent="0.25">
      <c r="A55" s="25" t="s">
        <v>168</v>
      </c>
      <c r="B55" s="25">
        <f t="shared" si="0"/>
        <v>1</v>
      </c>
      <c r="C55" s="26">
        <f>IF(Egreso[Código de barras]=0,"",INDEX(Stock[n°CC],MATCH(Egreso[Código de barras],Stock[Código de barras],0)))</f>
        <v>2107020006</v>
      </c>
      <c r="D55" s="26" t="str">
        <f>IF(Egreso[Código de barras]=0,"",INDEX(Stock[Cliente],MATCH(Egreso[Código de barras],Stock[Código de barras],0)))</f>
        <v>Empresa8</v>
      </c>
      <c r="E55" s="40">
        <f>IF(Egreso[Código de barras]=0,"",INDEX(Stock[Mes],MATCH(Egreso[Código de barras],Stock[Código de barras],0)))</f>
        <v>44378</v>
      </c>
      <c r="F55" s="27" t="str">
        <f>IF(Egreso[Código de barras]=0,"",INDEX(Stock[Detalle],MATCH(Egreso[Código de barras],Stock[Código de barras],0)))</f>
        <v>CTMA</v>
      </c>
      <c r="G55" s="26" t="str">
        <f>IF(Egreso[Código de barras]=0,"",INDEX(Stock[Matriz],MATCH(Egreso[Código de barras],Stock[Código de barras],0)))</f>
        <v>Efluente Líquido</v>
      </c>
    </row>
    <row r="56" spans="1:7" x14ac:dyDescent="0.25">
      <c r="A56" s="25" t="s">
        <v>169</v>
      </c>
      <c r="B56" s="25">
        <f t="shared" si="0"/>
        <v>1</v>
      </c>
      <c r="C56" s="26">
        <f>IF(Egreso[Código de barras]=0,"",INDEX(Stock[n°CC],MATCH(Egreso[Código de barras],Stock[Código de barras],0)))</f>
        <v>2107020003</v>
      </c>
      <c r="D56" s="26" t="str">
        <f>IF(Egreso[Código de barras]=0,"",INDEX(Stock[Cliente],MATCH(Egreso[Código de barras],Stock[Código de barras],0)))</f>
        <v>Empresa10</v>
      </c>
      <c r="E56" s="40">
        <f>IF(Egreso[Código de barras]=0,"",INDEX(Stock[Mes],MATCH(Egreso[Código de barras],Stock[Código de barras],0)))</f>
        <v>44378</v>
      </c>
      <c r="F56" s="27">
        <f>IF(Egreso[Código de barras]=0,"",INDEX(Stock[Detalle],MATCH(Egreso[Código de barras],Stock[Código de barras],0)))</f>
        <v>0</v>
      </c>
      <c r="G56" s="26" t="str">
        <f>IF(Egreso[Código de barras]=0,"",INDEX(Stock[Matriz],MATCH(Egreso[Código de barras],Stock[Código de barras],0)))</f>
        <v>Agua de Consumo</v>
      </c>
    </row>
    <row r="57" spans="1:7" x14ac:dyDescent="0.25">
      <c r="A57" s="25" t="s">
        <v>170</v>
      </c>
      <c r="B57" s="25">
        <f t="shared" si="0"/>
        <v>1</v>
      </c>
      <c r="C57" s="26">
        <f>IF(Egreso[Código de barras]=0,"",INDEX(Stock[n°CC],MATCH(Egreso[Código de barras],Stock[Código de barras],0)))</f>
        <v>2107020003</v>
      </c>
      <c r="D57" s="26" t="str">
        <f>IF(Egreso[Código de barras]=0,"",INDEX(Stock[Cliente],MATCH(Egreso[Código de barras],Stock[Código de barras],0)))</f>
        <v>Empresa10</v>
      </c>
      <c r="E57" s="40">
        <f>IF(Egreso[Código de barras]=0,"",INDEX(Stock[Mes],MATCH(Egreso[Código de barras],Stock[Código de barras],0)))</f>
        <v>44378</v>
      </c>
      <c r="F57" s="27">
        <f>IF(Egreso[Código de barras]=0,"",INDEX(Stock[Detalle],MATCH(Egreso[Código de barras],Stock[Código de barras],0)))</f>
        <v>0</v>
      </c>
      <c r="G57" s="26" t="str">
        <f>IF(Egreso[Código de barras]=0,"",INDEX(Stock[Matriz],MATCH(Egreso[Código de barras],Stock[Código de barras],0)))</f>
        <v>Agua de Consumo</v>
      </c>
    </row>
    <row r="58" spans="1:7" x14ac:dyDescent="0.25">
      <c r="A58" s="25" t="s">
        <v>171</v>
      </c>
      <c r="B58" s="25">
        <f t="shared" ref="B58:B121" si="1">IF(A58=0,"",1)</f>
        <v>1</v>
      </c>
      <c r="C58" s="26">
        <f>IF(Egreso[Código de barras]=0,"",INDEX(Stock[n°CC],MATCH(Egreso[Código de barras],Stock[Código de barras],0)))</f>
        <v>2107020004</v>
      </c>
      <c r="D58" s="26" t="str">
        <f>IF(Egreso[Código de barras]=0,"",INDEX(Stock[Cliente],MATCH(Egreso[Código de barras],Stock[Código de barras],0)))</f>
        <v>Empresa9</v>
      </c>
      <c r="E58" s="40">
        <f>IF(Egreso[Código de barras]=0,"",INDEX(Stock[Mes],MATCH(Egreso[Código de barras],Stock[Código de barras],0)))</f>
        <v>44378</v>
      </c>
      <c r="F58" s="27">
        <f>IF(Egreso[Código de barras]=0,"",INDEX(Stock[Detalle],MATCH(Egreso[Código de barras],Stock[Código de barras],0)))</f>
        <v>0</v>
      </c>
      <c r="G58" s="26" t="str">
        <f>IF(Egreso[Código de barras]=0,"",INDEX(Stock[Matriz],MATCH(Egreso[Código de barras],Stock[Código de barras],0)))</f>
        <v>Agua de Consumo</v>
      </c>
    </row>
    <row r="59" spans="1:7" x14ac:dyDescent="0.25">
      <c r="A59" s="25" t="s">
        <v>172</v>
      </c>
      <c r="B59" s="25">
        <f t="shared" si="1"/>
        <v>1</v>
      </c>
      <c r="C59" s="26">
        <f>IF(Egreso[Código de barras]=0,"",INDEX(Stock[n°CC],MATCH(Egreso[Código de barras],Stock[Código de barras],0)))</f>
        <v>2107020004</v>
      </c>
      <c r="D59" s="26" t="str">
        <f>IF(Egreso[Código de barras]=0,"",INDEX(Stock[Cliente],MATCH(Egreso[Código de barras],Stock[Código de barras],0)))</f>
        <v>Empresa9</v>
      </c>
      <c r="E59" s="40">
        <f>IF(Egreso[Código de barras]=0,"",INDEX(Stock[Mes],MATCH(Egreso[Código de barras],Stock[Código de barras],0)))</f>
        <v>44378</v>
      </c>
      <c r="F59" s="27">
        <f>IF(Egreso[Código de barras]=0,"",INDEX(Stock[Detalle],MATCH(Egreso[Código de barras],Stock[Código de barras],0)))</f>
        <v>0</v>
      </c>
      <c r="G59" s="26" t="str">
        <f>IF(Egreso[Código de barras]=0,"",INDEX(Stock[Matriz],MATCH(Egreso[Código de barras],Stock[Código de barras],0)))</f>
        <v>Agua de Consumo</v>
      </c>
    </row>
    <row r="60" spans="1:7" x14ac:dyDescent="0.25">
      <c r="A60" s="25" t="s">
        <v>173</v>
      </c>
      <c r="B60" s="25">
        <f t="shared" si="1"/>
        <v>1</v>
      </c>
      <c r="C60" s="26">
        <f>IF(Egreso[Código de barras]=0,"",INDEX(Stock[n°CC],MATCH(Egreso[Código de barras],Stock[Código de barras],0)))</f>
        <v>2107020004</v>
      </c>
      <c r="D60" s="26" t="str">
        <f>IF(Egreso[Código de barras]=0,"",INDEX(Stock[Cliente],MATCH(Egreso[Código de barras],Stock[Código de barras],0)))</f>
        <v>Empresa9</v>
      </c>
      <c r="E60" s="40">
        <f>IF(Egreso[Código de barras]=0,"",INDEX(Stock[Mes],MATCH(Egreso[Código de barras],Stock[Código de barras],0)))</f>
        <v>44378</v>
      </c>
      <c r="F60" s="27">
        <f>IF(Egreso[Código de barras]=0,"",INDEX(Stock[Detalle],MATCH(Egreso[Código de barras],Stock[Código de barras],0)))</f>
        <v>0</v>
      </c>
      <c r="G60" s="26" t="str">
        <f>IF(Egreso[Código de barras]=0,"",INDEX(Stock[Matriz],MATCH(Egreso[Código de barras],Stock[Código de barras],0)))</f>
        <v>Agua de Consumo</v>
      </c>
    </row>
    <row r="61" spans="1:7" x14ac:dyDescent="0.25">
      <c r="A61" s="25" t="s">
        <v>174</v>
      </c>
      <c r="B61" s="25">
        <f t="shared" si="1"/>
        <v>1</v>
      </c>
      <c r="C61" s="26">
        <f>IF(Egreso[Código de barras]=0,"",INDEX(Stock[n°CC],MATCH(Egreso[Código de barras],Stock[Código de barras],0)))</f>
        <v>2107020005</v>
      </c>
      <c r="D61" s="26" t="str">
        <f>IF(Egreso[Código de barras]=0,"",INDEX(Stock[Cliente],MATCH(Egreso[Código de barras],Stock[Código de barras],0)))</f>
        <v>Empresa8</v>
      </c>
      <c r="E61" s="40">
        <f>IF(Egreso[Código de barras]=0,"",INDEX(Stock[Mes],MATCH(Egreso[Código de barras],Stock[Código de barras],0)))</f>
        <v>44378</v>
      </c>
      <c r="F61" s="27">
        <f>IF(Egreso[Código de barras]=0,"",INDEX(Stock[Detalle],MATCH(Egreso[Código de barras],Stock[Código de barras],0)))</f>
        <v>0</v>
      </c>
      <c r="G61" s="26" t="str">
        <f>IF(Egreso[Código de barras]=0,"",INDEX(Stock[Matriz],MATCH(Egreso[Código de barras],Stock[Código de barras],0)))</f>
        <v>Agua de Consumo</v>
      </c>
    </row>
    <row r="62" spans="1:7" x14ac:dyDescent="0.25">
      <c r="A62" s="25" t="s">
        <v>175</v>
      </c>
      <c r="B62" s="25">
        <f t="shared" si="1"/>
        <v>1</v>
      </c>
      <c r="C62" s="26">
        <f>IF(Egreso[Código de barras]=0,"",INDEX(Stock[n°CC],MATCH(Egreso[Código de barras],Stock[Código de barras],0)))</f>
        <v>2107020005</v>
      </c>
      <c r="D62" s="26" t="str">
        <f>IF(Egreso[Código de barras]=0,"",INDEX(Stock[Cliente],MATCH(Egreso[Código de barras],Stock[Código de barras],0)))</f>
        <v>Empresa8</v>
      </c>
      <c r="E62" s="40">
        <f>IF(Egreso[Código de barras]=0,"",INDEX(Stock[Mes],MATCH(Egreso[Código de barras],Stock[Código de barras],0)))</f>
        <v>44378</v>
      </c>
      <c r="F62" s="27">
        <f>IF(Egreso[Código de barras]=0,"",INDEX(Stock[Detalle],MATCH(Egreso[Código de barras],Stock[Código de barras],0)))</f>
        <v>0</v>
      </c>
      <c r="G62" s="26" t="str">
        <f>IF(Egreso[Código de barras]=0,"",INDEX(Stock[Matriz],MATCH(Egreso[Código de barras],Stock[Código de barras],0)))</f>
        <v>Agua de Consumo</v>
      </c>
    </row>
    <row r="63" spans="1:7" x14ac:dyDescent="0.25">
      <c r="A63" s="25" t="s">
        <v>176</v>
      </c>
      <c r="B63" s="25">
        <f t="shared" si="1"/>
        <v>1</v>
      </c>
      <c r="C63" s="26">
        <f>IF(Egreso[Código de barras]=0,"",INDEX(Stock[n°CC],MATCH(Egreso[Código de barras],Stock[Código de barras],0)))</f>
        <v>2107020006</v>
      </c>
      <c r="D63" s="26" t="str">
        <f>IF(Egreso[Código de barras]=0,"",INDEX(Stock[Cliente],MATCH(Egreso[Código de barras],Stock[Código de barras],0)))</f>
        <v>Empresa8</v>
      </c>
      <c r="E63" s="40">
        <f>IF(Egreso[Código de barras]=0,"",INDEX(Stock[Mes],MATCH(Egreso[Código de barras],Stock[Código de barras],0)))</f>
        <v>44378</v>
      </c>
      <c r="F63" s="27" t="str">
        <f>IF(Egreso[Código de barras]=0,"",INDEX(Stock[Detalle],MATCH(Egreso[Código de barras],Stock[Código de barras],0)))</f>
        <v>CTMA</v>
      </c>
      <c r="G63" s="26" t="str">
        <f>IF(Egreso[Código de barras]=0,"",INDEX(Stock[Matriz],MATCH(Egreso[Código de barras],Stock[Código de barras],0)))</f>
        <v>Efluente Líquido</v>
      </c>
    </row>
    <row r="64" spans="1:7" x14ac:dyDescent="0.25">
      <c r="A64" s="25" t="s">
        <v>144</v>
      </c>
      <c r="B64" s="25">
        <v>0</v>
      </c>
      <c r="C64" s="26">
        <f>IF(Egreso[Código de barras]=0,"",INDEX(Stock[n°CC],MATCH(Egreso[Código de barras],Stock[Código de barras],0)))</f>
        <v>2106300011</v>
      </c>
      <c r="D64" s="26" t="str">
        <f>IF(Egreso[Código de barras]=0,"",INDEX(Stock[Cliente],MATCH(Egreso[Código de barras],Stock[Código de barras],0)))</f>
        <v>Empresa2</v>
      </c>
      <c r="E64" s="40">
        <f>IF(Egreso[Código de barras]=0,"",INDEX(Stock[Mes],MATCH(Egreso[Código de barras],Stock[Código de barras],0)))</f>
        <v>44348</v>
      </c>
      <c r="F64" s="27" t="str">
        <f>IF(Egreso[Código de barras]=0,"",INDEX(Stock[Detalle],MATCH(Egreso[Código de barras],Stock[Código de barras],0)))</f>
        <v>CISTERNA CONESA</v>
      </c>
      <c r="G64" s="26" t="str">
        <f>IF(Egreso[Código de barras]=0,"",INDEX(Stock[Matriz],MATCH(Egreso[Código de barras],Stock[Código de barras],0)))</f>
        <v>Agua de Consumo</v>
      </c>
    </row>
    <row r="65" spans="1:7" x14ac:dyDescent="0.25">
      <c r="A65" s="25" t="s">
        <v>140</v>
      </c>
      <c r="B65" s="25">
        <v>0</v>
      </c>
      <c r="C65" s="26">
        <f>IF(Egreso[Código de barras]=0,"",INDEX(Stock[n°CC],MATCH(Egreso[Código de barras],Stock[Código de barras],0)))</f>
        <v>2106300009</v>
      </c>
      <c r="D65" s="26" t="str">
        <f>IF(Egreso[Código de barras]=0,"",INDEX(Stock[Cliente],MATCH(Egreso[Código de barras],Stock[Código de barras],0)))</f>
        <v>Empresa2</v>
      </c>
      <c r="E65" s="40">
        <f>IF(Egreso[Código de barras]=0,"",INDEX(Stock[Mes],MATCH(Egreso[Código de barras],Stock[Código de barras],0)))</f>
        <v>44348</v>
      </c>
      <c r="F65" s="27" t="str">
        <f>IF(Egreso[Código de barras]=0,"",INDEX(Stock[Detalle],MATCH(Egreso[Código de barras],Stock[Código de barras],0)))</f>
        <v>CISTERNA CRAMER</v>
      </c>
      <c r="G65" s="26" t="str">
        <f>IF(Egreso[Código de barras]=0,"",INDEX(Stock[Matriz],MATCH(Egreso[Código de barras],Stock[Código de barras],0)))</f>
        <v>Agua de Consumo</v>
      </c>
    </row>
    <row r="66" spans="1:7" x14ac:dyDescent="0.25">
      <c r="A66" s="25" t="s">
        <v>142</v>
      </c>
      <c r="B66" s="25">
        <v>0</v>
      </c>
      <c r="C66" s="26">
        <f>IF(Egreso[Código de barras]=0,"",INDEX(Stock[n°CC],MATCH(Egreso[Código de barras],Stock[Código de barras],0)))</f>
        <v>2106300010</v>
      </c>
      <c r="D66" s="26" t="str">
        <f>IF(Egreso[Código de barras]=0,"",INDEX(Stock[Cliente],MATCH(Egreso[Código de barras],Stock[Código de barras],0)))</f>
        <v>Empresa2</v>
      </c>
      <c r="E66" s="40">
        <f>IF(Egreso[Código de barras]=0,"",INDEX(Stock[Mes],MATCH(Egreso[Código de barras],Stock[Código de barras],0)))</f>
        <v>44348</v>
      </c>
      <c r="F66" s="27" t="str">
        <f>IF(Egreso[Código de barras]=0,"",INDEX(Stock[Detalle],MATCH(Egreso[Código de barras],Stock[Código de barras],0)))</f>
        <v>CISTERNA HUIDOBRO</v>
      </c>
      <c r="G66" s="26" t="str">
        <f>IF(Egreso[Código de barras]=0,"",INDEX(Stock[Matriz],MATCH(Egreso[Código de barras],Stock[Código de barras],0)))</f>
        <v>Agua de Consumo</v>
      </c>
    </row>
    <row r="67" spans="1:7" x14ac:dyDescent="0.25">
      <c r="A67" s="25" t="s">
        <v>141</v>
      </c>
      <c r="B67" s="25">
        <v>0</v>
      </c>
      <c r="C67" s="26">
        <f>IF(Egreso[Código de barras]=0,"",INDEX(Stock[n°CC],MATCH(Egreso[Código de barras],Stock[Código de barras],0)))</f>
        <v>2106300007</v>
      </c>
      <c r="D67" s="26" t="str">
        <f>IF(Egreso[Código de barras]=0,"",INDEX(Stock[Cliente],MATCH(Egreso[Código de barras],Stock[Código de barras],0)))</f>
        <v>Empresa2</v>
      </c>
      <c r="E67" s="40">
        <f>IF(Egreso[Código de barras]=0,"",INDEX(Stock[Mes],MATCH(Egreso[Código de barras],Stock[Código de barras],0)))</f>
        <v>44348</v>
      </c>
      <c r="F67" s="27" t="str">
        <f>IF(Egreso[Código de barras]=0,"",INDEX(Stock[Detalle],MATCH(Egreso[Código de barras],Stock[Código de barras],0)))</f>
        <v>CISTERNA HUIDOBRO</v>
      </c>
      <c r="G67" s="26" t="str">
        <f>IF(Egreso[Código de barras]=0,"",INDEX(Stock[Matriz],MATCH(Egreso[Código de barras],Stock[Código de barras],0)))</f>
        <v>Agua de Consumo</v>
      </c>
    </row>
    <row r="68" spans="1:7" x14ac:dyDescent="0.25">
      <c r="A68" s="25" t="s">
        <v>145</v>
      </c>
      <c r="B68" s="25">
        <v>0</v>
      </c>
      <c r="C68" s="26">
        <f>IF(Egreso[Código de barras]=0,"",INDEX(Stock[n°CC],MATCH(Egreso[Código de barras],Stock[Código de barras],0)))</f>
        <v>2106300006</v>
      </c>
      <c r="D68" s="26" t="str">
        <f>IF(Egreso[Código de barras]=0,"",INDEX(Stock[Cliente],MATCH(Egreso[Código de barras],Stock[Código de barras],0)))</f>
        <v>Empresa2</v>
      </c>
      <c r="E68" s="40">
        <f>IF(Egreso[Código de barras]=0,"",INDEX(Stock[Mes],MATCH(Egreso[Código de barras],Stock[Código de barras],0)))</f>
        <v>44348</v>
      </c>
      <c r="F68" s="27" t="str">
        <f>IF(Egreso[Código de barras]=0,"",INDEX(Stock[Detalle],MATCH(Egreso[Código de barras],Stock[Código de barras],0)))</f>
        <v>CISTERNA CRAMER</v>
      </c>
      <c r="G68" s="26" t="str">
        <f>IF(Egreso[Código de barras]=0,"",INDEX(Stock[Matriz],MATCH(Egreso[Código de barras],Stock[Código de barras],0)))</f>
        <v>Agua de Consumo</v>
      </c>
    </row>
    <row r="69" spans="1:7" x14ac:dyDescent="0.25">
      <c r="A69" s="25" t="s">
        <v>147</v>
      </c>
      <c r="B69" s="25">
        <v>0</v>
      </c>
      <c r="C69" s="26">
        <f>IF(Egreso[Código de barras]=0,"",INDEX(Stock[n°CC],MATCH(Egreso[Código de barras],Stock[Código de barras],0)))</f>
        <v>2106300007</v>
      </c>
      <c r="D69" s="26" t="str">
        <f>IF(Egreso[Código de barras]=0,"",INDEX(Stock[Cliente],MATCH(Egreso[Código de barras],Stock[Código de barras],0)))</f>
        <v>Empresa2</v>
      </c>
      <c r="E69" s="40">
        <f>IF(Egreso[Código de barras]=0,"",INDEX(Stock[Mes],MATCH(Egreso[Código de barras],Stock[Código de barras],0)))</f>
        <v>44348</v>
      </c>
      <c r="F69" s="27" t="str">
        <f>IF(Egreso[Código de barras]=0,"",INDEX(Stock[Detalle],MATCH(Egreso[Código de barras],Stock[Código de barras],0)))</f>
        <v>CISTERNA HUIDOBRO</v>
      </c>
      <c r="G69" s="26" t="str">
        <f>IF(Egreso[Código de barras]=0,"",INDEX(Stock[Matriz],MATCH(Egreso[Código de barras],Stock[Código de barras],0)))</f>
        <v>Agua de Consumo</v>
      </c>
    </row>
    <row r="70" spans="1:7" x14ac:dyDescent="0.25">
      <c r="A70" s="25" t="s">
        <v>149</v>
      </c>
      <c r="B70" s="25">
        <v>0</v>
      </c>
      <c r="C70" s="26">
        <f>IF(Egreso[Código de barras]=0,"",INDEX(Stock[n°CC],MATCH(Egreso[Código de barras],Stock[Código de barras],0)))</f>
        <v>2106300008</v>
      </c>
      <c r="D70" s="26" t="str">
        <f>IF(Egreso[Código de barras]=0,"",INDEX(Stock[Cliente],MATCH(Egreso[Código de barras],Stock[Código de barras],0)))</f>
        <v>Empresa2</v>
      </c>
      <c r="E70" s="40">
        <f>IF(Egreso[Código de barras]=0,"",INDEX(Stock[Mes],MATCH(Egreso[Código de barras],Stock[Código de barras],0)))</f>
        <v>44348</v>
      </c>
      <c r="F70" s="27" t="str">
        <f>IF(Egreso[Código de barras]=0,"",INDEX(Stock[Detalle],MATCH(Egreso[Código de barras],Stock[Código de barras],0)))</f>
        <v>CISTERNA CONESA</v>
      </c>
      <c r="G70" s="26" t="str">
        <f>IF(Egreso[Código de barras]=0,"",INDEX(Stock[Matriz],MATCH(Egreso[Código de barras],Stock[Código de barras],0)))</f>
        <v>Agua de Consumo</v>
      </c>
    </row>
    <row r="71" spans="1:7" x14ac:dyDescent="0.25">
      <c r="A71" s="25" t="s">
        <v>146</v>
      </c>
      <c r="B71" s="25">
        <v>0</v>
      </c>
      <c r="C71" s="26">
        <f>IF(Egreso[Código de barras]=0,"",INDEX(Stock[n°CC],MATCH(Egreso[Código de barras],Stock[Código de barras],0)))</f>
        <v>2106300006</v>
      </c>
      <c r="D71" s="26" t="str">
        <f>IF(Egreso[Código de barras]=0,"",INDEX(Stock[Cliente],MATCH(Egreso[Código de barras],Stock[Código de barras],0)))</f>
        <v>Empresa2</v>
      </c>
      <c r="E71" s="40">
        <f>IF(Egreso[Código de barras]=0,"",INDEX(Stock[Mes],MATCH(Egreso[Código de barras],Stock[Código de barras],0)))</f>
        <v>44348</v>
      </c>
      <c r="F71" s="27" t="str">
        <f>IF(Egreso[Código de barras]=0,"",INDEX(Stock[Detalle],MATCH(Egreso[Código de barras],Stock[Código de barras],0)))</f>
        <v>CISTERNA CRAMER</v>
      </c>
      <c r="G71" s="26" t="str">
        <f>IF(Egreso[Código de barras]=0,"",INDEX(Stock[Matriz],MATCH(Egreso[Código de barras],Stock[Código de barras],0)))</f>
        <v>Agua de Consumo</v>
      </c>
    </row>
    <row r="72" spans="1:7" x14ac:dyDescent="0.25">
      <c r="A72" s="25" t="s">
        <v>148</v>
      </c>
      <c r="B72" s="25">
        <v>0</v>
      </c>
      <c r="C72" s="26">
        <f>IF(Egreso[Código de barras]=0,"",INDEX(Stock[n°CC],MATCH(Egreso[Código de barras],Stock[Código de barras],0)))</f>
        <v>2106300007</v>
      </c>
      <c r="D72" s="26" t="str">
        <f>IF(Egreso[Código de barras]=0,"",INDEX(Stock[Cliente],MATCH(Egreso[Código de barras],Stock[Código de barras],0)))</f>
        <v>Empresa2</v>
      </c>
      <c r="E72" s="40">
        <f>IF(Egreso[Código de barras]=0,"",INDEX(Stock[Mes],MATCH(Egreso[Código de barras],Stock[Código de barras],0)))</f>
        <v>44348</v>
      </c>
      <c r="F72" s="27" t="str">
        <f>IF(Egreso[Código de barras]=0,"",INDEX(Stock[Detalle],MATCH(Egreso[Código de barras],Stock[Código de barras],0)))</f>
        <v>CISTERNA HUIDOBRO</v>
      </c>
      <c r="G72" s="26" t="str">
        <f>IF(Egreso[Código de barras]=0,"",INDEX(Stock[Matriz],MATCH(Egreso[Código de barras],Stock[Código de barras],0)))</f>
        <v>Agua de Consumo</v>
      </c>
    </row>
    <row r="73" spans="1:7" x14ac:dyDescent="0.25">
      <c r="A73" s="25" t="s">
        <v>139</v>
      </c>
      <c r="B73" s="25">
        <v>0</v>
      </c>
      <c r="C73" s="26">
        <f>IF(Egreso[Código de barras]=0,"",INDEX(Stock[n°CC],MATCH(Egreso[Código de barras],Stock[Código de barras],0)))</f>
        <v>2106300006</v>
      </c>
      <c r="D73" s="26" t="str">
        <f>IF(Egreso[Código de barras]=0,"",INDEX(Stock[Cliente],MATCH(Egreso[Código de barras],Stock[Código de barras],0)))</f>
        <v>Empresa2</v>
      </c>
      <c r="E73" s="40">
        <f>IF(Egreso[Código de barras]=0,"",INDEX(Stock[Mes],MATCH(Egreso[Código de barras],Stock[Código de barras],0)))</f>
        <v>44348</v>
      </c>
      <c r="F73" s="27" t="str">
        <f>IF(Egreso[Código de barras]=0,"",INDEX(Stock[Detalle],MATCH(Egreso[Código de barras],Stock[Código de barras],0)))</f>
        <v>CISTERNA CRAMER</v>
      </c>
      <c r="G73" s="26" t="str">
        <f>IF(Egreso[Código de barras]=0,"",INDEX(Stock[Matriz],MATCH(Egreso[Código de barras],Stock[Código de barras],0)))</f>
        <v>Agua de Consumo</v>
      </c>
    </row>
    <row r="74" spans="1:7" x14ac:dyDescent="0.25">
      <c r="A74" s="25" t="s">
        <v>150</v>
      </c>
      <c r="B74" s="25">
        <v>0</v>
      </c>
      <c r="C74" s="26">
        <f>IF(Egreso[Código de barras]=0,"",INDEX(Stock[n°CC],MATCH(Egreso[Código de barras],Stock[Código de barras],0)))</f>
        <v>2106300008</v>
      </c>
      <c r="D74" s="26" t="str">
        <f>IF(Egreso[Código de barras]=0,"",INDEX(Stock[Cliente],MATCH(Egreso[Código de barras],Stock[Código de barras],0)))</f>
        <v>Empresa2</v>
      </c>
      <c r="E74" s="40">
        <f>IF(Egreso[Código de barras]=0,"",INDEX(Stock[Mes],MATCH(Egreso[Código de barras],Stock[Código de barras],0)))</f>
        <v>44348</v>
      </c>
      <c r="F74" s="27" t="str">
        <f>IF(Egreso[Código de barras]=0,"",INDEX(Stock[Detalle],MATCH(Egreso[Código de barras],Stock[Código de barras],0)))</f>
        <v>CISTERNA CONESA</v>
      </c>
      <c r="G74" s="26" t="str">
        <f>IF(Egreso[Código de barras]=0,"",INDEX(Stock[Matriz],MATCH(Egreso[Código de barras],Stock[Código de barras],0)))</f>
        <v>Agua de Consumo</v>
      </c>
    </row>
    <row r="75" spans="1:7" x14ac:dyDescent="0.25">
      <c r="A75" s="25" t="s">
        <v>143</v>
      </c>
      <c r="B75" s="25">
        <v>0</v>
      </c>
      <c r="C75" s="26">
        <f>IF(Egreso[Código de barras]=0,"",INDEX(Stock[n°CC],MATCH(Egreso[Código de barras],Stock[Código de barras],0)))</f>
        <v>2106300008</v>
      </c>
      <c r="D75" s="26" t="str">
        <f>IF(Egreso[Código de barras]=0,"",INDEX(Stock[Cliente],MATCH(Egreso[Código de barras],Stock[Código de barras],0)))</f>
        <v>Empresa2</v>
      </c>
      <c r="E75" s="40">
        <f>IF(Egreso[Código de barras]=0,"",INDEX(Stock[Mes],MATCH(Egreso[Código de barras],Stock[Código de barras],0)))</f>
        <v>44348</v>
      </c>
      <c r="F75" s="27" t="str">
        <f>IF(Egreso[Código de barras]=0,"",INDEX(Stock[Detalle],MATCH(Egreso[Código de barras],Stock[Código de barras],0)))</f>
        <v>CISTERNA CONESA</v>
      </c>
      <c r="G75" s="26" t="str">
        <f>IF(Egreso[Código de barras]=0,"",INDEX(Stock[Matriz],MATCH(Egreso[Código de barras],Stock[Código de barras],0)))</f>
        <v>Agua de Consumo</v>
      </c>
    </row>
    <row r="76" spans="1:7" x14ac:dyDescent="0.25">
      <c r="A76" s="25"/>
      <c r="B76" s="25" t="str">
        <f t="shared" si="1"/>
        <v/>
      </c>
      <c r="C76" s="26" t="str">
        <f>IF(Egreso[Código de barras]=0,"",INDEX(Stock[n°CC],MATCH(Egreso[Código de barras],Stock[Código de barras],0)))</f>
        <v/>
      </c>
      <c r="D76" s="26" t="str">
        <f>IF(Egreso[Código de barras]=0,"",INDEX(Stock[Cliente],MATCH(Egreso[Código de barras],Stock[Código de barras],0)))</f>
        <v/>
      </c>
      <c r="E76" s="40" t="str">
        <f>IF(Egreso[Código de barras]=0,"",INDEX(Stock[Mes],MATCH(Egreso[Código de barras],Stock[Código de barras],0)))</f>
        <v/>
      </c>
      <c r="F76" s="27" t="str">
        <f>IF(Egreso[Código de barras]=0,"",INDEX(Stock[Detalle],MATCH(Egreso[Código de barras],Stock[Código de barras],0)))</f>
        <v/>
      </c>
      <c r="G76" s="26" t="str">
        <f>IF(Egreso[Código de barras]=0,"",INDEX(Stock[Matriz],MATCH(Egreso[Código de barras],Stock[Código de barras],0)))</f>
        <v/>
      </c>
    </row>
    <row r="77" spans="1:7" x14ac:dyDescent="0.25">
      <c r="A77" s="25"/>
      <c r="B77" s="25" t="str">
        <f t="shared" si="1"/>
        <v/>
      </c>
      <c r="C77" s="26" t="str">
        <f>IF(Egreso[Código de barras]=0,"",INDEX(Stock[n°CC],MATCH(Egreso[Código de barras],Stock[Código de barras],0)))</f>
        <v/>
      </c>
      <c r="D77" s="26" t="str">
        <f>IF(Egreso[Código de barras]=0,"",INDEX(Stock[Cliente],MATCH(Egreso[Código de barras],Stock[Código de barras],0)))</f>
        <v/>
      </c>
      <c r="E77" s="40" t="str">
        <f>IF(Egreso[Código de barras]=0,"",INDEX(Stock[Mes],MATCH(Egreso[Código de barras],Stock[Código de barras],0)))</f>
        <v/>
      </c>
      <c r="F77" s="27" t="str">
        <f>IF(Egreso[Código de barras]=0,"",INDEX(Stock[Detalle],MATCH(Egreso[Código de barras],Stock[Código de barras],0)))</f>
        <v/>
      </c>
      <c r="G77" s="26" t="str">
        <f>IF(Egreso[Código de barras]=0,"",INDEX(Stock[Matriz],MATCH(Egreso[Código de barras],Stock[Código de barras],0)))</f>
        <v/>
      </c>
    </row>
    <row r="78" spans="1:7" x14ac:dyDescent="0.25">
      <c r="A78" s="25"/>
      <c r="B78" s="25" t="str">
        <f t="shared" si="1"/>
        <v/>
      </c>
      <c r="C78" s="26" t="str">
        <f>IF(Egreso[Código de barras]=0,"",INDEX(Stock[n°CC],MATCH(Egreso[Código de barras],Stock[Código de barras],0)))</f>
        <v/>
      </c>
      <c r="D78" s="26" t="str">
        <f>IF(Egreso[Código de barras]=0,"",INDEX(Stock[Cliente],MATCH(Egreso[Código de barras],Stock[Código de barras],0)))</f>
        <v/>
      </c>
      <c r="E78" s="40" t="str">
        <f>IF(Egreso[Código de barras]=0,"",INDEX(Stock[Mes],MATCH(Egreso[Código de barras],Stock[Código de barras],0)))</f>
        <v/>
      </c>
      <c r="F78" s="27" t="str">
        <f>IF(Egreso[Código de barras]=0,"",INDEX(Stock[Detalle],MATCH(Egreso[Código de barras],Stock[Código de barras],0)))</f>
        <v/>
      </c>
      <c r="G78" s="26" t="str">
        <f>IF(Egreso[Código de barras]=0,"",INDEX(Stock[Matriz],MATCH(Egreso[Código de barras],Stock[Código de barras],0)))</f>
        <v/>
      </c>
    </row>
    <row r="79" spans="1:7" x14ac:dyDescent="0.25">
      <c r="A79" s="25"/>
      <c r="B79" s="25" t="str">
        <f t="shared" si="1"/>
        <v/>
      </c>
      <c r="C79" s="26" t="str">
        <f>IF(Egreso[Código de barras]=0,"",INDEX(Stock[n°CC],MATCH(Egreso[Código de barras],Stock[Código de barras],0)))</f>
        <v/>
      </c>
      <c r="D79" s="26" t="str">
        <f>IF(Egreso[Código de barras]=0,"",INDEX(Stock[Cliente],MATCH(Egreso[Código de barras],Stock[Código de barras],0)))</f>
        <v/>
      </c>
      <c r="E79" s="40" t="str">
        <f>IF(Egreso[Código de barras]=0,"",INDEX(Stock[Mes],MATCH(Egreso[Código de barras],Stock[Código de barras],0)))</f>
        <v/>
      </c>
      <c r="F79" s="27" t="str">
        <f>IF(Egreso[Código de barras]=0,"",INDEX(Stock[Detalle],MATCH(Egreso[Código de barras],Stock[Código de barras],0)))</f>
        <v/>
      </c>
      <c r="G79" s="26" t="str">
        <f>IF(Egreso[Código de barras]=0,"",INDEX(Stock[Matriz],MATCH(Egreso[Código de barras],Stock[Código de barras],0)))</f>
        <v/>
      </c>
    </row>
    <row r="80" spans="1:7" x14ac:dyDescent="0.25">
      <c r="A80" s="25"/>
      <c r="B80" s="25" t="str">
        <f t="shared" si="1"/>
        <v/>
      </c>
      <c r="C80" s="26" t="str">
        <f>IF(Egreso[Código de barras]=0,"",INDEX(Stock[n°CC],MATCH(Egreso[Código de barras],Stock[Código de barras],0)))</f>
        <v/>
      </c>
      <c r="D80" s="26" t="str">
        <f>IF(Egreso[Código de barras]=0,"",INDEX(Stock[Cliente],MATCH(Egreso[Código de barras],Stock[Código de barras],0)))</f>
        <v/>
      </c>
      <c r="E80" s="40" t="str">
        <f>IF(Egreso[Código de barras]=0,"",INDEX(Stock[Mes],MATCH(Egreso[Código de barras],Stock[Código de barras],0)))</f>
        <v/>
      </c>
      <c r="F80" s="27" t="str">
        <f>IF(Egreso[Código de barras]=0,"",INDEX(Stock[Detalle],MATCH(Egreso[Código de barras],Stock[Código de barras],0)))</f>
        <v/>
      </c>
      <c r="G80" s="26" t="str">
        <f>IF(Egreso[Código de barras]=0,"",INDEX(Stock[Matriz],MATCH(Egreso[Código de barras],Stock[Código de barras],0)))</f>
        <v/>
      </c>
    </row>
    <row r="81" spans="1:7" x14ac:dyDescent="0.25">
      <c r="A81" s="25"/>
      <c r="B81" s="25" t="str">
        <f t="shared" si="1"/>
        <v/>
      </c>
      <c r="C81" s="26" t="str">
        <f>IF(Egreso[Código de barras]=0,"",INDEX(Stock[n°CC],MATCH(Egreso[Código de barras],Stock[Código de barras],0)))</f>
        <v/>
      </c>
      <c r="D81" s="26" t="str">
        <f>IF(Egreso[Código de barras]=0,"",INDEX(Stock[Cliente],MATCH(Egreso[Código de barras],Stock[Código de barras],0)))</f>
        <v/>
      </c>
      <c r="E81" s="40" t="str">
        <f>IF(Egreso[Código de barras]=0,"",INDEX(Stock[Mes],MATCH(Egreso[Código de barras],Stock[Código de barras],0)))</f>
        <v/>
      </c>
      <c r="F81" s="27" t="str">
        <f>IF(Egreso[Código de barras]=0,"",INDEX(Stock[Detalle],MATCH(Egreso[Código de barras],Stock[Código de barras],0)))</f>
        <v/>
      </c>
      <c r="G81" s="26" t="str">
        <f>IF(Egreso[Código de barras]=0,"",INDEX(Stock[Matriz],MATCH(Egreso[Código de barras],Stock[Código de barras],0)))</f>
        <v/>
      </c>
    </row>
    <row r="82" spans="1:7" x14ac:dyDescent="0.25">
      <c r="A82" s="25"/>
      <c r="B82" s="25" t="str">
        <f t="shared" si="1"/>
        <v/>
      </c>
      <c r="C82" s="26" t="str">
        <f>IF(Egreso[Código de barras]=0,"",INDEX(Stock[n°CC],MATCH(Egreso[Código de barras],Stock[Código de barras],0)))</f>
        <v/>
      </c>
      <c r="D82" s="26" t="str">
        <f>IF(Egreso[Código de barras]=0,"",INDEX(Stock[Cliente],MATCH(Egreso[Código de barras],Stock[Código de barras],0)))</f>
        <v/>
      </c>
      <c r="E82" s="40" t="str">
        <f>IF(Egreso[Código de barras]=0,"",INDEX(Stock[Mes],MATCH(Egreso[Código de barras],Stock[Código de barras],0)))</f>
        <v/>
      </c>
      <c r="F82" s="27" t="str">
        <f>IF(Egreso[Código de barras]=0,"",INDEX(Stock[Detalle],MATCH(Egreso[Código de barras],Stock[Código de barras],0)))</f>
        <v/>
      </c>
      <c r="G82" s="26" t="str">
        <f>IF(Egreso[Código de barras]=0,"",INDEX(Stock[Matriz],MATCH(Egreso[Código de barras],Stock[Código de barras],0)))</f>
        <v/>
      </c>
    </row>
    <row r="83" spans="1:7" x14ac:dyDescent="0.25">
      <c r="A83" s="25"/>
      <c r="B83" s="25" t="str">
        <f t="shared" si="1"/>
        <v/>
      </c>
      <c r="C83" s="26" t="str">
        <f>IF(Egreso[Código de barras]=0,"",INDEX(Stock[n°CC],MATCH(Egreso[Código de barras],Stock[Código de barras],0)))</f>
        <v/>
      </c>
      <c r="D83" s="26" t="str">
        <f>IF(Egreso[Código de barras]=0,"",INDEX(Stock[Cliente],MATCH(Egreso[Código de barras],Stock[Código de barras],0)))</f>
        <v/>
      </c>
      <c r="E83" s="40" t="str">
        <f>IF(Egreso[Código de barras]=0,"",INDEX(Stock[Mes],MATCH(Egreso[Código de barras],Stock[Código de barras],0)))</f>
        <v/>
      </c>
      <c r="F83" s="27" t="str">
        <f>IF(Egreso[Código de barras]=0,"",INDEX(Stock[Detalle],MATCH(Egreso[Código de barras],Stock[Código de barras],0)))</f>
        <v/>
      </c>
      <c r="G83" s="26" t="str">
        <f>IF(Egreso[Código de barras]=0,"",INDEX(Stock[Matriz],MATCH(Egreso[Código de barras],Stock[Código de barras],0)))</f>
        <v/>
      </c>
    </row>
    <row r="84" spans="1:7" x14ac:dyDescent="0.25">
      <c r="A84" s="25"/>
      <c r="B84" s="25" t="str">
        <f t="shared" si="1"/>
        <v/>
      </c>
      <c r="C84" s="26" t="str">
        <f>IF(Egreso[Código de barras]=0,"",INDEX(Stock[n°CC],MATCH(Egreso[Código de barras],Stock[Código de barras],0)))</f>
        <v/>
      </c>
      <c r="D84" s="26" t="str">
        <f>IF(Egreso[Código de barras]=0,"",INDEX(Stock[Cliente],MATCH(Egreso[Código de barras],Stock[Código de barras],0)))</f>
        <v/>
      </c>
      <c r="E84" s="40" t="str">
        <f>IF(Egreso[Código de barras]=0,"",INDEX(Stock[Mes],MATCH(Egreso[Código de barras],Stock[Código de barras],0)))</f>
        <v/>
      </c>
      <c r="F84" s="27" t="str">
        <f>IF(Egreso[Código de barras]=0,"",INDEX(Stock[Detalle],MATCH(Egreso[Código de barras],Stock[Código de barras],0)))</f>
        <v/>
      </c>
      <c r="G84" s="26" t="str">
        <f>IF(Egreso[Código de barras]=0,"",INDEX(Stock[Matriz],MATCH(Egreso[Código de barras],Stock[Código de barras],0)))</f>
        <v/>
      </c>
    </row>
    <row r="85" spans="1:7" x14ac:dyDescent="0.25">
      <c r="A85" s="25"/>
      <c r="B85" s="25" t="str">
        <f t="shared" si="1"/>
        <v/>
      </c>
      <c r="C85" s="26" t="str">
        <f>IF(Egreso[Código de barras]=0,"",INDEX(Stock[n°CC],MATCH(Egreso[Código de barras],Stock[Código de barras],0)))</f>
        <v/>
      </c>
      <c r="D85" s="26" t="str">
        <f>IF(Egreso[Código de barras]=0,"",INDEX(Stock[Cliente],MATCH(Egreso[Código de barras],Stock[Código de barras],0)))</f>
        <v/>
      </c>
      <c r="E85" s="40" t="str">
        <f>IF(Egreso[Código de barras]=0,"",INDEX(Stock[Mes],MATCH(Egreso[Código de barras],Stock[Código de barras],0)))</f>
        <v/>
      </c>
      <c r="F85" s="27" t="str">
        <f>IF(Egreso[Código de barras]=0,"",INDEX(Stock[Detalle],MATCH(Egreso[Código de barras],Stock[Código de barras],0)))</f>
        <v/>
      </c>
      <c r="G85" s="26" t="str">
        <f>IF(Egreso[Código de barras]=0,"",INDEX(Stock[Matriz],MATCH(Egreso[Código de barras],Stock[Código de barras],0)))</f>
        <v/>
      </c>
    </row>
    <row r="86" spans="1:7" x14ac:dyDescent="0.25">
      <c r="A86" s="25"/>
      <c r="B86" s="25" t="str">
        <f t="shared" si="1"/>
        <v/>
      </c>
      <c r="C86" s="26" t="str">
        <f>IF(Egreso[Código de barras]=0,"",INDEX(Stock[n°CC],MATCH(Egreso[Código de barras],Stock[Código de barras],0)))</f>
        <v/>
      </c>
      <c r="D86" s="26" t="str">
        <f>IF(Egreso[Código de barras]=0,"",INDEX(Stock[Cliente],MATCH(Egreso[Código de barras],Stock[Código de barras],0)))</f>
        <v/>
      </c>
      <c r="E86" s="40" t="str">
        <f>IF(Egreso[Código de barras]=0,"",INDEX(Stock[Mes],MATCH(Egreso[Código de barras],Stock[Código de barras],0)))</f>
        <v/>
      </c>
      <c r="F86" s="27" t="str">
        <f>IF(Egreso[Código de barras]=0,"",INDEX(Stock[Detalle],MATCH(Egreso[Código de barras],Stock[Código de barras],0)))</f>
        <v/>
      </c>
      <c r="G86" s="26" t="str">
        <f>IF(Egreso[Código de barras]=0,"",INDEX(Stock[Matriz],MATCH(Egreso[Código de barras],Stock[Código de barras],0)))</f>
        <v/>
      </c>
    </row>
    <row r="87" spans="1:7" x14ac:dyDescent="0.25">
      <c r="A87" s="25"/>
      <c r="B87" s="25" t="str">
        <f t="shared" si="1"/>
        <v/>
      </c>
      <c r="C87" s="26" t="str">
        <f>IF(Egreso[Código de barras]=0,"",INDEX(Stock[n°CC],MATCH(Egreso[Código de barras],Stock[Código de barras],0)))</f>
        <v/>
      </c>
      <c r="D87" s="26" t="str">
        <f>IF(Egreso[Código de barras]=0,"",INDEX(Stock[Cliente],MATCH(Egreso[Código de barras],Stock[Código de barras],0)))</f>
        <v/>
      </c>
      <c r="E87" s="40" t="str">
        <f>IF(Egreso[Código de barras]=0,"",INDEX(Stock[Mes],MATCH(Egreso[Código de barras],Stock[Código de barras],0)))</f>
        <v/>
      </c>
      <c r="F87" s="27" t="str">
        <f>IF(Egreso[Código de barras]=0,"",INDEX(Stock[Detalle],MATCH(Egreso[Código de barras],Stock[Código de barras],0)))</f>
        <v/>
      </c>
      <c r="G87" s="26" t="str">
        <f>IF(Egreso[Código de barras]=0,"",INDEX(Stock[Matriz],MATCH(Egreso[Código de barras],Stock[Código de barras],0)))</f>
        <v/>
      </c>
    </row>
    <row r="88" spans="1:7" x14ac:dyDescent="0.25">
      <c r="A88" s="25"/>
      <c r="B88" s="25" t="str">
        <f t="shared" si="1"/>
        <v/>
      </c>
      <c r="C88" s="26" t="str">
        <f>IF(Egreso[Código de barras]=0,"",INDEX(Stock[n°CC],MATCH(Egreso[Código de barras],Stock[Código de barras],0)))</f>
        <v/>
      </c>
      <c r="D88" s="26" t="str">
        <f>IF(Egreso[Código de barras]=0,"",INDEX(Stock[Cliente],MATCH(Egreso[Código de barras],Stock[Código de barras],0)))</f>
        <v/>
      </c>
      <c r="E88" s="40" t="str">
        <f>IF(Egreso[Código de barras]=0,"",INDEX(Stock[Mes],MATCH(Egreso[Código de barras],Stock[Código de barras],0)))</f>
        <v/>
      </c>
      <c r="F88" s="27" t="str">
        <f>IF(Egreso[Código de barras]=0,"",INDEX(Stock[Detalle],MATCH(Egreso[Código de barras],Stock[Código de barras],0)))</f>
        <v/>
      </c>
      <c r="G88" s="26" t="str">
        <f>IF(Egreso[Código de barras]=0,"",INDEX(Stock[Matriz],MATCH(Egreso[Código de barras],Stock[Código de barras],0)))</f>
        <v/>
      </c>
    </row>
    <row r="89" spans="1:7" x14ac:dyDescent="0.25">
      <c r="A89" s="25"/>
      <c r="B89" s="25" t="str">
        <f t="shared" si="1"/>
        <v/>
      </c>
      <c r="C89" s="26" t="str">
        <f>IF(Egreso[Código de barras]=0,"",INDEX(Stock[n°CC],MATCH(Egreso[Código de barras],Stock[Código de barras],0)))</f>
        <v/>
      </c>
      <c r="D89" s="26" t="str">
        <f>IF(Egreso[Código de barras]=0,"",INDEX(Stock[Cliente],MATCH(Egreso[Código de barras],Stock[Código de barras],0)))</f>
        <v/>
      </c>
      <c r="E89" s="40" t="str">
        <f>IF(Egreso[Código de barras]=0,"",INDEX(Stock[Mes],MATCH(Egreso[Código de barras],Stock[Código de barras],0)))</f>
        <v/>
      </c>
      <c r="F89" s="27" t="str">
        <f>IF(Egreso[Código de barras]=0,"",INDEX(Stock[Detalle],MATCH(Egreso[Código de barras],Stock[Código de barras],0)))</f>
        <v/>
      </c>
      <c r="G89" s="26" t="str">
        <f>IF(Egreso[Código de barras]=0,"",INDEX(Stock[Matriz],MATCH(Egreso[Código de barras],Stock[Código de barras],0)))</f>
        <v/>
      </c>
    </row>
    <row r="90" spans="1:7" x14ac:dyDescent="0.25">
      <c r="A90" s="25"/>
      <c r="B90" s="25" t="str">
        <f t="shared" si="1"/>
        <v/>
      </c>
      <c r="C90" s="26" t="str">
        <f>IF(Egreso[Código de barras]=0,"",INDEX(Stock[n°CC],MATCH(Egreso[Código de barras],Stock[Código de barras],0)))</f>
        <v/>
      </c>
      <c r="D90" s="26" t="str">
        <f>IF(Egreso[Código de barras]=0,"",INDEX(Stock[Cliente],MATCH(Egreso[Código de barras],Stock[Código de barras],0)))</f>
        <v/>
      </c>
      <c r="E90" s="40" t="str">
        <f>IF(Egreso[Código de barras]=0,"",INDEX(Stock[Mes],MATCH(Egreso[Código de barras],Stock[Código de barras],0)))</f>
        <v/>
      </c>
      <c r="F90" s="27" t="str">
        <f>IF(Egreso[Código de barras]=0,"",INDEX(Stock[Detalle],MATCH(Egreso[Código de barras],Stock[Código de barras],0)))</f>
        <v/>
      </c>
      <c r="G90" s="26" t="str">
        <f>IF(Egreso[Código de barras]=0,"",INDEX(Stock[Matriz],MATCH(Egreso[Código de barras],Stock[Código de barras],0)))</f>
        <v/>
      </c>
    </row>
    <row r="91" spans="1:7" x14ac:dyDescent="0.25">
      <c r="A91" s="25"/>
      <c r="B91" s="25" t="str">
        <f t="shared" si="1"/>
        <v/>
      </c>
      <c r="C91" s="26" t="str">
        <f>IF(Egreso[Código de barras]=0,"",INDEX(Stock[n°CC],MATCH(Egreso[Código de barras],Stock[Código de barras],0)))</f>
        <v/>
      </c>
      <c r="D91" s="26" t="str">
        <f>IF(Egreso[Código de barras]=0,"",INDEX(Stock[Cliente],MATCH(Egreso[Código de barras],Stock[Código de barras],0)))</f>
        <v/>
      </c>
      <c r="E91" s="40" t="str">
        <f>IF(Egreso[Código de barras]=0,"",INDEX(Stock[Mes],MATCH(Egreso[Código de barras],Stock[Código de barras],0)))</f>
        <v/>
      </c>
      <c r="F91" s="27" t="str">
        <f>IF(Egreso[Código de barras]=0,"",INDEX(Stock[Detalle],MATCH(Egreso[Código de barras],Stock[Código de barras],0)))</f>
        <v/>
      </c>
      <c r="G91" s="26" t="str">
        <f>IF(Egreso[Código de barras]=0,"",INDEX(Stock[Matriz],MATCH(Egreso[Código de barras],Stock[Código de barras],0)))</f>
        <v/>
      </c>
    </row>
    <row r="92" spans="1:7" x14ac:dyDescent="0.25">
      <c r="A92" s="25"/>
      <c r="B92" s="25" t="str">
        <f t="shared" si="1"/>
        <v/>
      </c>
      <c r="C92" s="26" t="str">
        <f>IF(Egreso[Código de barras]=0,"",INDEX(Stock[n°CC],MATCH(Egreso[Código de barras],Stock[Código de barras],0)))</f>
        <v/>
      </c>
      <c r="D92" s="26" t="str">
        <f>IF(Egreso[Código de barras]=0,"",INDEX(Stock[Cliente],MATCH(Egreso[Código de barras],Stock[Código de barras],0)))</f>
        <v/>
      </c>
      <c r="E92" s="40" t="str">
        <f>IF(Egreso[Código de barras]=0,"",INDEX(Stock[Mes],MATCH(Egreso[Código de barras],Stock[Código de barras],0)))</f>
        <v/>
      </c>
      <c r="F92" s="27" t="str">
        <f>IF(Egreso[Código de barras]=0,"",INDEX(Stock[Detalle],MATCH(Egreso[Código de barras],Stock[Código de barras],0)))</f>
        <v/>
      </c>
      <c r="G92" s="26" t="str">
        <f>IF(Egreso[Código de barras]=0,"",INDEX(Stock[Matriz],MATCH(Egreso[Código de barras],Stock[Código de barras],0)))</f>
        <v/>
      </c>
    </row>
    <row r="93" spans="1:7" x14ac:dyDescent="0.25">
      <c r="A93" s="25"/>
      <c r="B93" s="25" t="str">
        <f t="shared" si="1"/>
        <v/>
      </c>
      <c r="C93" s="26" t="str">
        <f>IF(Egreso[Código de barras]=0,"",INDEX(Stock[n°CC],MATCH(Egreso[Código de barras],Stock[Código de barras],0)))</f>
        <v/>
      </c>
      <c r="D93" s="26" t="str">
        <f>IF(Egreso[Código de barras]=0,"",INDEX(Stock[Cliente],MATCH(Egreso[Código de barras],Stock[Código de barras],0)))</f>
        <v/>
      </c>
      <c r="E93" s="40" t="str">
        <f>IF(Egreso[Código de barras]=0,"",INDEX(Stock[Mes],MATCH(Egreso[Código de barras],Stock[Código de barras],0)))</f>
        <v/>
      </c>
      <c r="F93" s="27" t="str">
        <f>IF(Egreso[Código de barras]=0,"",INDEX(Stock[Detalle],MATCH(Egreso[Código de barras],Stock[Código de barras],0)))</f>
        <v/>
      </c>
      <c r="G93" s="26" t="str">
        <f>IF(Egreso[Código de barras]=0,"",INDEX(Stock[Matriz],MATCH(Egreso[Código de barras],Stock[Código de barras],0)))</f>
        <v/>
      </c>
    </row>
    <row r="94" spans="1:7" x14ac:dyDescent="0.25">
      <c r="A94" s="25"/>
      <c r="B94" s="25" t="str">
        <f t="shared" si="1"/>
        <v/>
      </c>
      <c r="C94" s="26" t="str">
        <f>IF(Egreso[Código de barras]=0,"",INDEX(Stock[n°CC],MATCH(Egreso[Código de barras],Stock[Código de barras],0)))</f>
        <v/>
      </c>
      <c r="D94" s="26" t="str">
        <f>IF(Egreso[Código de barras]=0,"",INDEX(Stock[Cliente],MATCH(Egreso[Código de barras],Stock[Código de barras],0)))</f>
        <v/>
      </c>
      <c r="E94" s="40" t="str">
        <f>IF(Egreso[Código de barras]=0,"",INDEX(Stock[Mes],MATCH(Egreso[Código de barras],Stock[Código de barras],0)))</f>
        <v/>
      </c>
      <c r="F94" s="27" t="str">
        <f>IF(Egreso[Código de barras]=0,"",INDEX(Stock[Detalle],MATCH(Egreso[Código de barras],Stock[Código de barras],0)))</f>
        <v/>
      </c>
      <c r="G94" s="26" t="str">
        <f>IF(Egreso[Código de barras]=0,"",INDEX(Stock[Matriz],MATCH(Egreso[Código de barras],Stock[Código de barras],0)))</f>
        <v/>
      </c>
    </row>
    <row r="95" spans="1:7" x14ac:dyDescent="0.25">
      <c r="A95" s="25"/>
      <c r="B95" s="25" t="str">
        <f t="shared" si="1"/>
        <v/>
      </c>
      <c r="C95" s="26" t="str">
        <f>IF(Egreso[Código de barras]=0,"",INDEX(Stock[n°CC],MATCH(Egreso[Código de barras],Stock[Código de barras],0)))</f>
        <v/>
      </c>
      <c r="D95" s="26" t="str">
        <f>IF(Egreso[Código de barras]=0,"",INDEX(Stock[Cliente],MATCH(Egreso[Código de barras],Stock[Código de barras],0)))</f>
        <v/>
      </c>
      <c r="E95" s="40" t="str">
        <f>IF(Egreso[Código de barras]=0,"",INDEX(Stock[Mes],MATCH(Egreso[Código de barras],Stock[Código de barras],0)))</f>
        <v/>
      </c>
      <c r="F95" s="27" t="str">
        <f>IF(Egreso[Código de barras]=0,"",INDEX(Stock[Detalle],MATCH(Egreso[Código de barras],Stock[Código de barras],0)))</f>
        <v/>
      </c>
      <c r="G95" s="26" t="str">
        <f>IF(Egreso[Código de barras]=0,"",INDEX(Stock[Matriz],MATCH(Egreso[Código de barras],Stock[Código de barras],0)))</f>
        <v/>
      </c>
    </row>
    <row r="96" spans="1:7" x14ac:dyDescent="0.25">
      <c r="A96" s="25"/>
      <c r="B96" s="25" t="str">
        <f t="shared" si="1"/>
        <v/>
      </c>
      <c r="C96" s="26" t="str">
        <f>IF(Egreso[Código de barras]=0,"",INDEX(Stock[n°CC],MATCH(Egreso[Código de barras],Stock[Código de barras],0)))</f>
        <v/>
      </c>
      <c r="D96" s="26" t="str">
        <f>IF(Egreso[Código de barras]=0,"",INDEX(Stock[Cliente],MATCH(Egreso[Código de barras],Stock[Código de barras],0)))</f>
        <v/>
      </c>
      <c r="E96" s="40" t="str">
        <f>IF(Egreso[Código de barras]=0,"",INDEX(Stock[Mes],MATCH(Egreso[Código de barras],Stock[Código de barras],0)))</f>
        <v/>
      </c>
      <c r="F96" s="27" t="str">
        <f>IF(Egreso[Código de barras]=0,"",INDEX(Stock[Detalle],MATCH(Egreso[Código de barras],Stock[Código de barras],0)))</f>
        <v/>
      </c>
      <c r="G96" s="26" t="str">
        <f>IF(Egreso[Código de barras]=0,"",INDEX(Stock[Matriz],MATCH(Egreso[Código de barras],Stock[Código de barras],0)))</f>
        <v/>
      </c>
    </row>
    <row r="97" spans="1:7" x14ac:dyDescent="0.25">
      <c r="A97" s="25"/>
      <c r="B97" s="25" t="str">
        <f t="shared" si="1"/>
        <v/>
      </c>
      <c r="C97" s="26" t="str">
        <f>IF(Egreso[Código de barras]=0,"",INDEX(Stock[n°CC],MATCH(Egreso[Código de barras],Stock[Código de barras],0)))</f>
        <v/>
      </c>
      <c r="D97" s="26" t="str">
        <f>IF(Egreso[Código de barras]=0,"",INDEX(Stock[Cliente],MATCH(Egreso[Código de barras],Stock[Código de barras],0)))</f>
        <v/>
      </c>
      <c r="E97" s="40" t="str">
        <f>IF(Egreso[Código de barras]=0,"",INDEX(Stock[Mes],MATCH(Egreso[Código de barras],Stock[Código de barras],0)))</f>
        <v/>
      </c>
      <c r="F97" s="27" t="str">
        <f>IF(Egreso[Código de barras]=0,"",INDEX(Stock[Detalle],MATCH(Egreso[Código de barras],Stock[Código de barras],0)))</f>
        <v/>
      </c>
      <c r="G97" s="26" t="str">
        <f>IF(Egreso[Código de barras]=0,"",INDEX(Stock[Matriz],MATCH(Egreso[Código de barras],Stock[Código de barras],0)))</f>
        <v/>
      </c>
    </row>
    <row r="98" spans="1:7" x14ac:dyDescent="0.25">
      <c r="A98" s="25"/>
      <c r="B98" s="25" t="str">
        <f t="shared" si="1"/>
        <v/>
      </c>
      <c r="C98" s="26" t="str">
        <f>IF(Egreso[Código de barras]=0,"",INDEX(Stock[n°CC],MATCH(Egreso[Código de barras],Stock[Código de barras],0)))</f>
        <v/>
      </c>
      <c r="D98" s="26" t="str">
        <f>IF(Egreso[Código de barras]=0,"",INDEX(Stock[Cliente],MATCH(Egreso[Código de barras],Stock[Código de barras],0)))</f>
        <v/>
      </c>
      <c r="E98" s="40" t="str">
        <f>IF(Egreso[Código de barras]=0,"",INDEX(Stock[Mes],MATCH(Egreso[Código de barras],Stock[Código de barras],0)))</f>
        <v/>
      </c>
      <c r="F98" s="27" t="str">
        <f>IF(Egreso[Código de barras]=0,"",INDEX(Stock[Detalle],MATCH(Egreso[Código de barras],Stock[Código de barras],0)))</f>
        <v/>
      </c>
      <c r="G98" s="26" t="str">
        <f>IF(Egreso[Código de barras]=0,"",INDEX(Stock[Matriz],MATCH(Egreso[Código de barras],Stock[Código de barras],0)))</f>
        <v/>
      </c>
    </row>
    <row r="99" spans="1:7" x14ac:dyDescent="0.25">
      <c r="A99" s="25"/>
      <c r="B99" s="25" t="str">
        <f t="shared" si="1"/>
        <v/>
      </c>
      <c r="C99" s="26" t="str">
        <f>IF(Egreso[Código de barras]=0,"",INDEX(Stock[n°CC],MATCH(Egreso[Código de barras],Stock[Código de barras],0)))</f>
        <v/>
      </c>
      <c r="D99" s="26" t="str">
        <f>IF(Egreso[Código de barras]=0,"",INDEX(Stock[Cliente],MATCH(Egreso[Código de barras],Stock[Código de barras],0)))</f>
        <v/>
      </c>
      <c r="E99" s="40" t="str">
        <f>IF(Egreso[Código de barras]=0,"",INDEX(Stock[Mes],MATCH(Egreso[Código de barras],Stock[Código de barras],0)))</f>
        <v/>
      </c>
      <c r="F99" s="27" t="str">
        <f>IF(Egreso[Código de barras]=0,"",INDEX(Stock[Detalle],MATCH(Egreso[Código de barras],Stock[Código de barras],0)))</f>
        <v/>
      </c>
      <c r="G99" s="26" t="str">
        <f>IF(Egreso[Código de barras]=0,"",INDEX(Stock[Matriz],MATCH(Egreso[Código de barras],Stock[Código de barras],0)))</f>
        <v/>
      </c>
    </row>
    <row r="100" spans="1:7" x14ac:dyDescent="0.25">
      <c r="A100" s="25"/>
      <c r="B100" s="25" t="str">
        <f t="shared" si="1"/>
        <v/>
      </c>
      <c r="C100" s="26" t="str">
        <f>IF(Egreso[Código de barras]=0,"",INDEX(Stock[n°CC],MATCH(Egreso[Código de barras],Stock[Código de barras],0)))</f>
        <v/>
      </c>
      <c r="D100" s="26" t="str">
        <f>IF(Egreso[Código de barras]=0,"",INDEX(Stock[Cliente],MATCH(Egreso[Código de barras],Stock[Código de barras],0)))</f>
        <v/>
      </c>
      <c r="E100" s="40" t="str">
        <f>IF(Egreso[Código de barras]=0,"",INDEX(Stock[Mes],MATCH(Egreso[Código de barras],Stock[Código de barras],0)))</f>
        <v/>
      </c>
      <c r="F100" s="27" t="str">
        <f>IF(Egreso[Código de barras]=0,"",INDEX(Stock[Detalle],MATCH(Egreso[Código de barras],Stock[Código de barras],0)))</f>
        <v/>
      </c>
      <c r="G100" s="26" t="str">
        <f>IF(Egreso[Código de barras]=0,"",INDEX(Stock[Matriz],MATCH(Egreso[Código de barras],Stock[Código de barras],0)))</f>
        <v/>
      </c>
    </row>
    <row r="101" spans="1:7" x14ac:dyDescent="0.25">
      <c r="A101" s="25"/>
      <c r="B101" s="25" t="str">
        <f t="shared" si="1"/>
        <v/>
      </c>
      <c r="C101" s="26" t="str">
        <f>IF(Egreso[Código de barras]=0,"",INDEX(Stock[n°CC],MATCH(Egreso[Código de barras],Stock[Código de barras],0)))</f>
        <v/>
      </c>
      <c r="D101" s="26" t="str">
        <f>IF(Egreso[Código de barras]=0,"",INDEX(Stock[Cliente],MATCH(Egreso[Código de barras],Stock[Código de barras],0)))</f>
        <v/>
      </c>
      <c r="E101" s="40" t="str">
        <f>IF(Egreso[Código de barras]=0,"",INDEX(Stock[Mes],MATCH(Egreso[Código de barras],Stock[Código de barras],0)))</f>
        <v/>
      </c>
      <c r="F101" s="27" t="str">
        <f>IF(Egreso[Código de barras]=0,"",INDEX(Stock[Detalle],MATCH(Egreso[Código de barras],Stock[Código de barras],0)))</f>
        <v/>
      </c>
      <c r="G101" s="26" t="str">
        <f>IF(Egreso[Código de barras]=0,"",INDEX(Stock[Matriz],MATCH(Egreso[Código de barras],Stock[Código de barras],0)))</f>
        <v/>
      </c>
    </row>
    <row r="102" spans="1:7" x14ac:dyDescent="0.25">
      <c r="A102" s="25"/>
      <c r="B102" s="25" t="str">
        <f t="shared" si="1"/>
        <v/>
      </c>
      <c r="C102" s="26" t="str">
        <f>IF(Egreso[Código de barras]=0,"",INDEX(Stock[n°CC],MATCH(Egreso[Código de barras],Stock[Código de barras],0)))</f>
        <v/>
      </c>
      <c r="D102" s="26" t="str">
        <f>IF(Egreso[Código de barras]=0,"",INDEX(Stock[Cliente],MATCH(Egreso[Código de barras],Stock[Código de barras],0)))</f>
        <v/>
      </c>
      <c r="E102" s="40" t="str">
        <f>IF(Egreso[Código de barras]=0,"",INDEX(Stock[Mes],MATCH(Egreso[Código de barras],Stock[Código de barras],0)))</f>
        <v/>
      </c>
      <c r="F102" s="27" t="str">
        <f>IF(Egreso[Código de barras]=0,"",INDEX(Stock[Detalle],MATCH(Egreso[Código de barras],Stock[Código de barras],0)))</f>
        <v/>
      </c>
      <c r="G102" s="26" t="str">
        <f>IF(Egreso[Código de barras]=0,"",INDEX(Stock[Matriz],MATCH(Egreso[Código de barras],Stock[Código de barras],0)))</f>
        <v/>
      </c>
    </row>
    <row r="103" spans="1:7" x14ac:dyDescent="0.25">
      <c r="A103" s="25"/>
      <c r="B103" s="25" t="str">
        <f t="shared" si="1"/>
        <v/>
      </c>
      <c r="C103" s="26" t="str">
        <f>IF(Egreso[Código de barras]=0,"",INDEX(Stock[n°CC],MATCH(Egreso[Código de barras],Stock[Código de barras],0)))</f>
        <v/>
      </c>
      <c r="D103" s="26" t="str">
        <f>IF(Egreso[Código de barras]=0,"",INDEX(Stock[Cliente],MATCH(Egreso[Código de barras],Stock[Código de barras],0)))</f>
        <v/>
      </c>
      <c r="E103" s="40" t="str">
        <f>IF(Egreso[Código de barras]=0,"",INDEX(Stock[Mes],MATCH(Egreso[Código de barras],Stock[Código de barras],0)))</f>
        <v/>
      </c>
      <c r="F103" s="27" t="str">
        <f>IF(Egreso[Código de barras]=0,"",INDEX(Stock[Detalle],MATCH(Egreso[Código de barras],Stock[Código de barras],0)))</f>
        <v/>
      </c>
      <c r="G103" s="26" t="str">
        <f>IF(Egreso[Código de barras]=0,"",INDEX(Stock[Matriz],MATCH(Egreso[Código de barras],Stock[Código de barras],0)))</f>
        <v/>
      </c>
    </row>
    <row r="104" spans="1:7" x14ac:dyDescent="0.25">
      <c r="A104" s="25"/>
      <c r="B104" s="25" t="str">
        <f t="shared" si="1"/>
        <v/>
      </c>
      <c r="C104" s="26" t="str">
        <f>IF(Egreso[Código de barras]=0,"",INDEX(Stock[n°CC],MATCH(Egreso[Código de barras],Stock[Código de barras],0)))</f>
        <v/>
      </c>
      <c r="D104" s="26" t="str">
        <f>IF(Egreso[Código de barras]=0,"",INDEX(Stock[Cliente],MATCH(Egreso[Código de barras],Stock[Código de barras],0)))</f>
        <v/>
      </c>
      <c r="E104" s="40" t="str">
        <f>IF(Egreso[Código de barras]=0,"",INDEX(Stock[Mes],MATCH(Egreso[Código de barras],Stock[Código de barras],0)))</f>
        <v/>
      </c>
      <c r="F104" s="27" t="str">
        <f>IF(Egreso[Código de barras]=0,"",INDEX(Stock[Detalle],MATCH(Egreso[Código de barras],Stock[Código de barras],0)))</f>
        <v/>
      </c>
      <c r="G104" s="26" t="str">
        <f>IF(Egreso[Código de barras]=0,"",INDEX(Stock[Matriz],MATCH(Egreso[Código de barras],Stock[Código de barras],0)))</f>
        <v/>
      </c>
    </row>
    <row r="105" spans="1:7" x14ac:dyDescent="0.25">
      <c r="A105" s="25"/>
      <c r="B105" s="25" t="str">
        <f t="shared" si="1"/>
        <v/>
      </c>
      <c r="C105" s="26" t="str">
        <f>IF(Egreso[Código de barras]=0,"",INDEX(Stock[n°CC],MATCH(Egreso[Código de barras],Stock[Código de barras],0)))</f>
        <v/>
      </c>
      <c r="D105" s="26" t="str">
        <f>IF(Egreso[Código de barras]=0,"",INDEX(Stock[Cliente],MATCH(Egreso[Código de barras],Stock[Código de barras],0)))</f>
        <v/>
      </c>
      <c r="E105" s="40" t="str">
        <f>IF(Egreso[Código de barras]=0,"",INDEX(Stock[Mes],MATCH(Egreso[Código de barras],Stock[Código de barras],0)))</f>
        <v/>
      </c>
      <c r="F105" s="27" t="str">
        <f>IF(Egreso[Código de barras]=0,"",INDEX(Stock[Detalle],MATCH(Egreso[Código de barras],Stock[Código de barras],0)))</f>
        <v/>
      </c>
      <c r="G105" s="26" t="str">
        <f>IF(Egreso[Código de barras]=0,"",INDEX(Stock[Matriz],MATCH(Egreso[Código de barras],Stock[Código de barras],0)))</f>
        <v/>
      </c>
    </row>
    <row r="106" spans="1:7" x14ac:dyDescent="0.25">
      <c r="A106" s="25"/>
      <c r="B106" s="25" t="str">
        <f t="shared" si="1"/>
        <v/>
      </c>
      <c r="C106" s="26" t="str">
        <f>IF(Egreso[Código de barras]=0,"",INDEX(Stock[n°CC],MATCH(Egreso[Código de barras],Stock[Código de barras],0)))</f>
        <v/>
      </c>
      <c r="D106" s="26" t="str">
        <f>IF(Egreso[Código de barras]=0,"",INDEX(Stock[Cliente],MATCH(Egreso[Código de barras],Stock[Código de barras],0)))</f>
        <v/>
      </c>
      <c r="E106" s="40" t="str">
        <f>IF(Egreso[Código de barras]=0,"",INDEX(Stock[Mes],MATCH(Egreso[Código de barras],Stock[Código de barras],0)))</f>
        <v/>
      </c>
      <c r="F106" s="27" t="str">
        <f>IF(Egreso[Código de barras]=0,"",INDEX(Stock[Detalle],MATCH(Egreso[Código de barras],Stock[Código de barras],0)))</f>
        <v/>
      </c>
      <c r="G106" s="26" t="str">
        <f>IF(Egreso[Código de barras]=0,"",INDEX(Stock[Matriz],MATCH(Egreso[Código de barras],Stock[Código de barras],0)))</f>
        <v/>
      </c>
    </row>
    <row r="107" spans="1:7" x14ac:dyDescent="0.25">
      <c r="A107" s="25"/>
      <c r="B107" s="25" t="str">
        <f t="shared" si="1"/>
        <v/>
      </c>
      <c r="C107" s="26" t="str">
        <f>IF(Egreso[Código de barras]=0,"",INDEX(Stock[n°CC],MATCH(Egreso[Código de barras],Stock[Código de barras],0)))</f>
        <v/>
      </c>
      <c r="D107" s="26" t="str">
        <f>IF(Egreso[Código de barras]=0,"",INDEX(Stock[Cliente],MATCH(Egreso[Código de barras],Stock[Código de barras],0)))</f>
        <v/>
      </c>
      <c r="E107" s="40" t="str">
        <f>IF(Egreso[Código de barras]=0,"",INDEX(Stock[Mes],MATCH(Egreso[Código de barras],Stock[Código de barras],0)))</f>
        <v/>
      </c>
      <c r="F107" s="27" t="str">
        <f>IF(Egreso[Código de barras]=0,"",INDEX(Stock[Detalle],MATCH(Egreso[Código de barras],Stock[Código de barras],0)))</f>
        <v/>
      </c>
      <c r="G107" s="26" t="str">
        <f>IF(Egreso[Código de barras]=0,"",INDEX(Stock[Matriz],MATCH(Egreso[Código de barras],Stock[Código de barras],0)))</f>
        <v/>
      </c>
    </row>
    <row r="108" spans="1:7" x14ac:dyDescent="0.25">
      <c r="A108" s="25"/>
      <c r="B108" s="25" t="str">
        <f t="shared" si="1"/>
        <v/>
      </c>
      <c r="C108" s="26" t="str">
        <f>IF(Egreso[Código de barras]=0,"",INDEX(Stock[n°CC],MATCH(Egreso[Código de barras],Stock[Código de barras],0)))</f>
        <v/>
      </c>
      <c r="D108" s="26" t="str">
        <f>IF(Egreso[Código de barras]=0,"",INDEX(Stock[Cliente],MATCH(Egreso[Código de barras],Stock[Código de barras],0)))</f>
        <v/>
      </c>
      <c r="E108" s="40" t="str">
        <f>IF(Egreso[Código de barras]=0,"",INDEX(Stock[Mes],MATCH(Egreso[Código de barras],Stock[Código de barras],0)))</f>
        <v/>
      </c>
      <c r="F108" s="27" t="str">
        <f>IF(Egreso[Código de barras]=0,"",INDEX(Stock[Detalle],MATCH(Egreso[Código de barras],Stock[Código de barras],0)))</f>
        <v/>
      </c>
      <c r="G108" s="26" t="str">
        <f>IF(Egreso[Código de barras]=0,"",INDEX(Stock[Matriz],MATCH(Egreso[Código de barras],Stock[Código de barras],0)))</f>
        <v/>
      </c>
    </row>
    <row r="109" spans="1:7" x14ac:dyDescent="0.25">
      <c r="A109" s="25"/>
      <c r="B109" s="25" t="str">
        <f t="shared" si="1"/>
        <v/>
      </c>
      <c r="C109" s="26" t="str">
        <f>IF(Egreso[Código de barras]=0,"",INDEX(Stock[n°CC],MATCH(Egreso[Código de barras],Stock[Código de barras],0)))</f>
        <v/>
      </c>
      <c r="D109" s="26" t="str">
        <f>IF(Egreso[Código de barras]=0,"",INDEX(Stock[Cliente],MATCH(Egreso[Código de barras],Stock[Código de barras],0)))</f>
        <v/>
      </c>
      <c r="E109" s="40" t="str">
        <f>IF(Egreso[Código de barras]=0,"",INDEX(Stock[Mes],MATCH(Egreso[Código de barras],Stock[Código de barras],0)))</f>
        <v/>
      </c>
      <c r="F109" s="27" t="str">
        <f>IF(Egreso[Código de barras]=0,"",INDEX(Stock[Detalle],MATCH(Egreso[Código de barras],Stock[Código de barras],0)))</f>
        <v/>
      </c>
      <c r="G109" s="26" t="str">
        <f>IF(Egreso[Código de barras]=0,"",INDEX(Stock[Matriz],MATCH(Egreso[Código de barras],Stock[Código de barras],0)))</f>
        <v/>
      </c>
    </row>
    <row r="110" spans="1:7" x14ac:dyDescent="0.25">
      <c r="A110" s="25"/>
      <c r="B110" s="25" t="str">
        <f t="shared" si="1"/>
        <v/>
      </c>
      <c r="C110" s="26" t="str">
        <f>IF(Egreso[Código de barras]=0,"",INDEX(Stock[n°CC],MATCH(Egreso[Código de barras],Stock[Código de barras],0)))</f>
        <v/>
      </c>
      <c r="D110" s="26" t="str">
        <f>IF(Egreso[Código de barras]=0,"",INDEX(Stock[Cliente],MATCH(Egreso[Código de barras],Stock[Código de barras],0)))</f>
        <v/>
      </c>
      <c r="E110" s="40" t="str">
        <f>IF(Egreso[Código de barras]=0,"",INDEX(Stock[Mes],MATCH(Egreso[Código de barras],Stock[Código de barras],0)))</f>
        <v/>
      </c>
      <c r="F110" s="27" t="str">
        <f>IF(Egreso[Código de barras]=0,"",INDEX(Stock[Detalle],MATCH(Egreso[Código de barras],Stock[Código de barras],0)))</f>
        <v/>
      </c>
      <c r="G110" s="26" t="str">
        <f>IF(Egreso[Código de barras]=0,"",INDEX(Stock[Matriz],MATCH(Egreso[Código de barras],Stock[Código de barras],0)))</f>
        <v/>
      </c>
    </row>
    <row r="111" spans="1:7" x14ac:dyDescent="0.25">
      <c r="A111" s="25"/>
      <c r="B111" s="25" t="str">
        <f t="shared" si="1"/>
        <v/>
      </c>
      <c r="C111" s="26" t="str">
        <f>IF(Egreso[Código de barras]=0,"",INDEX(Stock[n°CC],MATCH(Egreso[Código de barras],Stock[Código de barras],0)))</f>
        <v/>
      </c>
      <c r="D111" s="26" t="str">
        <f>IF(Egreso[Código de barras]=0,"",INDEX(Stock[Cliente],MATCH(Egreso[Código de barras],Stock[Código de barras],0)))</f>
        <v/>
      </c>
      <c r="E111" s="40" t="str">
        <f>IF(Egreso[Código de barras]=0,"",INDEX(Stock[Mes],MATCH(Egreso[Código de barras],Stock[Código de barras],0)))</f>
        <v/>
      </c>
      <c r="F111" s="27" t="str">
        <f>IF(Egreso[Código de barras]=0,"",INDEX(Stock[Detalle],MATCH(Egreso[Código de barras],Stock[Código de barras],0)))</f>
        <v/>
      </c>
      <c r="G111" s="26" t="str">
        <f>IF(Egreso[Código de barras]=0,"",INDEX(Stock[Matriz],MATCH(Egreso[Código de barras],Stock[Código de barras],0)))</f>
        <v/>
      </c>
    </row>
    <row r="112" spans="1:7" x14ac:dyDescent="0.25">
      <c r="A112" s="25"/>
      <c r="B112" s="25" t="str">
        <f t="shared" si="1"/>
        <v/>
      </c>
      <c r="C112" s="26" t="str">
        <f>IF(Egreso[Código de barras]=0,"",INDEX(Stock[n°CC],MATCH(Egreso[Código de barras],Stock[Código de barras],0)))</f>
        <v/>
      </c>
      <c r="D112" s="26" t="str">
        <f>IF(Egreso[Código de barras]=0,"",INDEX(Stock[Cliente],MATCH(Egreso[Código de barras],Stock[Código de barras],0)))</f>
        <v/>
      </c>
      <c r="E112" s="40" t="str">
        <f>IF(Egreso[Código de barras]=0,"",INDEX(Stock[Mes],MATCH(Egreso[Código de barras],Stock[Código de barras],0)))</f>
        <v/>
      </c>
      <c r="F112" s="27" t="str">
        <f>IF(Egreso[Código de barras]=0,"",INDEX(Stock[Detalle],MATCH(Egreso[Código de barras],Stock[Código de barras],0)))</f>
        <v/>
      </c>
      <c r="G112" s="26" t="str">
        <f>IF(Egreso[Código de barras]=0,"",INDEX(Stock[Matriz],MATCH(Egreso[Código de barras],Stock[Código de barras],0)))</f>
        <v/>
      </c>
    </row>
    <row r="113" spans="1:7" x14ac:dyDescent="0.25">
      <c r="A113" s="25"/>
      <c r="B113" s="25" t="str">
        <f t="shared" si="1"/>
        <v/>
      </c>
      <c r="C113" s="26" t="str">
        <f>IF(Egreso[Código de barras]=0,"",INDEX(Stock[n°CC],MATCH(Egreso[Código de barras],Stock[Código de barras],0)))</f>
        <v/>
      </c>
      <c r="D113" s="26" t="str">
        <f>IF(Egreso[Código de barras]=0,"",INDEX(Stock[Cliente],MATCH(Egreso[Código de barras],Stock[Código de barras],0)))</f>
        <v/>
      </c>
      <c r="E113" s="40" t="str">
        <f>IF(Egreso[Código de barras]=0,"",INDEX(Stock[Mes],MATCH(Egreso[Código de barras],Stock[Código de barras],0)))</f>
        <v/>
      </c>
      <c r="F113" s="27" t="str">
        <f>IF(Egreso[Código de barras]=0,"",INDEX(Stock[Detalle],MATCH(Egreso[Código de barras],Stock[Código de barras],0)))</f>
        <v/>
      </c>
      <c r="G113" s="26" t="str">
        <f>IF(Egreso[Código de barras]=0,"",INDEX(Stock[Matriz],MATCH(Egreso[Código de barras],Stock[Código de barras],0)))</f>
        <v/>
      </c>
    </row>
    <row r="114" spans="1:7" x14ac:dyDescent="0.25">
      <c r="A114" s="25"/>
      <c r="B114" s="25" t="str">
        <f t="shared" si="1"/>
        <v/>
      </c>
      <c r="C114" s="26" t="str">
        <f>IF(Egreso[Código de barras]=0,"",INDEX(Stock[n°CC],MATCH(Egreso[Código de barras],Stock[Código de barras],0)))</f>
        <v/>
      </c>
      <c r="D114" s="26" t="str">
        <f>IF(Egreso[Código de barras]=0,"",INDEX(Stock[Cliente],MATCH(Egreso[Código de barras],Stock[Código de barras],0)))</f>
        <v/>
      </c>
      <c r="E114" s="40" t="str">
        <f>IF(Egreso[Código de barras]=0,"",INDEX(Stock[Mes],MATCH(Egreso[Código de barras],Stock[Código de barras],0)))</f>
        <v/>
      </c>
      <c r="F114" s="27" t="str">
        <f>IF(Egreso[Código de barras]=0,"",INDEX(Stock[Detalle],MATCH(Egreso[Código de barras],Stock[Código de barras],0)))</f>
        <v/>
      </c>
      <c r="G114" s="26" t="str">
        <f>IF(Egreso[Código de barras]=0,"",INDEX(Stock[Matriz],MATCH(Egreso[Código de barras],Stock[Código de barras],0)))</f>
        <v/>
      </c>
    </row>
    <row r="115" spans="1:7" x14ac:dyDescent="0.25">
      <c r="A115" s="25"/>
      <c r="B115" s="25" t="str">
        <f t="shared" si="1"/>
        <v/>
      </c>
      <c r="C115" s="26" t="str">
        <f>IF(Egreso[Código de barras]=0,"",INDEX(Stock[n°CC],MATCH(Egreso[Código de barras],Stock[Código de barras],0)))</f>
        <v/>
      </c>
      <c r="D115" s="26" t="str">
        <f>IF(Egreso[Código de barras]=0,"",INDEX(Stock[Cliente],MATCH(Egreso[Código de barras],Stock[Código de barras],0)))</f>
        <v/>
      </c>
      <c r="E115" s="40" t="str">
        <f>IF(Egreso[Código de barras]=0,"",INDEX(Stock[Mes],MATCH(Egreso[Código de barras],Stock[Código de barras],0)))</f>
        <v/>
      </c>
      <c r="F115" s="27" t="str">
        <f>IF(Egreso[Código de barras]=0,"",INDEX(Stock[Detalle],MATCH(Egreso[Código de barras],Stock[Código de barras],0)))</f>
        <v/>
      </c>
      <c r="G115" s="26" t="str">
        <f>IF(Egreso[Código de barras]=0,"",INDEX(Stock[Matriz],MATCH(Egreso[Código de barras],Stock[Código de barras],0)))</f>
        <v/>
      </c>
    </row>
    <row r="116" spans="1:7" x14ac:dyDescent="0.25">
      <c r="A116" s="25"/>
      <c r="B116" s="25" t="str">
        <f t="shared" si="1"/>
        <v/>
      </c>
      <c r="C116" s="26" t="str">
        <f>IF(Egreso[Código de barras]=0,"",INDEX(Stock[n°CC],MATCH(Egreso[Código de barras],Stock[Código de barras],0)))</f>
        <v/>
      </c>
      <c r="D116" s="26" t="str">
        <f>IF(Egreso[Código de barras]=0,"",INDEX(Stock[Cliente],MATCH(Egreso[Código de barras],Stock[Código de barras],0)))</f>
        <v/>
      </c>
      <c r="E116" s="40" t="str">
        <f>IF(Egreso[Código de barras]=0,"",INDEX(Stock[Mes],MATCH(Egreso[Código de barras],Stock[Código de barras],0)))</f>
        <v/>
      </c>
      <c r="F116" s="27" t="str">
        <f>IF(Egreso[Código de barras]=0,"",INDEX(Stock[Detalle],MATCH(Egreso[Código de barras],Stock[Código de barras],0)))</f>
        <v/>
      </c>
      <c r="G116" s="26" t="str">
        <f>IF(Egreso[Código de barras]=0,"",INDEX(Stock[Matriz],MATCH(Egreso[Código de barras],Stock[Código de barras],0)))</f>
        <v/>
      </c>
    </row>
    <row r="117" spans="1:7" x14ac:dyDescent="0.25">
      <c r="A117" s="25"/>
      <c r="B117" s="25" t="str">
        <f t="shared" si="1"/>
        <v/>
      </c>
      <c r="C117" s="26" t="str">
        <f>IF(Egreso[Código de barras]=0,"",INDEX(Stock[n°CC],MATCH(Egreso[Código de barras],Stock[Código de barras],0)))</f>
        <v/>
      </c>
      <c r="D117" s="26" t="str">
        <f>IF(Egreso[Código de barras]=0,"",INDEX(Stock[Cliente],MATCH(Egreso[Código de barras],Stock[Código de barras],0)))</f>
        <v/>
      </c>
      <c r="E117" s="40" t="str">
        <f>IF(Egreso[Código de barras]=0,"",INDEX(Stock[Mes],MATCH(Egreso[Código de barras],Stock[Código de barras],0)))</f>
        <v/>
      </c>
      <c r="F117" s="27" t="str">
        <f>IF(Egreso[Código de barras]=0,"",INDEX(Stock[Detalle],MATCH(Egreso[Código de barras],Stock[Código de barras],0)))</f>
        <v/>
      </c>
      <c r="G117" s="26" t="str">
        <f>IF(Egreso[Código de barras]=0,"",INDEX(Stock[Matriz],MATCH(Egreso[Código de barras],Stock[Código de barras],0)))</f>
        <v/>
      </c>
    </row>
    <row r="118" spans="1:7" x14ac:dyDescent="0.25">
      <c r="A118" s="25"/>
      <c r="B118" s="25" t="str">
        <f t="shared" si="1"/>
        <v/>
      </c>
      <c r="C118" s="26" t="str">
        <f>IF(Egreso[Código de barras]=0,"",INDEX(Stock[n°CC],MATCH(Egreso[Código de barras],Stock[Código de barras],0)))</f>
        <v/>
      </c>
      <c r="D118" s="26" t="str">
        <f>IF(Egreso[Código de barras]=0,"",INDEX(Stock[Cliente],MATCH(Egreso[Código de barras],Stock[Código de barras],0)))</f>
        <v/>
      </c>
      <c r="E118" s="40" t="str">
        <f>IF(Egreso[Código de barras]=0,"",INDEX(Stock[Mes],MATCH(Egreso[Código de barras],Stock[Código de barras],0)))</f>
        <v/>
      </c>
      <c r="F118" s="27" t="str">
        <f>IF(Egreso[Código de barras]=0,"",INDEX(Stock[Detalle],MATCH(Egreso[Código de barras],Stock[Código de barras],0)))</f>
        <v/>
      </c>
      <c r="G118" s="26" t="str">
        <f>IF(Egreso[Código de barras]=0,"",INDEX(Stock[Matriz],MATCH(Egreso[Código de barras],Stock[Código de barras],0)))</f>
        <v/>
      </c>
    </row>
    <row r="119" spans="1:7" x14ac:dyDescent="0.25">
      <c r="A119" s="25"/>
      <c r="B119" s="25" t="str">
        <f t="shared" si="1"/>
        <v/>
      </c>
      <c r="C119" s="26" t="str">
        <f>IF(Egreso[Código de barras]=0,"",INDEX(Stock[n°CC],MATCH(Egreso[Código de barras],Stock[Código de barras],0)))</f>
        <v/>
      </c>
      <c r="D119" s="26" t="str">
        <f>IF(Egreso[Código de barras]=0,"",INDEX(Stock[Cliente],MATCH(Egreso[Código de barras],Stock[Código de barras],0)))</f>
        <v/>
      </c>
      <c r="E119" s="40" t="str">
        <f>IF(Egreso[Código de barras]=0,"",INDEX(Stock[Mes],MATCH(Egreso[Código de barras],Stock[Código de barras],0)))</f>
        <v/>
      </c>
      <c r="F119" s="27" t="str">
        <f>IF(Egreso[Código de barras]=0,"",INDEX(Stock[Detalle],MATCH(Egreso[Código de barras],Stock[Código de barras],0)))</f>
        <v/>
      </c>
      <c r="G119" s="26" t="str">
        <f>IF(Egreso[Código de barras]=0,"",INDEX(Stock[Matriz],MATCH(Egreso[Código de barras],Stock[Código de barras],0)))</f>
        <v/>
      </c>
    </row>
    <row r="120" spans="1:7" x14ac:dyDescent="0.25">
      <c r="A120" s="25"/>
      <c r="B120" s="25" t="str">
        <f t="shared" si="1"/>
        <v/>
      </c>
      <c r="C120" s="26" t="str">
        <f>IF(Egreso[Código de barras]=0,"",INDEX(Stock[n°CC],MATCH(Egreso[Código de barras],Stock[Código de barras],0)))</f>
        <v/>
      </c>
      <c r="D120" s="26" t="str">
        <f>IF(Egreso[Código de barras]=0,"",INDEX(Stock[Cliente],MATCH(Egreso[Código de barras],Stock[Código de barras],0)))</f>
        <v/>
      </c>
      <c r="E120" s="40" t="str">
        <f>IF(Egreso[Código de barras]=0,"",INDEX(Stock[Mes],MATCH(Egreso[Código de barras],Stock[Código de barras],0)))</f>
        <v/>
      </c>
      <c r="F120" s="27" t="str">
        <f>IF(Egreso[Código de barras]=0,"",INDEX(Stock[Detalle],MATCH(Egreso[Código de barras],Stock[Código de barras],0)))</f>
        <v/>
      </c>
      <c r="G120" s="26" t="str">
        <f>IF(Egreso[Código de barras]=0,"",INDEX(Stock[Matriz],MATCH(Egreso[Código de barras],Stock[Código de barras],0)))</f>
        <v/>
      </c>
    </row>
    <row r="121" spans="1:7" x14ac:dyDescent="0.25">
      <c r="A121" s="25"/>
      <c r="B121" s="25" t="str">
        <f t="shared" si="1"/>
        <v/>
      </c>
      <c r="C121" s="26" t="str">
        <f>IF(Egreso[Código de barras]=0,"",INDEX(Stock[n°CC],MATCH(Egreso[Código de barras],Stock[Código de barras],0)))</f>
        <v/>
      </c>
      <c r="D121" s="26" t="str">
        <f>IF(Egreso[Código de barras]=0,"",INDEX(Stock[Cliente],MATCH(Egreso[Código de barras],Stock[Código de barras],0)))</f>
        <v/>
      </c>
      <c r="E121" s="40" t="str">
        <f>IF(Egreso[Código de barras]=0,"",INDEX(Stock[Mes],MATCH(Egreso[Código de barras],Stock[Código de barras],0)))</f>
        <v/>
      </c>
      <c r="F121" s="27" t="str">
        <f>IF(Egreso[Código de barras]=0,"",INDEX(Stock[Detalle],MATCH(Egreso[Código de barras],Stock[Código de barras],0)))</f>
        <v/>
      </c>
      <c r="G121" s="26" t="str">
        <f>IF(Egreso[Código de barras]=0,"",INDEX(Stock[Matriz],MATCH(Egreso[Código de barras],Stock[Código de barras],0)))</f>
        <v/>
      </c>
    </row>
    <row r="122" spans="1:7" x14ac:dyDescent="0.25">
      <c r="A122" s="25"/>
      <c r="B122" s="25" t="str">
        <f t="shared" ref="B122:B185" si="2">IF(A122=0,"",1)</f>
        <v/>
      </c>
      <c r="C122" s="26" t="str">
        <f>IF(Egreso[Código de barras]=0,"",INDEX(Stock[n°CC],MATCH(Egreso[Código de barras],Stock[Código de barras],0)))</f>
        <v/>
      </c>
      <c r="D122" s="26" t="str">
        <f>IF(Egreso[Código de barras]=0,"",INDEX(Stock[Cliente],MATCH(Egreso[Código de barras],Stock[Código de barras],0)))</f>
        <v/>
      </c>
      <c r="E122" s="40" t="str">
        <f>IF(Egreso[Código de barras]=0,"",INDEX(Stock[Mes],MATCH(Egreso[Código de barras],Stock[Código de barras],0)))</f>
        <v/>
      </c>
      <c r="F122" s="27" t="str">
        <f>IF(Egreso[Código de barras]=0,"",INDEX(Stock[Detalle],MATCH(Egreso[Código de barras],Stock[Código de barras],0)))</f>
        <v/>
      </c>
      <c r="G122" s="26" t="str">
        <f>IF(Egreso[Código de barras]=0,"",INDEX(Stock[Matriz],MATCH(Egreso[Código de barras],Stock[Código de barras],0)))</f>
        <v/>
      </c>
    </row>
    <row r="123" spans="1:7" x14ac:dyDescent="0.25">
      <c r="A123" s="25"/>
      <c r="B123" s="25" t="str">
        <f t="shared" si="2"/>
        <v/>
      </c>
      <c r="C123" s="26" t="str">
        <f>IF(Egreso[Código de barras]=0,"",INDEX(Stock[n°CC],MATCH(Egreso[Código de barras],Stock[Código de barras],0)))</f>
        <v/>
      </c>
      <c r="D123" s="26" t="str">
        <f>IF(Egreso[Código de barras]=0,"",INDEX(Stock[Cliente],MATCH(Egreso[Código de barras],Stock[Código de barras],0)))</f>
        <v/>
      </c>
      <c r="E123" s="40" t="str">
        <f>IF(Egreso[Código de barras]=0,"",INDEX(Stock[Mes],MATCH(Egreso[Código de barras],Stock[Código de barras],0)))</f>
        <v/>
      </c>
      <c r="F123" s="27" t="str">
        <f>IF(Egreso[Código de barras]=0,"",INDEX(Stock[Detalle],MATCH(Egreso[Código de barras],Stock[Código de barras],0)))</f>
        <v/>
      </c>
      <c r="G123" s="26" t="str">
        <f>IF(Egreso[Código de barras]=0,"",INDEX(Stock[Matriz],MATCH(Egreso[Código de barras],Stock[Código de barras],0)))</f>
        <v/>
      </c>
    </row>
    <row r="124" spans="1:7" x14ac:dyDescent="0.25">
      <c r="A124" s="25"/>
      <c r="B124" s="25" t="str">
        <f t="shared" si="2"/>
        <v/>
      </c>
      <c r="C124" s="26" t="str">
        <f>IF(Egreso[Código de barras]=0,"",INDEX(Stock[n°CC],MATCH(Egreso[Código de barras],Stock[Código de barras],0)))</f>
        <v/>
      </c>
      <c r="D124" s="26" t="str">
        <f>IF(Egreso[Código de barras]=0,"",INDEX(Stock[Cliente],MATCH(Egreso[Código de barras],Stock[Código de barras],0)))</f>
        <v/>
      </c>
      <c r="E124" s="40" t="str">
        <f>IF(Egreso[Código de barras]=0,"",INDEX(Stock[Mes],MATCH(Egreso[Código de barras],Stock[Código de barras],0)))</f>
        <v/>
      </c>
      <c r="F124" s="27" t="str">
        <f>IF(Egreso[Código de barras]=0,"",INDEX(Stock[Detalle],MATCH(Egreso[Código de barras],Stock[Código de barras],0)))</f>
        <v/>
      </c>
      <c r="G124" s="26" t="str">
        <f>IF(Egreso[Código de barras]=0,"",INDEX(Stock[Matriz],MATCH(Egreso[Código de barras],Stock[Código de barras],0)))</f>
        <v/>
      </c>
    </row>
    <row r="125" spans="1:7" x14ac:dyDescent="0.25">
      <c r="A125" s="25"/>
      <c r="B125" s="25" t="str">
        <f t="shared" si="2"/>
        <v/>
      </c>
      <c r="C125" s="26" t="str">
        <f>IF(Egreso[Código de barras]=0,"",INDEX(Stock[n°CC],MATCH(Egreso[Código de barras],Stock[Código de barras],0)))</f>
        <v/>
      </c>
      <c r="D125" s="26" t="str">
        <f>IF(Egreso[Código de barras]=0,"",INDEX(Stock[Cliente],MATCH(Egreso[Código de barras],Stock[Código de barras],0)))</f>
        <v/>
      </c>
      <c r="E125" s="40" t="str">
        <f>IF(Egreso[Código de barras]=0,"",INDEX(Stock[Mes],MATCH(Egreso[Código de barras],Stock[Código de barras],0)))</f>
        <v/>
      </c>
      <c r="F125" s="27" t="str">
        <f>IF(Egreso[Código de barras]=0,"",INDEX(Stock[Detalle],MATCH(Egreso[Código de barras],Stock[Código de barras],0)))</f>
        <v/>
      </c>
      <c r="G125" s="26" t="str">
        <f>IF(Egreso[Código de barras]=0,"",INDEX(Stock[Matriz],MATCH(Egreso[Código de barras],Stock[Código de barras],0)))</f>
        <v/>
      </c>
    </row>
    <row r="126" spans="1:7" x14ac:dyDescent="0.25">
      <c r="A126" s="25"/>
      <c r="B126" s="25" t="str">
        <f t="shared" si="2"/>
        <v/>
      </c>
      <c r="C126" s="26" t="str">
        <f>IF(Egreso[Código de barras]=0,"",INDEX(Stock[n°CC],MATCH(Egreso[Código de barras],Stock[Código de barras],0)))</f>
        <v/>
      </c>
      <c r="D126" s="26" t="str">
        <f>IF(Egreso[Código de barras]=0,"",INDEX(Stock[Cliente],MATCH(Egreso[Código de barras],Stock[Código de barras],0)))</f>
        <v/>
      </c>
      <c r="E126" s="40" t="str">
        <f>IF(Egreso[Código de barras]=0,"",INDEX(Stock[Mes],MATCH(Egreso[Código de barras],Stock[Código de barras],0)))</f>
        <v/>
      </c>
      <c r="F126" s="27" t="str">
        <f>IF(Egreso[Código de barras]=0,"",INDEX(Stock[Detalle],MATCH(Egreso[Código de barras],Stock[Código de barras],0)))</f>
        <v/>
      </c>
      <c r="G126" s="26" t="str">
        <f>IF(Egreso[Código de barras]=0,"",INDEX(Stock[Matriz],MATCH(Egreso[Código de barras],Stock[Código de barras],0)))</f>
        <v/>
      </c>
    </row>
    <row r="127" spans="1:7" x14ac:dyDescent="0.25">
      <c r="A127" s="25"/>
      <c r="B127" s="25" t="str">
        <f t="shared" si="2"/>
        <v/>
      </c>
      <c r="C127" s="26" t="str">
        <f>IF(Egreso[Código de barras]=0,"",INDEX(Stock[n°CC],MATCH(Egreso[Código de barras],Stock[Código de barras],0)))</f>
        <v/>
      </c>
      <c r="D127" s="26" t="str">
        <f>IF(Egreso[Código de barras]=0,"",INDEX(Stock[Cliente],MATCH(Egreso[Código de barras],Stock[Código de barras],0)))</f>
        <v/>
      </c>
      <c r="E127" s="40" t="str">
        <f>IF(Egreso[Código de barras]=0,"",INDEX(Stock[Mes],MATCH(Egreso[Código de barras],Stock[Código de barras],0)))</f>
        <v/>
      </c>
      <c r="F127" s="27" t="str">
        <f>IF(Egreso[Código de barras]=0,"",INDEX(Stock[Detalle],MATCH(Egreso[Código de barras],Stock[Código de barras],0)))</f>
        <v/>
      </c>
      <c r="G127" s="26" t="str">
        <f>IF(Egreso[Código de barras]=0,"",INDEX(Stock[Matriz],MATCH(Egreso[Código de barras],Stock[Código de barras],0)))</f>
        <v/>
      </c>
    </row>
    <row r="128" spans="1:7" x14ac:dyDescent="0.25">
      <c r="A128" s="25"/>
      <c r="B128" s="25" t="str">
        <f t="shared" si="2"/>
        <v/>
      </c>
      <c r="C128" s="26" t="str">
        <f>IF(Egreso[Código de barras]=0,"",INDEX(Stock[n°CC],MATCH(Egreso[Código de barras],Stock[Código de barras],0)))</f>
        <v/>
      </c>
      <c r="D128" s="26" t="str">
        <f>IF(Egreso[Código de barras]=0,"",INDEX(Stock[Cliente],MATCH(Egreso[Código de barras],Stock[Código de barras],0)))</f>
        <v/>
      </c>
      <c r="E128" s="40" t="str">
        <f>IF(Egreso[Código de barras]=0,"",INDEX(Stock[Mes],MATCH(Egreso[Código de barras],Stock[Código de barras],0)))</f>
        <v/>
      </c>
      <c r="F128" s="27" t="str">
        <f>IF(Egreso[Código de barras]=0,"",INDEX(Stock[Detalle],MATCH(Egreso[Código de barras],Stock[Código de barras],0)))</f>
        <v/>
      </c>
      <c r="G128" s="26" t="str">
        <f>IF(Egreso[Código de barras]=0,"",INDEX(Stock[Matriz],MATCH(Egreso[Código de barras],Stock[Código de barras],0)))</f>
        <v/>
      </c>
    </row>
    <row r="129" spans="1:7" x14ac:dyDescent="0.25">
      <c r="A129" s="25"/>
      <c r="B129" s="25" t="str">
        <f t="shared" si="2"/>
        <v/>
      </c>
      <c r="C129" s="26" t="str">
        <f>IF(Egreso[Código de barras]=0,"",INDEX(Stock[n°CC],MATCH(Egreso[Código de barras],Stock[Código de barras],0)))</f>
        <v/>
      </c>
      <c r="D129" s="26" t="str">
        <f>IF(Egreso[Código de barras]=0,"",INDEX(Stock[Cliente],MATCH(Egreso[Código de barras],Stock[Código de barras],0)))</f>
        <v/>
      </c>
      <c r="E129" s="40" t="str">
        <f>IF(Egreso[Código de barras]=0,"",INDEX(Stock[Mes],MATCH(Egreso[Código de barras],Stock[Código de barras],0)))</f>
        <v/>
      </c>
      <c r="F129" s="27" t="str">
        <f>IF(Egreso[Código de barras]=0,"",INDEX(Stock[Detalle],MATCH(Egreso[Código de barras],Stock[Código de barras],0)))</f>
        <v/>
      </c>
      <c r="G129" s="26" t="str">
        <f>IF(Egreso[Código de barras]=0,"",INDEX(Stock[Matriz],MATCH(Egreso[Código de barras],Stock[Código de barras],0)))</f>
        <v/>
      </c>
    </row>
    <row r="130" spans="1:7" x14ac:dyDescent="0.25">
      <c r="A130" s="25"/>
      <c r="B130" s="25" t="str">
        <f t="shared" si="2"/>
        <v/>
      </c>
      <c r="C130" s="26" t="str">
        <f>IF(Egreso[Código de barras]=0,"",INDEX(Stock[n°CC],MATCH(Egreso[Código de barras],Stock[Código de barras],0)))</f>
        <v/>
      </c>
      <c r="D130" s="26" t="str">
        <f>IF(Egreso[Código de barras]=0,"",INDEX(Stock[Cliente],MATCH(Egreso[Código de barras],Stock[Código de barras],0)))</f>
        <v/>
      </c>
      <c r="E130" s="40" t="str">
        <f>IF(Egreso[Código de barras]=0,"",INDEX(Stock[Mes],MATCH(Egreso[Código de barras],Stock[Código de barras],0)))</f>
        <v/>
      </c>
      <c r="F130" s="27" t="str">
        <f>IF(Egreso[Código de barras]=0,"",INDEX(Stock[Detalle],MATCH(Egreso[Código de barras],Stock[Código de barras],0)))</f>
        <v/>
      </c>
      <c r="G130" s="26" t="str">
        <f>IF(Egreso[Código de barras]=0,"",INDEX(Stock[Matriz],MATCH(Egreso[Código de barras],Stock[Código de barras],0)))</f>
        <v/>
      </c>
    </row>
    <row r="131" spans="1:7" x14ac:dyDescent="0.25">
      <c r="A131" s="25"/>
      <c r="B131" s="25" t="str">
        <f t="shared" si="2"/>
        <v/>
      </c>
      <c r="C131" s="26" t="str">
        <f>IF(Egreso[Código de barras]=0,"",INDEX(Stock[n°CC],MATCH(Egreso[Código de barras],Stock[Código de barras],0)))</f>
        <v/>
      </c>
      <c r="D131" s="26" t="str">
        <f>IF(Egreso[Código de barras]=0,"",INDEX(Stock[Cliente],MATCH(Egreso[Código de barras],Stock[Código de barras],0)))</f>
        <v/>
      </c>
      <c r="E131" s="40" t="str">
        <f>IF(Egreso[Código de barras]=0,"",INDEX(Stock[Mes],MATCH(Egreso[Código de barras],Stock[Código de barras],0)))</f>
        <v/>
      </c>
      <c r="F131" s="27" t="str">
        <f>IF(Egreso[Código de barras]=0,"",INDEX(Stock[Detalle],MATCH(Egreso[Código de barras],Stock[Código de barras],0)))</f>
        <v/>
      </c>
      <c r="G131" s="26" t="str">
        <f>IF(Egreso[Código de barras]=0,"",INDEX(Stock[Matriz],MATCH(Egreso[Código de barras],Stock[Código de barras],0)))</f>
        <v/>
      </c>
    </row>
    <row r="132" spans="1:7" x14ac:dyDescent="0.25">
      <c r="A132" s="25"/>
      <c r="B132" s="25" t="str">
        <f t="shared" si="2"/>
        <v/>
      </c>
      <c r="C132" s="26" t="str">
        <f>IF(Egreso[Código de barras]=0,"",INDEX(Stock[n°CC],MATCH(Egreso[Código de barras],Stock[Código de barras],0)))</f>
        <v/>
      </c>
      <c r="D132" s="26" t="str">
        <f>IF(Egreso[Código de barras]=0,"",INDEX(Stock[Cliente],MATCH(Egreso[Código de barras],Stock[Código de barras],0)))</f>
        <v/>
      </c>
      <c r="E132" s="40" t="str">
        <f>IF(Egreso[Código de barras]=0,"",INDEX(Stock[Mes],MATCH(Egreso[Código de barras],Stock[Código de barras],0)))</f>
        <v/>
      </c>
      <c r="F132" s="27" t="str">
        <f>IF(Egreso[Código de barras]=0,"",INDEX(Stock[Detalle],MATCH(Egreso[Código de barras],Stock[Código de barras],0)))</f>
        <v/>
      </c>
      <c r="G132" s="26" t="str">
        <f>IF(Egreso[Código de barras]=0,"",INDEX(Stock[Matriz],MATCH(Egreso[Código de barras],Stock[Código de barras],0)))</f>
        <v/>
      </c>
    </row>
    <row r="133" spans="1:7" x14ac:dyDescent="0.25">
      <c r="A133" s="25"/>
      <c r="B133" s="25" t="str">
        <f t="shared" si="2"/>
        <v/>
      </c>
      <c r="C133" s="26" t="str">
        <f>IF(Egreso[Código de barras]=0,"",INDEX(Stock[n°CC],MATCH(Egreso[Código de barras],Stock[Código de barras],0)))</f>
        <v/>
      </c>
      <c r="D133" s="26" t="str">
        <f>IF(Egreso[Código de barras]=0,"",INDEX(Stock[Cliente],MATCH(Egreso[Código de barras],Stock[Código de barras],0)))</f>
        <v/>
      </c>
      <c r="E133" s="40" t="str">
        <f>IF(Egreso[Código de barras]=0,"",INDEX(Stock[Mes],MATCH(Egreso[Código de barras],Stock[Código de barras],0)))</f>
        <v/>
      </c>
      <c r="F133" s="27" t="str">
        <f>IF(Egreso[Código de barras]=0,"",INDEX(Stock[Detalle],MATCH(Egreso[Código de barras],Stock[Código de barras],0)))</f>
        <v/>
      </c>
      <c r="G133" s="26" t="str">
        <f>IF(Egreso[Código de barras]=0,"",INDEX(Stock[Matriz],MATCH(Egreso[Código de barras],Stock[Código de barras],0)))</f>
        <v/>
      </c>
    </row>
    <row r="134" spans="1:7" x14ac:dyDescent="0.25">
      <c r="A134" s="25"/>
      <c r="B134" s="25" t="str">
        <f t="shared" si="2"/>
        <v/>
      </c>
      <c r="C134" s="26" t="str">
        <f>IF(Egreso[Código de barras]=0,"",INDEX(Stock[n°CC],MATCH(Egreso[Código de barras],Stock[Código de barras],0)))</f>
        <v/>
      </c>
      <c r="D134" s="26" t="str">
        <f>IF(Egreso[Código de barras]=0,"",INDEX(Stock[Cliente],MATCH(Egreso[Código de barras],Stock[Código de barras],0)))</f>
        <v/>
      </c>
      <c r="E134" s="40" t="str">
        <f>IF(Egreso[Código de barras]=0,"",INDEX(Stock[Mes],MATCH(Egreso[Código de barras],Stock[Código de barras],0)))</f>
        <v/>
      </c>
      <c r="F134" s="27" t="str">
        <f>IF(Egreso[Código de barras]=0,"",INDEX(Stock[Detalle],MATCH(Egreso[Código de barras],Stock[Código de barras],0)))</f>
        <v/>
      </c>
      <c r="G134" s="26" t="str">
        <f>IF(Egreso[Código de barras]=0,"",INDEX(Stock[Matriz],MATCH(Egreso[Código de barras],Stock[Código de barras],0)))</f>
        <v/>
      </c>
    </row>
    <row r="135" spans="1:7" x14ac:dyDescent="0.25">
      <c r="A135" s="25"/>
      <c r="B135" s="25" t="str">
        <f t="shared" si="2"/>
        <v/>
      </c>
      <c r="C135" s="26" t="str">
        <f>IF(Egreso[Código de barras]=0,"",INDEX(Stock[n°CC],MATCH(Egreso[Código de barras],Stock[Código de barras],0)))</f>
        <v/>
      </c>
      <c r="D135" s="26" t="str">
        <f>IF(Egreso[Código de barras]=0,"",INDEX(Stock[Cliente],MATCH(Egreso[Código de barras],Stock[Código de barras],0)))</f>
        <v/>
      </c>
      <c r="E135" s="40" t="str">
        <f>IF(Egreso[Código de barras]=0,"",INDEX(Stock[Mes],MATCH(Egreso[Código de barras],Stock[Código de barras],0)))</f>
        <v/>
      </c>
      <c r="F135" s="27" t="str">
        <f>IF(Egreso[Código de barras]=0,"",INDEX(Stock[Detalle],MATCH(Egreso[Código de barras],Stock[Código de barras],0)))</f>
        <v/>
      </c>
      <c r="G135" s="26" t="str">
        <f>IF(Egreso[Código de barras]=0,"",INDEX(Stock[Matriz],MATCH(Egreso[Código de barras],Stock[Código de barras],0)))</f>
        <v/>
      </c>
    </row>
    <row r="136" spans="1:7" x14ac:dyDescent="0.25">
      <c r="A136" s="25"/>
      <c r="B136" s="25" t="str">
        <f t="shared" si="2"/>
        <v/>
      </c>
      <c r="C136" s="26" t="str">
        <f>IF(Egreso[Código de barras]=0,"",INDEX(Stock[n°CC],MATCH(Egreso[Código de barras],Stock[Código de barras],0)))</f>
        <v/>
      </c>
      <c r="D136" s="26" t="str">
        <f>IF(Egreso[Código de barras]=0,"",INDEX(Stock[Cliente],MATCH(Egreso[Código de barras],Stock[Código de barras],0)))</f>
        <v/>
      </c>
      <c r="E136" s="40" t="str">
        <f>IF(Egreso[Código de barras]=0,"",INDEX(Stock[Mes],MATCH(Egreso[Código de barras],Stock[Código de barras],0)))</f>
        <v/>
      </c>
      <c r="F136" s="27" t="str">
        <f>IF(Egreso[Código de barras]=0,"",INDEX(Stock[Detalle],MATCH(Egreso[Código de barras],Stock[Código de barras],0)))</f>
        <v/>
      </c>
      <c r="G136" s="26" t="str">
        <f>IF(Egreso[Código de barras]=0,"",INDEX(Stock[Matriz],MATCH(Egreso[Código de barras],Stock[Código de barras],0)))</f>
        <v/>
      </c>
    </row>
    <row r="137" spans="1:7" x14ac:dyDescent="0.25">
      <c r="A137" s="25"/>
      <c r="B137" s="25" t="str">
        <f t="shared" si="2"/>
        <v/>
      </c>
      <c r="C137" s="26" t="str">
        <f>IF(Egreso[Código de barras]=0,"",INDEX(Stock[n°CC],MATCH(Egreso[Código de barras],Stock[Código de barras],0)))</f>
        <v/>
      </c>
      <c r="D137" s="26" t="str">
        <f>IF(Egreso[Código de barras]=0,"",INDEX(Stock[Cliente],MATCH(Egreso[Código de barras],Stock[Código de barras],0)))</f>
        <v/>
      </c>
      <c r="E137" s="40" t="str">
        <f>IF(Egreso[Código de barras]=0,"",INDEX(Stock[Mes],MATCH(Egreso[Código de barras],Stock[Código de barras],0)))</f>
        <v/>
      </c>
      <c r="F137" s="27" t="str">
        <f>IF(Egreso[Código de barras]=0,"",INDEX(Stock[Detalle],MATCH(Egreso[Código de barras],Stock[Código de barras],0)))</f>
        <v/>
      </c>
      <c r="G137" s="26" t="str">
        <f>IF(Egreso[Código de barras]=0,"",INDEX(Stock[Matriz],MATCH(Egreso[Código de barras],Stock[Código de barras],0)))</f>
        <v/>
      </c>
    </row>
    <row r="138" spans="1:7" x14ac:dyDescent="0.25">
      <c r="A138" s="25"/>
      <c r="B138" s="25" t="str">
        <f t="shared" si="2"/>
        <v/>
      </c>
      <c r="C138" s="26" t="str">
        <f>IF(Egreso[Código de barras]=0,"",INDEX(Stock[n°CC],MATCH(Egreso[Código de barras],Stock[Código de barras],0)))</f>
        <v/>
      </c>
      <c r="D138" s="26" t="str">
        <f>IF(Egreso[Código de barras]=0,"",INDEX(Stock[Cliente],MATCH(Egreso[Código de barras],Stock[Código de barras],0)))</f>
        <v/>
      </c>
      <c r="E138" s="40" t="str">
        <f>IF(Egreso[Código de barras]=0,"",INDEX(Stock[Mes],MATCH(Egreso[Código de barras],Stock[Código de barras],0)))</f>
        <v/>
      </c>
      <c r="F138" s="27" t="str">
        <f>IF(Egreso[Código de barras]=0,"",INDEX(Stock[Detalle],MATCH(Egreso[Código de barras],Stock[Código de barras],0)))</f>
        <v/>
      </c>
      <c r="G138" s="26" t="str">
        <f>IF(Egreso[Código de barras]=0,"",INDEX(Stock[Matriz],MATCH(Egreso[Código de barras],Stock[Código de barras],0)))</f>
        <v/>
      </c>
    </row>
    <row r="139" spans="1:7" x14ac:dyDescent="0.25">
      <c r="A139" s="25"/>
      <c r="B139" s="25" t="str">
        <f t="shared" si="2"/>
        <v/>
      </c>
      <c r="C139" s="26" t="str">
        <f>IF(Egreso[Código de barras]=0,"",INDEX(Stock[n°CC],MATCH(Egreso[Código de barras],Stock[Código de barras],0)))</f>
        <v/>
      </c>
      <c r="D139" s="26" t="str">
        <f>IF(Egreso[Código de barras]=0,"",INDEX(Stock[Cliente],MATCH(Egreso[Código de barras],Stock[Código de barras],0)))</f>
        <v/>
      </c>
      <c r="E139" s="40" t="str">
        <f>IF(Egreso[Código de barras]=0,"",INDEX(Stock[Mes],MATCH(Egreso[Código de barras],Stock[Código de barras],0)))</f>
        <v/>
      </c>
      <c r="F139" s="27" t="str">
        <f>IF(Egreso[Código de barras]=0,"",INDEX(Stock[Detalle],MATCH(Egreso[Código de barras],Stock[Código de barras],0)))</f>
        <v/>
      </c>
      <c r="G139" s="26" t="str">
        <f>IF(Egreso[Código de barras]=0,"",INDEX(Stock[Matriz],MATCH(Egreso[Código de barras],Stock[Código de barras],0)))</f>
        <v/>
      </c>
    </row>
    <row r="140" spans="1:7" x14ac:dyDescent="0.25">
      <c r="A140" s="25"/>
      <c r="B140" s="25" t="str">
        <f t="shared" si="2"/>
        <v/>
      </c>
      <c r="C140" s="26" t="str">
        <f>IF(Egreso[Código de barras]=0,"",INDEX(Stock[n°CC],MATCH(Egreso[Código de barras],Stock[Código de barras],0)))</f>
        <v/>
      </c>
      <c r="D140" s="26" t="str">
        <f>IF(Egreso[Código de barras]=0,"",INDEX(Stock[Cliente],MATCH(Egreso[Código de barras],Stock[Código de barras],0)))</f>
        <v/>
      </c>
      <c r="E140" s="40" t="str">
        <f>IF(Egreso[Código de barras]=0,"",INDEX(Stock[Mes],MATCH(Egreso[Código de barras],Stock[Código de barras],0)))</f>
        <v/>
      </c>
      <c r="F140" s="27" t="str">
        <f>IF(Egreso[Código de barras]=0,"",INDEX(Stock[Detalle],MATCH(Egreso[Código de barras],Stock[Código de barras],0)))</f>
        <v/>
      </c>
      <c r="G140" s="26" t="str">
        <f>IF(Egreso[Código de barras]=0,"",INDEX(Stock[Matriz],MATCH(Egreso[Código de barras],Stock[Código de barras],0)))</f>
        <v/>
      </c>
    </row>
    <row r="141" spans="1:7" x14ac:dyDescent="0.25">
      <c r="A141" s="25"/>
      <c r="B141" s="25" t="str">
        <f t="shared" si="2"/>
        <v/>
      </c>
      <c r="C141" s="26" t="str">
        <f>IF(Egreso[Código de barras]=0,"",INDEX(Stock[n°CC],MATCH(Egreso[Código de barras],Stock[Código de barras],0)))</f>
        <v/>
      </c>
      <c r="D141" s="26" t="str">
        <f>IF(Egreso[Código de barras]=0,"",INDEX(Stock[Cliente],MATCH(Egreso[Código de barras],Stock[Código de barras],0)))</f>
        <v/>
      </c>
      <c r="E141" s="40" t="str">
        <f>IF(Egreso[Código de barras]=0,"",INDEX(Stock[Mes],MATCH(Egreso[Código de barras],Stock[Código de barras],0)))</f>
        <v/>
      </c>
      <c r="F141" s="27" t="str">
        <f>IF(Egreso[Código de barras]=0,"",INDEX(Stock[Detalle],MATCH(Egreso[Código de barras],Stock[Código de barras],0)))</f>
        <v/>
      </c>
      <c r="G141" s="26" t="str">
        <f>IF(Egreso[Código de barras]=0,"",INDEX(Stock[Matriz],MATCH(Egreso[Código de barras],Stock[Código de barras],0)))</f>
        <v/>
      </c>
    </row>
    <row r="142" spans="1:7" x14ac:dyDescent="0.25">
      <c r="A142" s="25"/>
      <c r="B142" s="25" t="str">
        <f t="shared" si="2"/>
        <v/>
      </c>
      <c r="C142" s="26" t="str">
        <f>IF(Egreso[Código de barras]=0,"",INDEX(Stock[n°CC],MATCH(Egreso[Código de barras],Stock[Código de barras],0)))</f>
        <v/>
      </c>
      <c r="D142" s="26" t="str">
        <f>IF(Egreso[Código de barras]=0,"",INDEX(Stock[Cliente],MATCH(Egreso[Código de barras],Stock[Código de barras],0)))</f>
        <v/>
      </c>
      <c r="E142" s="40" t="str">
        <f>IF(Egreso[Código de barras]=0,"",INDEX(Stock[Mes],MATCH(Egreso[Código de barras],Stock[Código de barras],0)))</f>
        <v/>
      </c>
      <c r="F142" s="27" t="str">
        <f>IF(Egreso[Código de barras]=0,"",INDEX(Stock[Detalle],MATCH(Egreso[Código de barras],Stock[Código de barras],0)))</f>
        <v/>
      </c>
      <c r="G142" s="26" t="str">
        <f>IF(Egreso[Código de barras]=0,"",INDEX(Stock[Matriz],MATCH(Egreso[Código de barras],Stock[Código de barras],0)))</f>
        <v/>
      </c>
    </row>
    <row r="143" spans="1:7" x14ac:dyDescent="0.25">
      <c r="A143" s="25"/>
      <c r="B143" s="25" t="str">
        <f t="shared" si="2"/>
        <v/>
      </c>
      <c r="C143" s="26" t="str">
        <f>IF(Egreso[Código de barras]=0,"",INDEX(Stock[n°CC],MATCH(Egreso[Código de barras],Stock[Código de barras],0)))</f>
        <v/>
      </c>
      <c r="D143" s="26" t="str">
        <f>IF(Egreso[Código de barras]=0,"",INDEX(Stock[Cliente],MATCH(Egreso[Código de barras],Stock[Código de barras],0)))</f>
        <v/>
      </c>
      <c r="E143" s="40" t="str">
        <f>IF(Egreso[Código de barras]=0,"",INDEX(Stock[Mes],MATCH(Egreso[Código de barras],Stock[Código de barras],0)))</f>
        <v/>
      </c>
      <c r="F143" s="27" t="str">
        <f>IF(Egreso[Código de barras]=0,"",INDEX(Stock[Detalle],MATCH(Egreso[Código de barras],Stock[Código de barras],0)))</f>
        <v/>
      </c>
      <c r="G143" s="26" t="str">
        <f>IF(Egreso[Código de barras]=0,"",INDEX(Stock[Matriz],MATCH(Egreso[Código de barras],Stock[Código de barras],0)))</f>
        <v/>
      </c>
    </row>
    <row r="144" spans="1:7" x14ac:dyDescent="0.25">
      <c r="A144" s="25"/>
      <c r="B144" s="25" t="str">
        <f t="shared" si="2"/>
        <v/>
      </c>
      <c r="C144" s="26" t="str">
        <f>IF(Egreso[Código de barras]=0,"",INDEX(Stock[n°CC],MATCH(Egreso[Código de barras],Stock[Código de barras],0)))</f>
        <v/>
      </c>
      <c r="D144" s="26" t="str">
        <f>IF(Egreso[Código de barras]=0,"",INDEX(Stock[Cliente],MATCH(Egreso[Código de barras],Stock[Código de barras],0)))</f>
        <v/>
      </c>
      <c r="E144" s="40" t="str">
        <f>IF(Egreso[Código de barras]=0,"",INDEX(Stock[Mes],MATCH(Egreso[Código de barras],Stock[Código de barras],0)))</f>
        <v/>
      </c>
      <c r="F144" s="27" t="str">
        <f>IF(Egreso[Código de barras]=0,"",INDEX(Stock[Detalle],MATCH(Egreso[Código de barras],Stock[Código de barras],0)))</f>
        <v/>
      </c>
      <c r="G144" s="26" t="str">
        <f>IF(Egreso[Código de barras]=0,"",INDEX(Stock[Matriz],MATCH(Egreso[Código de barras],Stock[Código de barras],0)))</f>
        <v/>
      </c>
    </row>
    <row r="145" spans="1:7" x14ac:dyDescent="0.25">
      <c r="A145" s="25"/>
      <c r="B145" s="25" t="str">
        <f t="shared" si="2"/>
        <v/>
      </c>
      <c r="C145" s="26" t="str">
        <f>IF(Egreso[Código de barras]=0,"",INDEX(Stock[n°CC],MATCH(Egreso[Código de barras],Stock[Código de barras],0)))</f>
        <v/>
      </c>
      <c r="D145" s="26" t="str">
        <f>IF(Egreso[Código de barras]=0,"",INDEX(Stock[Cliente],MATCH(Egreso[Código de barras],Stock[Código de barras],0)))</f>
        <v/>
      </c>
      <c r="E145" s="40" t="str">
        <f>IF(Egreso[Código de barras]=0,"",INDEX(Stock[Mes],MATCH(Egreso[Código de barras],Stock[Código de barras],0)))</f>
        <v/>
      </c>
      <c r="F145" s="27" t="str">
        <f>IF(Egreso[Código de barras]=0,"",INDEX(Stock[Detalle],MATCH(Egreso[Código de barras],Stock[Código de barras],0)))</f>
        <v/>
      </c>
      <c r="G145" s="26" t="str">
        <f>IF(Egreso[Código de barras]=0,"",INDEX(Stock[Matriz],MATCH(Egreso[Código de barras],Stock[Código de barras],0)))</f>
        <v/>
      </c>
    </row>
    <row r="146" spans="1:7" x14ac:dyDescent="0.25">
      <c r="A146" s="25"/>
      <c r="B146" s="25" t="str">
        <f t="shared" si="2"/>
        <v/>
      </c>
      <c r="C146" s="26" t="str">
        <f>IF(Egreso[Código de barras]=0,"",INDEX(Stock[n°CC],MATCH(Egreso[Código de barras],Stock[Código de barras],0)))</f>
        <v/>
      </c>
      <c r="D146" s="26" t="str">
        <f>IF(Egreso[Código de barras]=0,"",INDEX(Stock[Cliente],MATCH(Egreso[Código de barras],Stock[Código de barras],0)))</f>
        <v/>
      </c>
      <c r="E146" s="40" t="str">
        <f>IF(Egreso[Código de barras]=0,"",INDEX(Stock[Mes],MATCH(Egreso[Código de barras],Stock[Código de barras],0)))</f>
        <v/>
      </c>
      <c r="F146" s="27" t="str">
        <f>IF(Egreso[Código de barras]=0,"",INDEX(Stock[Detalle],MATCH(Egreso[Código de barras],Stock[Código de barras],0)))</f>
        <v/>
      </c>
      <c r="G146" s="26" t="str">
        <f>IF(Egreso[Código de barras]=0,"",INDEX(Stock[Matriz],MATCH(Egreso[Código de barras],Stock[Código de barras],0)))</f>
        <v/>
      </c>
    </row>
    <row r="147" spans="1:7" x14ac:dyDescent="0.25">
      <c r="A147" s="25"/>
      <c r="B147" s="25" t="str">
        <f t="shared" si="2"/>
        <v/>
      </c>
      <c r="C147" s="26" t="str">
        <f>IF(Egreso[Código de barras]=0,"",INDEX(Stock[n°CC],MATCH(Egreso[Código de barras],Stock[Código de barras],0)))</f>
        <v/>
      </c>
      <c r="D147" s="26" t="str">
        <f>IF(Egreso[Código de barras]=0,"",INDEX(Stock[Cliente],MATCH(Egreso[Código de barras],Stock[Código de barras],0)))</f>
        <v/>
      </c>
      <c r="E147" s="40" t="str">
        <f>IF(Egreso[Código de barras]=0,"",INDEX(Stock[Mes],MATCH(Egreso[Código de barras],Stock[Código de barras],0)))</f>
        <v/>
      </c>
      <c r="F147" s="27" t="str">
        <f>IF(Egreso[Código de barras]=0,"",INDEX(Stock[Detalle],MATCH(Egreso[Código de barras],Stock[Código de barras],0)))</f>
        <v/>
      </c>
      <c r="G147" s="26" t="str">
        <f>IF(Egreso[Código de barras]=0,"",INDEX(Stock[Matriz],MATCH(Egreso[Código de barras],Stock[Código de barras],0)))</f>
        <v/>
      </c>
    </row>
    <row r="148" spans="1:7" x14ac:dyDescent="0.25">
      <c r="A148" s="25"/>
      <c r="B148" s="25" t="str">
        <f t="shared" si="2"/>
        <v/>
      </c>
      <c r="C148" s="26" t="str">
        <f>IF(Egreso[Código de barras]=0,"",INDEX(Stock[n°CC],MATCH(Egreso[Código de barras],Stock[Código de barras],0)))</f>
        <v/>
      </c>
      <c r="D148" s="26" t="str">
        <f>IF(Egreso[Código de barras]=0,"",INDEX(Stock[Cliente],MATCH(Egreso[Código de barras],Stock[Código de barras],0)))</f>
        <v/>
      </c>
      <c r="E148" s="40" t="str">
        <f>IF(Egreso[Código de barras]=0,"",INDEX(Stock[Mes],MATCH(Egreso[Código de barras],Stock[Código de barras],0)))</f>
        <v/>
      </c>
      <c r="F148" s="27" t="str">
        <f>IF(Egreso[Código de barras]=0,"",INDEX(Stock[Detalle],MATCH(Egreso[Código de barras],Stock[Código de barras],0)))</f>
        <v/>
      </c>
      <c r="G148" s="26" t="str">
        <f>IF(Egreso[Código de barras]=0,"",INDEX(Stock[Matriz],MATCH(Egreso[Código de barras],Stock[Código de barras],0)))</f>
        <v/>
      </c>
    </row>
    <row r="149" spans="1:7" x14ac:dyDescent="0.25">
      <c r="A149" s="25"/>
      <c r="B149" s="25" t="str">
        <f t="shared" si="2"/>
        <v/>
      </c>
      <c r="C149" s="26" t="str">
        <f>IF(Egreso[Código de barras]=0,"",INDEX(Stock[n°CC],MATCH(Egreso[Código de barras],Stock[Código de barras],0)))</f>
        <v/>
      </c>
      <c r="D149" s="26" t="str">
        <f>IF(Egreso[Código de barras]=0,"",INDEX(Stock[Cliente],MATCH(Egreso[Código de barras],Stock[Código de barras],0)))</f>
        <v/>
      </c>
      <c r="E149" s="40" t="str">
        <f>IF(Egreso[Código de barras]=0,"",INDEX(Stock[Mes],MATCH(Egreso[Código de barras],Stock[Código de barras],0)))</f>
        <v/>
      </c>
      <c r="F149" s="27" t="str">
        <f>IF(Egreso[Código de barras]=0,"",INDEX(Stock[Detalle],MATCH(Egreso[Código de barras],Stock[Código de barras],0)))</f>
        <v/>
      </c>
      <c r="G149" s="26" t="str">
        <f>IF(Egreso[Código de barras]=0,"",INDEX(Stock[Matriz],MATCH(Egreso[Código de barras],Stock[Código de barras],0)))</f>
        <v/>
      </c>
    </row>
    <row r="150" spans="1:7" x14ac:dyDescent="0.25">
      <c r="A150" s="25"/>
      <c r="B150" s="25" t="str">
        <f t="shared" si="2"/>
        <v/>
      </c>
      <c r="C150" s="26" t="str">
        <f>IF(Egreso[Código de barras]=0,"",INDEX(Stock[n°CC],MATCH(Egreso[Código de barras],Stock[Código de barras],0)))</f>
        <v/>
      </c>
      <c r="D150" s="26" t="str">
        <f>IF(Egreso[Código de barras]=0,"",INDEX(Stock[Cliente],MATCH(Egreso[Código de barras],Stock[Código de barras],0)))</f>
        <v/>
      </c>
      <c r="E150" s="40" t="str">
        <f>IF(Egreso[Código de barras]=0,"",INDEX(Stock[Mes],MATCH(Egreso[Código de barras],Stock[Código de barras],0)))</f>
        <v/>
      </c>
      <c r="F150" s="27" t="str">
        <f>IF(Egreso[Código de barras]=0,"",INDEX(Stock[Detalle],MATCH(Egreso[Código de barras],Stock[Código de barras],0)))</f>
        <v/>
      </c>
      <c r="G150" s="26" t="str">
        <f>IF(Egreso[Código de barras]=0,"",INDEX(Stock[Matriz],MATCH(Egreso[Código de barras],Stock[Código de barras],0)))</f>
        <v/>
      </c>
    </row>
    <row r="151" spans="1:7" x14ac:dyDescent="0.25">
      <c r="A151" s="25"/>
      <c r="B151" s="25" t="str">
        <f t="shared" si="2"/>
        <v/>
      </c>
      <c r="C151" s="26" t="str">
        <f>IF(Egreso[Código de barras]=0,"",INDEX(Stock[n°CC],MATCH(Egreso[Código de barras],Stock[Código de barras],0)))</f>
        <v/>
      </c>
      <c r="D151" s="26" t="str">
        <f>IF(Egreso[Código de barras]=0,"",INDEX(Stock[Cliente],MATCH(Egreso[Código de barras],Stock[Código de barras],0)))</f>
        <v/>
      </c>
      <c r="E151" s="40" t="str">
        <f>IF(Egreso[Código de barras]=0,"",INDEX(Stock[Mes],MATCH(Egreso[Código de barras],Stock[Código de barras],0)))</f>
        <v/>
      </c>
      <c r="F151" s="27" t="str">
        <f>IF(Egreso[Código de barras]=0,"",INDEX(Stock[Detalle],MATCH(Egreso[Código de barras],Stock[Código de barras],0)))</f>
        <v/>
      </c>
      <c r="G151" s="26" t="str">
        <f>IF(Egreso[Código de barras]=0,"",INDEX(Stock[Matriz],MATCH(Egreso[Código de barras],Stock[Código de barras],0)))</f>
        <v/>
      </c>
    </row>
    <row r="152" spans="1:7" x14ac:dyDescent="0.25">
      <c r="A152" s="25"/>
      <c r="B152" s="25" t="str">
        <f t="shared" si="2"/>
        <v/>
      </c>
      <c r="C152" s="26" t="str">
        <f>IF(Egreso[Código de barras]=0,"",INDEX(Stock[n°CC],MATCH(Egreso[Código de barras],Stock[Código de barras],0)))</f>
        <v/>
      </c>
      <c r="D152" s="26" t="str">
        <f>IF(Egreso[Código de barras]=0,"",INDEX(Stock[Cliente],MATCH(Egreso[Código de barras],Stock[Código de barras],0)))</f>
        <v/>
      </c>
      <c r="E152" s="40" t="str">
        <f>IF(Egreso[Código de barras]=0,"",INDEX(Stock[Mes],MATCH(Egreso[Código de barras],Stock[Código de barras],0)))</f>
        <v/>
      </c>
      <c r="F152" s="27" t="str">
        <f>IF(Egreso[Código de barras]=0,"",INDEX(Stock[Detalle],MATCH(Egreso[Código de barras],Stock[Código de barras],0)))</f>
        <v/>
      </c>
      <c r="G152" s="26" t="str">
        <f>IF(Egreso[Código de barras]=0,"",INDEX(Stock[Matriz],MATCH(Egreso[Código de barras],Stock[Código de barras],0)))</f>
        <v/>
      </c>
    </row>
    <row r="153" spans="1:7" x14ac:dyDescent="0.25">
      <c r="A153" s="25"/>
      <c r="B153" s="25" t="str">
        <f t="shared" si="2"/>
        <v/>
      </c>
      <c r="C153" s="26" t="str">
        <f>IF(Egreso[Código de barras]=0,"",INDEX(Stock[n°CC],MATCH(Egreso[Código de barras],Stock[Código de barras],0)))</f>
        <v/>
      </c>
      <c r="D153" s="26" t="str">
        <f>IF(Egreso[Código de barras]=0,"",INDEX(Stock[Cliente],MATCH(Egreso[Código de barras],Stock[Código de barras],0)))</f>
        <v/>
      </c>
      <c r="E153" s="40" t="str">
        <f>IF(Egreso[Código de barras]=0,"",INDEX(Stock[Mes],MATCH(Egreso[Código de barras],Stock[Código de barras],0)))</f>
        <v/>
      </c>
      <c r="F153" s="27" t="str">
        <f>IF(Egreso[Código de barras]=0,"",INDEX(Stock[Detalle],MATCH(Egreso[Código de barras],Stock[Código de barras],0)))</f>
        <v/>
      </c>
      <c r="G153" s="26" t="str">
        <f>IF(Egreso[Código de barras]=0,"",INDEX(Stock[Matriz],MATCH(Egreso[Código de barras],Stock[Código de barras],0)))</f>
        <v/>
      </c>
    </row>
    <row r="154" spans="1:7" x14ac:dyDescent="0.25">
      <c r="A154" s="25"/>
      <c r="B154" s="25" t="str">
        <f t="shared" si="2"/>
        <v/>
      </c>
      <c r="C154" s="26" t="str">
        <f>IF(Egreso[Código de barras]=0,"",INDEX(Stock[n°CC],MATCH(Egreso[Código de barras],Stock[Código de barras],0)))</f>
        <v/>
      </c>
      <c r="D154" s="26" t="str">
        <f>IF(Egreso[Código de barras]=0,"",INDEX(Stock[Cliente],MATCH(Egreso[Código de barras],Stock[Código de barras],0)))</f>
        <v/>
      </c>
      <c r="E154" s="40" t="str">
        <f>IF(Egreso[Código de barras]=0,"",INDEX(Stock[Mes],MATCH(Egreso[Código de barras],Stock[Código de barras],0)))</f>
        <v/>
      </c>
      <c r="F154" s="27" t="str">
        <f>IF(Egreso[Código de barras]=0,"",INDEX(Stock[Detalle],MATCH(Egreso[Código de barras],Stock[Código de barras],0)))</f>
        <v/>
      </c>
      <c r="G154" s="26" t="str">
        <f>IF(Egreso[Código de barras]=0,"",INDEX(Stock[Matriz],MATCH(Egreso[Código de barras],Stock[Código de barras],0)))</f>
        <v/>
      </c>
    </row>
    <row r="155" spans="1:7" x14ac:dyDescent="0.25">
      <c r="A155" s="25"/>
      <c r="B155" s="25" t="str">
        <f t="shared" si="2"/>
        <v/>
      </c>
      <c r="C155" s="26" t="str">
        <f>IF(Egreso[Código de barras]=0,"",INDEX(Stock[n°CC],MATCH(Egreso[Código de barras],Stock[Código de barras],0)))</f>
        <v/>
      </c>
      <c r="D155" s="26" t="str">
        <f>IF(Egreso[Código de barras]=0,"",INDEX(Stock[Cliente],MATCH(Egreso[Código de barras],Stock[Código de barras],0)))</f>
        <v/>
      </c>
      <c r="E155" s="40" t="str">
        <f>IF(Egreso[Código de barras]=0,"",INDEX(Stock[Mes],MATCH(Egreso[Código de barras],Stock[Código de barras],0)))</f>
        <v/>
      </c>
      <c r="F155" s="27" t="str">
        <f>IF(Egreso[Código de barras]=0,"",INDEX(Stock[Detalle],MATCH(Egreso[Código de barras],Stock[Código de barras],0)))</f>
        <v/>
      </c>
      <c r="G155" s="26" t="str">
        <f>IF(Egreso[Código de barras]=0,"",INDEX(Stock[Matriz],MATCH(Egreso[Código de barras],Stock[Código de barras],0)))</f>
        <v/>
      </c>
    </row>
    <row r="156" spans="1:7" x14ac:dyDescent="0.25">
      <c r="A156" s="25"/>
      <c r="B156" s="25" t="str">
        <f t="shared" si="2"/>
        <v/>
      </c>
      <c r="C156" s="26" t="str">
        <f>IF(Egreso[Código de barras]=0,"",INDEX(Stock[n°CC],MATCH(Egreso[Código de barras],Stock[Código de barras],0)))</f>
        <v/>
      </c>
      <c r="D156" s="26" t="str">
        <f>IF(Egreso[Código de barras]=0,"",INDEX(Stock[Cliente],MATCH(Egreso[Código de barras],Stock[Código de barras],0)))</f>
        <v/>
      </c>
      <c r="E156" s="40" t="str">
        <f>IF(Egreso[Código de barras]=0,"",INDEX(Stock[Mes],MATCH(Egreso[Código de barras],Stock[Código de barras],0)))</f>
        <v/>
      </c>
      <c r="F156" s="27" t="str">
        <f>IF(Egreso[Código de barras]=0,"",INDEX(Stock[Detalle],MATCH(Egreso[Código de barras],Stock[Código de barras],0)))</f>
        <v/>
      </c>
      <c r="G156" s="26" t="str">
        <f>IF(Egreso[Código de barras]=0,"",INDEX(Stock[Matriz],MATCH(Egreso[Código de barras],Stock[Código de barras],0)))</f>
        <v/>
      </c>
    </row>
    <row r="157" spans="1:7" x14ac:dyDescent="0.25">
      <c r="A157" s="25"/>
      <c r="B157" s="25" t="str">
        <f t="shared" si="2"/>
        <v/>
      </c>
      <c r="C157" s="26" t="str">
        <f>IF(Egreso[Código de barras]=0,"",INDEX(Stock[n°CC],MATCH(Egreso[Código de barras],Stock[Código de barras],0)))</f>
        <v/>
      </c>
      <c r="D157" s="26" t="str">
        <f>IF(Egreso[Código de barras]=0,"",INDEX(Stock[Cliente],MATCH(Egreso[Código de barras],Stock[Código de barras],0)))</f>
        <v/>
      </c>
      <c r="E157" s="40" t="str">
        <f>IF(Egreso[Código de barras]=0,"",INDEX(Stock[Mes],MATCH(Egreso[Código de barras],Stock[Código de barras],0)))</f>
        <v/>
      </c>
      <c r="F157" s="27" t="str">
        <f>IF(Egreso[Código de barras]=0,"",INDEX(Stock[Detalle],MATCH(Egreso[Código de barras],Stock[Código de barras],0)))</f>
        <v/>
      </c>
      <c r="G157" s="26" t="str">
        <f>IF(Egreso[Código de barras]=0,"",INDEX(Stock[Matriz],MATCH(Egreso[Código de barras],Stock[Código de barras],0)))</f>
        <v/>
      </c>
    </row>
    <row r="158" spans="1:7" x14ac:dyDescent="0.25">
      <c r="A158" s="25"/>
      <c r="B158" s="25" t="str">
        <f t="shared" si="2"/>
        <v/>
      </c>
      <c r="C158" s="26" t="str">
        <f>IF(Egreso[Código de barras]=0,"",INDEX(Stock[n°CC],MATCH(Egreso[Código de barras],Stock[Código de barras],0)))</f>
        <v/>
      </c>
      <c r="D158" s="26" t="str">
        <f>IF(Egreso[Código de barras]=0,"",INDEX(Stock[Cliente],MATCH(Egreso[Código de barras],Stock[Código de barras],0)))</f>
        <v/>
      </c>
      <c r="E158" s="40" t="str">
        <f>IF(Egreso[Código de barras]=0,"",INDEX(Stock[Mes],MATCH(Egreso[Código de barras],Stock[Código de barras],0)))</f>
        <v/>
      </c>
      <c r="F158" s="27" t="str">
        <f>IF(Egreso[Código de barras]=0,"",INDEX(Stock[Detalle],MATCH(Egreso[Código de barras],Stock[Código de barras],0)))</f>
        <v/>
      </c>
      <c r="G158" s="26" t="str">
        <f>IF(Egreso[Código de barras]=0,"",INDEX(Stock[Matriz],MATCH(Egreso[Código de barras],Stock[Código de barras],0)))</f>
        <v/>
      </c>
    </row>
    <row r="159" spans="1:7" x14ac:dyDescent="0.25">
      <c r="A159" s="25"/>
      <c r="B159" s="25" t="str">
        <f t="shared" si="2"/>
        <v/>
      </c>
      <c r="C159" s="26" t="str">
        <f>IF(Egreso[Código de barras]=0,"",INDEX(Stock[n°CC],MATCH(Egreso[Código de barras],Stock[Código de barras],0)))</f>
        <v/>
      </c>
      <c r="D159" s="26" t="str">
        <f>IF(Egreso[Código de barras]=0,"",INDEX(Stock[Cliente],MATCH(Egreso[Código de barras],Stock[Código de barras],0)))</f>
        <v/>
      </c>
      <c r="E159" s="40" t="str">
        <f>IF(Egreso[Código de barras]=0,"",INDEX(Stock[Mes],MATCH(Egreso[Código de barras],Stock[Código de barras],0)))</f>
        <v/>
      </c>
      <c r="F159" s="27" t="str">
        <f>IF(Egreso[Código de barras]=0,"",INDEX(Stock[Detalle],MATCH(Egreso[Código de barras],Stock[Código de barras],0)))</f>
        <v/>
      </c>
      <c r="G159" s="26" t="str">
        <f>IF(Egreso[Código de barras]=0,"",INDEX(Stock[Matriz],MATCH(Egreso[Código de barras],Stock[Código de barras],0)))</f>
        <v/>
      </c>
    </row>
    <row r="160" spans="1:7" x14ac:dyDescent="0.25">
      <c r="A160" s="25"/>
      <c r="B160" s="25" t="str">
        <f t="shared" si="2"/>
        <v/>
      </c>
      <c r="C160" s="26" t="str">
        <f>IF(Egreso[Código de barras]=0,"",INDEX(Stock[n°CC],MATCH(Egreso[Código de barras],Stock[Código de barras],0)))</f>
        <v/>
      </c>
      <c r="D160" s="26" t="str">
        <f>IF(Egreso[Código de barras]=0,"",INDEX(Stock[Cliente],MATCH(Egreso[Código de barras],Stock[Código de barras],0)))</f>
        <v/>
      </c>
      <c r="E160" s="40" t="str">
        <f>IF(Egreso[Código de barras]=0,"",INDEX(Stock[Mes],MATCH(Egreso[Código de barras],Stock[Código de barras],0)))</f>
        <v/>
      </c>
      <c r="F160" s="27" t="str">
        <f>IF(Egreso[Código de barras]=0,"",INDEX(Stock[Detalle],MATCH(Egreso[Código de barras],Stock[Código de barras],0)))</f>
        <v/>
      </c>
      <c r="G160" s="26" t="str">
        <f>IF(Egreso[Código de barras]=0,"",INDEX(Stock[Matriz],MATCH(Egreso[Código de barras],Stock[Código de barras],0)))</f>
        <v/>
      </c>
    </row>
    <row r="161" spans="1:7" x14ac:dyDescent="0.25">
      <c r="A161" s="25"/>
      <c r="B161" s="25" t="str">
        <f t="shared" si="2"/>
        <v/>
      </c>
      <c r="C161" s="26" t="str">
        <f>IF(Egreso[Código de barras]=0,"",INDEX(Stock[n°CC],MATCH(Egreso[Código de barras],Stock[Código de barras],0)))</f>
        <v/>
      </c>
      <c r="D161" s="26" t="str">
        <f>IF(Egreso[Código de barras]=0,"",INDEX(Stock[Cliente],MATCH(Egreso[Código de barras],Stock[Código de barras],0)))</f>
        <v/>
      </c>
      <c r="E161" s="40" t="str">
        <f>IF(Egreso[Código de barras]=0,"",INDEX(Stock[Mes],MATCH(Egreso[Código de barras],Stock[Código de barras],0)))</f>
        <v/>
      </c>
      <c r="F161" s="27" t="str">
        <f>IF(Egreso[Código de barras]=0,"",INDEX(Stock[Detalle],MATCH(Egreso[Código de barras],Stock[Código de barras],0)))</f>
        <v/>
      </c>
      <c r="G161" s="26" t="str">
        <f>IF(Egreso[Código de barras]=0,"",INDEX(Stock[Matriz],MATCH(Egreso[Código de barras],Stock[Código de barras],0)))</f>
        <v/>
      </c>
    </row>
    <row r="162" spans="1:7" x14ac:dyDescent="0.25">
      <c r="A162" s="25"/>
      <c r="B162" s="25" t="str">
        <f t="shared" si="2"/>
        <v/>
      </c>
      <c r="C162" s="26" t="str">
        <f>IF(Egreso[Código de barras]=0,"",INDEX(Stock[n°CC],MATCH(Egreso[Código de barras],Stock[Código de barras],0)))</f>
        <v/>
      </c>
      <c r="D162" s="26" t="str">
        <f>IF(Egreso[Código de barras]=0,"",INDEX(Stock[Cliente],MATCH(Egreso[Código de barras],Stock[Código de barras],0)))</f>
        <v/>
      </c>
      <c r="E162" s="40" t="str">
        <f>IF(Egreso[Código de barras]=0,"",INDEX(Stock[Mes],MATCH(Egreso[Código de barras],Stock[Código de barras],0)))</f>
        <v/>
      </c>
      <c r="F162" s="27" t="str">
        <f>IF(Egreso[Código de barras]=0,"",INDEX(Stock[Detalle],MATCH(Egreso[Código de barras],Stock[Código de barras],0)))</f>
        <v/>
      </c>
      <c r="G162" s="26" t="str">
        <f>IF(Egreso[Código de barras]=0,"",INDEX(Stock[Matriz],MATCH(Egreso[Código de barras],Stock[Código de barras],0)))</f>
        <v/>
      </c>
    </row>
    <row r="163" spans="1:7" x14ac:dyDescent="0.25">
      <c r="A163" s="25"/>
      <c r="B163" s="25" t="str">
        <f t="shared" si="2"/>
        <v/>
      </c>
      <c r="C163" s="26" t="str">
        <f>IF(Egreso[Código de barras]=0,"",INDEX(Stock[n°CC],MATCH(Egreso[Código de barras],Stock[Código de barras],0)))</f>
        <v/>
      </c>
      <c r="D163" s="26" t="str">
        <f>IF(Egreso[Código de barras]=0,"",INDEX(Stock[Cliente],MATCH(Egreso[Código de barras],Stock[Código de barras],0)))</f>
        <v/>
      </c>
      <c r="E163" s="40" t="str">
        <f>IF(Egreso[Código de barras]=0,"",INDEX(Stock[Mes],MATCH(Egreso[Código de barras],Stock[Código de barras],0)))</f>
        <v/>
      </c>
      <c r="F163" s="27" t="str">
        <f>IF(Egreso[Código de barras]=0,"",INDEX(Stock[Detalle],MATCH(Egreso[Código de barras],Stock[Código de barras],0)))</f>
        <v/>
      </c>
      <c r="G163" s="26" t="str">
        <f>IF(Egreso[Código de barras]=0,"",INDEX(Stock[Matriz],MATCH(Egreso[Código de barras],Stock[Código de barras],0)))</f>
        <v/>
      </c>
    </row>
    <row r="164" spans="1:7" x14ac:dyDescent="0.25">
      <c r="A164" s="25"/>
      <c r="B164" s="25" t="str">
        <f t="shared" si="2"/>
        <v/>
      </c>
      <c r="C164" s="26" t="str">
        <f>IF(Egreso[Código de barras]=0,"",INDEX(Stock[n°CC],MATCH(Egreso[Código de barras],Stock[Código de barras],0)))</f>
        <v/>
      </c>
      <c r="D164" s="26" t="str">
        <f>IF(Egreso[Código de barras]=0,"",INDEX(Stock[Cliente],MATCH(Egreso[Código de barras],Stock[Código de barras],0)))</f>
        <v/>
      </c>
      <c r="E164" s="40" t="str">
        <f>IF(Egreso[Código de barras]=0,"",INDEX(Stock[Mes],MATCH(Egreso[Código de barras],Stock[Código de barras],0)))</f>
        <v/>
      </c>
      <c r="F164" s="27" t="str">
        <f>IF(Egreso[Código de barras]=0,"",INDEX(Stock[Detalle],MATCH(Egreso[Código de barras],Stock[Código de barras],0)))</f>
        <v/>
      </c>
      <c r="G164" s="26" t="str">
        <f>IF(Egreso[Código de barras]=0,"",INDEX(Stock[Matriz],MATCH(Egreso[Código de barras],Stock[Código de barras],0)))</f>
        <v/>
      </c>
    </row>
    <row r="165" spans="1:7" x14ac:dyDescent="0.25">
      <c r="A165" s="25"/>
      <c r="B165" s="25" t="str">
        <f t="shared" si="2"/>
        <v/>
      </c>
      <c r="C165" s="26" t="str">
        <f>IF(Egreso[Código de barras]=0,"",INDEX(Stock[n°CC],MATCH(Egreso[Código de barras],Stock[Código de barras],0)))</f>
        <v/>
      </c>
      <c r="D165" s="26" t="str">
        <f>IF(Egreso[Código de barras]=0,"",INDEX(Stock[Cliente],MATCH(Egreso[Código de barras],Stock[Código de barras],0)))</f>
        <v/>
      </c>
      <c r="E165" s="40" t="str">
        <f>IF(Egreso[Código de barras]=0,"",INDEX(Stock[Mes],MATCH(Egreso[Código de barras],Stock[Código de barras],0)))</f>
        <v/>
      </c>
      <c r="F165" s="27" t="str">
        <f>IF(Egreso[Código de barras]=0,"",INDEX(Stock[Detalle],MATCH(Egreso[Código de barras],Stock[Código de barras],0)))</f>
        <v/>
      </c>
      <c r="G165" s="26" t="str">
        <f>IF(Egreso[Código de barras]=0,"",INDEX(Stock[Matriz],MATCH(Egreso[Código de barras],Stock[Código de barras],0)))</f>
        <v/>
      </c>
    </row>
    <row r="166" spans="1:7" x14ac:dyDescent="0.25">
      <c r="A166" s="25"/>
      <c r="B166" s="25" t="str">
        <f t="shared" si="2"/>
        <v/>
      </c>
      <c r="C166" s="26" t="str">
        <f>IF(Egreso[Código de barras]=0,"",INDEX(Stock[n°CC],MATCH(Egreso[Código de barras],Stock[Código de barras],0)))</f>
        <v/>
      </c>
      <c r="D166" s="26" t="str">
        <f>IF(Egreso[Código de barras]=0,"",INDEX(Stock[Cliente],MATCH(Egreso[Código de barras],Stock[Código de barras],0)))</f>
        <v/>
      </c>
      <c r="E166" s="40" t="str">
        <f>IF(Egreso[Código de barras]=0,"",INDEX(Stock[Mes],MATCH(Egreso[Código de barras],Stock[Código de barras],0)))</f>
        <v/>
      </c>
      <c r="F166" s="27" t="str">
        <f>IF(Egreso[Código de barras]=0,"",INDEX(Stock[Detalle],MATCH(Egreso[Código de barras],Stock[Código de barras],0)))</f>
        <v/>
      </c>
      <c r="G166" s="26" t="str">
        <f>IF(Egreso[Código de barras]=0,"",INDEX(Stock[Matriz],MATCH(Egreso[Código de barras],Stock[Código de barras],0)))</f>
        <v/>
      </c>
    </row>
    <row r="167" spans="1:7" x14ac:dyDescent="0.25">
      <c r="A167" s="25"/>
      <c r="B167" s="25" t="str">
        <f t="shared" si="2"/>
        <v/>
      </c>
      <c r="C167" s="26" t="str">
        <f>IF(Egreso[Código de barras]=0,"",INDEX(Stock[n°CC],MATCH(Egreso[Código de barras],Stock[Código de barras],0)))</f>
        <v/>
      </c>
      <c r="D167" s="26" t="str">
        <f>IF(Egreso[Código de barras]=0,"",INDEX(Stock[Cliente],MATCH(Egreso[Código de barras],Stock[Código de barras],0)))</f>
        <v/>
      </c>
      <c r="E167" s="40" t="str">
        <f>IF(Egreso[Código de barras]=0,"",INDEX(Stock[Mes],MATCH(Egreso[Código de barras],Stock[Código de barras],0)))</f>
        <v/>
      </c>
      <c r="F167" s="27" t="str">
        <f>IF(Egreso[Código de barras]=0,"",INDEX(Stock[Detalle],MATCH(Egreso[Código de barras],Stock[Código de barras],0)))</f>
        <v/>
      </c>
      <c r="G167" s="26" t="str">
        <f>IF(Egreso[Código de barras]=0,"",INDEX(Stock[Matriz],MATCH(Egreso[Código de barras],Stock[Código de barras],0)))</f>
        <v/>
      </c>
    </row>
    <row r="168" spans="1:7" x14ac:dyDescent="0.25">
      <c r="A168" s="25"/>
      <c r="B168" s="25" t="str">
        <f t="shared" si="2"/>
        <v/>
      </c>
      <c r="C168" s="26" t="str">
        <f>IF(Egreso[Código de barras]=0,"",INDEX(Stock[n°CC],MATCH(Egreso[Código de barras],Stock[Código de barras],0)))</f>
        <v/>
      </c>
      <c r="D168" s="26" t="str">
        <f>IF(Egreso[Código de barras]=0,"",INDEX(Stock[Cliente],MATCH(Egreso[Código de barras],Stock[Código de barras],0)))</f>
        <v/>
      </c>
      <c r="E168" s="40" t="str">
        <f>IF(Egreso[Código de barras]=0,"",INDEX(Stock[Mes],MATCH(Egreso[Código de barras],Stock[Código de barras],0)))</f>
        <v/>
      </c>
      <c r="F168" s="27" t="str">
        <f>IF(Egreso[Código de barras]=0,"",INDEX(Stock[Detalle],MATCH(Egreso[Código de barras],Stock[Código de barras],0)))</f>
        <v/>
      </c>
      <c r="G168" s="26" t="str">
        <f>IF(Egreso[Código de barras]=0,"",INDEX(Stock[Matriz],MATCH(Egreso[Código de barras],Stock[Código de barras],0)))</f>
        <v/>
      </c>
    </row>
    <row r="169" spans="1:7" x14ac:dyDescent="0.25">
      <c r="A169" s="25"/>
      <c r="B169" s="25" t="str">
        <f t="shared" si="2"/>
        <v/>
      </c>
      <c r="C169" s="26" t="str">
        <f>IF(Egreso[Código de barras]=0,"",INDEX(Stock[n°CC],MATCH(Egreso[Código de barras],Stock[Código de barras],0)))</f>
        <v/>
      </c>
      <c r="D169" s="26" t="str">
        <f>IF(Egreso[Código de barras]=0,"",INDEX(Stock[Cliente],MATCH(Egreso[Código de barras],Stock[Código de barras],0)))</f>
        <v/>
      </c>
      <c r="E169" s="40" t="str">
        <f>IF(Egreso[Código de barras]=0,"",INDEX(Stock[Mes],MATCH(Egreso[Código de barras],Stock[Código de barras],0)))</f>
        <v/>
      </c>
      <c r="F169" s="27" t="str">
        <f>IF(Egreso[Código de barras]=0,"",INDEX(Stock[Detalle],MATCH(Egreso[Código de barras],Stock[Código de barras],0)))</f>
        <v/>
      </c>
      <c r="G169" s="26" t="str">
        <f>IF(Egreso[Código de barras]=0,"",INDEX(Stock[Matriz],MATCH(Egreso[Código de barras],Stock[Código de barras],0)))</f>
        <v/>
      </c>
    </row>
    <row r="170" spans="1:7" x14ac:dyDescent="0.25">
      <c r="A170" s="25"/>
      <c r="B170" s="25" t="str">
        <f t="shared" si="2"/>
        <v/>
      </c>
      <c r="C170" s="26" t="str">
        <f>IF(Egreso[Código de barras]=0,"",INDEX(Stock[n°CC],MATCH(Egreso[Código de barras],Stock[Código de barras],0)))</f>
        <v/>
      </c>
      <c r="D170" s="26" t="str">
        <f>IF(Egreso[Código de barras]=0,"",INDEX(Stock[Cliente],MATCH(Egreso[Código de barras],Stock[Código de barras],0)))</f>
        <v/>
      </c>
      <c r="E170" s="40" t="str">
        <f>IF(Egreso[Código de barras]=0,"",INDEX(Stock[Mes],MATCH(Egreso[Código de barras],Stock[Código de barras],0)))</f>
        <v/>
      </c>
      <c r="F170" s="27" t="str">
        <f>IF(Egreso[Código de barras]=0,"",INDEX(Stock[Detalle],MATCH(Egreso[Código de barras],Stock[Código de barras],0)))</f>
        <v/>
      </c>
      <c r="G170" s="26" t="str">
        <f>IF(Egreso[Código de barras]=0,"",INDEX(Stock[Matriz],MATCH(Egreso[Código de barras],Stock[Código de barras],0)))</f>
        <v/>
      </c>
    </row>
    <row r="171" spans="1:7" x14ac:dyDescent="0.25">
      <c r="A171" s="25"/>
      <c r="B171" s="25" t="str">
        <f t="shared" si="2"/>
        <v/>
      </c>
      <c r="C171" s="26" t="str">
        <f>IF(Egreso[Código de barras]=0,"",INDEX(Stock[n°CC],MATCH(Egreso[Código de barras],Stock[Código de barras],0)))</f>
        <v/>
      </c>
      <c r="D171" s="26" t="str">
        <f>IF(Egreso[Código de barras]=0,"",INDEX(Stock[Cliente],MATCH(Egreso[Código de barras],Stock[Código de barras],0)))</f>
        <v/>
      </c>
      <c r="E171" s="40" t="str">
        <f>IF(Egreso[Código de barras]=0,"",INDEX(Stock[Mes],MATCH(Egreso[Código de barras],Stock[Código de barras],0)))</f>
        <v/>
      </c>
      <c r="F171" s="27" t="str">
        <f>IF(Egreso[Código de barras]=0,"",INDEX(Stock[Detalle],MATCH(Egreso[Código de barras],Stock[Código de barras],0)))</f>
        <v/>
      </c>
      <c r="G171" s="26" t="str">
        <f>IF(Egreso[Código de barras]=0,"",INDEX(Stock[Matriz],MATCH(Egreso[Código de barras],Stock[Código de barras],0)))</f>
        <v/>
      </c>
    </row>
    <row r="172" spans="1:7" x14ac:dyDescent="0.25">
      <c r="A172" s="25"/>
      <c r="B172" s="25" t="str">
        <f t="shared" si="2"/>
        <v/>
      </c>
      <c r="C172" s="26" t="str">
        <f>IF(Egreso[Código de barras]=0,"",INDEX(Stock[n°CC],MATCH(Egreso[Código de barras],Stock[Código de barras],0)))</f>
        <v/>
      </c>
      <c r="D172" s="26" t="str">
        <f>IF(Egreso[Código de barras]=0,"",INDEX(Stock[Cliente],MATCH(Egreso[Código de barras],Stock[Código de barras],0)))</f>
        <v/>
      </c>
      <c r="E172" s="40" t="str">
        <f>IF(Egreso[Código de barras]=0,"",INDEX(Stock[Mes],MATCH(Egreso[Código de barras],Stock[Código de barras],0)))</f>
        <v/>
      </c>
      <c r="F172" s="27" t="str">
        <f>IF(Egreso[Código de barras]=0,"",INDEX(Stock[Detalle],MATCH(Egreso[Código de barras],Stock[Código de barras],0)))</f>
        <v/>
      </c>
      <c r="G172" s="26" t="str">
        <f>IF(Egreso[Código de barras]=0,"",INDEX(Stock[Matriz],MATCH(Egreso[Código de barras],Stock[Código de barras],0)))</f>
        <v/>
      </c>
    </row>
    <row r="173" spans="1:7" x14ac:dyDescent="0.25">
      <c r="A173" s="25"/>
      <c r="B173" s="25" t="str">
        <f t="shared" si="2"/>
        <v/>
      </c>
      <c r="C173" s="26" t="str">
        <f>IF(Egreso[Código de barras]=0,"",INDEX(Stock[n°CC],MATCH(Egreso[Código de barras],Stock[Código de barras],0)))</f>
        <v/>
      </c>
      <c r="D173" s="26" t="str">
        <f>IF(Egreso[Código de barras]=0,"",INDEX(Stock[Cliente],MATCH(Egreso[Código de barras],Stock[Código de barras],0)))</f>
        <v/>
      </c>
      <c r="E173" s="40" t="str">
        <f>IF(Egreso[Código de barras]=0,"",INDEX(Stock[Mes],MATCH(Egreso[Código de barras],Stock[Código de barras],0)))</f>
        <v/>
      </c>
      <c r="F173" s="27" t="str">
        <f>IF(Egreso[Código de barras]=0,"",INDEX(Stock[Detalle],MATCH(Egreso[Código de barras],Stock[Código de barras],0)))</f>
        <v/>
      </c>
      <c r="G173" s="26" t="str">
        <f>IF(Egreso[Código de barras]=0,"",INDEX(Stock[Matriz],MATCH(Egreso[Código de barras],Stock[Código de barras],0)))</f>
        <v/>
      </c>
    </row>
    <row r="174" spans="1:7" x14ac:dyDescent="0.25">
      <c r="A174" s="25"/>
      <c r="B174" s="25" t="str">
        <f t="shared" si="2"/>
        <v/>
      </c>
      <c r="C174" s="26" t="str">
        <f>IF(Egreso[Código de barras]=0,"",INDEX(Stock[n°CC],MATCH(Egreso[Código de barras],Stock[Código de barras],0)))</f>
        <v/>
      </c>
      <c r="D174" s="26" t="str">
        <f>IF(Egreso[Código de barras]=0,"",INDEX(Stock[Cliente],MATCH(Egreso[Código de barras],Stock[Código de barras],0)))</f>
        <v/>
      </c>
      <c r="E174" s="40" t="str">
        <f>IF(Egreso[Código de barras]=0,"",INDEX(Stock[Mes],MATCH(Egreso[Código de barras],Stock[Código de barras],0)))</f>
        <v/>
      </c>
      <c r="F174" s="27" t="str">
        <f>IF(Egreso[Código de barras]=0,"",INDEX(Stock[Detalle],MATCH(Egreso[Código de barras],Stock[Código de barras],0)))</f>
        <v/>
      </c>
      <c r="G174" s="26" t="str">
        <f>IF(Egreso[Código de barras]=0,"",INDEX(Stock[Matriz],MATCH(Egreso[Código de barras],Stock[Código de barras],0)))</f>
        <v/>
      </c>
    </row>
    <row r="175" spans="1:7" x14ac:dyDescent="0.25">
      <c r="A175" s="25"/>
      <c r="B175" s="25" t="str">
        <f t="shared" si="2"/>
        <v/>
      </c>
      <c r="C175" s="26" t="str">
        <f>IF(Egreso[Código de barras]=0,"",INDEX(Stock[n°CC],MATCH(Egreso[Código de barras],Stock[Código de barras],0)))</f>
        <v/>
      </c>
      <c r="D175" s="26" t="str">
        <f>IF(Egreso[Código de barras]=0,"",INDEX(Stock[Cliente],MATCH(Egreso[Código de barras],Stock[Código de barras],0)))</f>
        <v/>
      </c>
      <c r="E175" s="40" t="str">
        <f>IF(Egreso[Código de barras]=0,"",INDEX(Stock[Mes],MATCH(Egreso[Código de barras],Stock[Código de barras],0)))</f>
        <v/>
      </c>
      <c r="F175" s="27" t="str">
        <f>IF(Egreso[Código de barras]=0,"",INDEX(Stock[Detalle],MATCH(Egreso[Código de barras],Stock[Código de barras],0)))</f>
        <v/>
      </c>
      <c r="G175" s="26" t="str">
        <f>IF(Egreso[Código de barras]=0,"",INDEX(Stock[Matriz],MATCH(Egreso[Código de barras],Stock[Código de barras],0)))</f>
        <v/>
      </c>
    </row>
    <row r="176" spans="1:7" x14ac:dyDescent="0.25">
      <c r="A176" s="25"/>
      <c r="B176" s="25" t="str">
        <f t="shared" si="2"/>
        <v/>
      </c>
      <c r="C176" s="26" t="str">
        <f>IF(Egreso[Código de barras]=0,"",INDEX(Stock[n°CC],MATCH(Egreso[Código de barras],Stock[Código de barras],0)))</f>
        <v/>
      </c>
      <c r="D176" s="26" t="str">
        <f>IF(Egreso[Código de barras]=0,"",INDEX(Stock[Cliente],MATCH(Egreso[Código de barras],Stock[Código de barras],0)))</f>
        <v/>
      </c>
      <c r="E176" s="40" t="str">
        <f>IF(Egreso[Código de barras]=0,"",INDEX(Stock[Mes],MATCH(Egreso[Código de barras],Stock[Código de barras],0)))</f>
        <v/>
      </c>
      <c r="F176" s="27" t="str">
        <f>IF(Egreso[Código de barras]=0,"",INDEX(Stock[Detalle],MATCH(Egreso[Código de barras],Stock[Código de barras],0)))</f>
        <v/>
      </c>
      <c r="G176" s="26" t="str">
        <f>IF(Egreso[Código de barras]=0,"",INDEX(Stock[Matriz],MATCH(Egreso[Código de barras],Stock[Código de barras],0)))</f>
        <v/>
      </c>
    </row>
    <row r="177" spans="1:7" x14ac:dyDescent="0.25">
      <c r="A177" s="25"/>
      <c r="B177" s="25" t="str">
        <f t="shared" si="2"/>
        <v/>
      </c>
      <c r="C177" s="26" t="str">
        <f>IF(Egreso[Código de barras]=0,"",INDEX(Stock[n°CC],MATCH(Egreso[Código de barras],Stock[Código de barras],0)))</f>
        <v/>
      </c>
      <c r="D177" s="26" t="str">
        <f>IF(Egreso[Código de barras]=0,"",INDEX(Stock[Cliente],MATCH(Egreso[Código de barras],Stock[Código de barras],0)))</f>
        <v/>
      </c>
      <c r="E177" s="40" t="str">
        <f>IF(Egreso[Código de barras]=0,"",INDEX(Stock[Mes],MATCH(Egreso[Código de barras],Stock[Código de barras],0)))</f>
        <v/>
      </c>
      <c r="F177" s="27" t="str">
        <f>IF(Egreso[Código de barras]=0,"",INDEX(Stock[Detalle],MATCH(Egreso[Código de barras],Stock[Código de barras],0)))</f>
        <v/>
      </c>
      <c r="G177" s="26" t="str">
        <f>IF(Egreso[Código de barras]=0,"",INDEX(Stock[Matriz],MATCH(Egreso[Código de barras],Stock[Código de barras],0)))</f>
        <v/>
      </c>
    </row>
    <row r="178" spans="1:7" x14ac:dyDescent="0.25">
      <c r="A178" s="25"/>
      <c r="B178" s="25" t="str">
        <f t="shared" si="2"/>
        <v/>
      </c>
      <c r="C178" s="26" t="str">
        <f>IF(Egreso[Código de barras]=0,"",INDEX(Stock[n°CC],MATCH(Egreso[Código de barras],Stock[Código de barras],0)))</f>
        <v/>
      </c>
      <c r="D178" s="26" t="str">
        <f>IF(Egreso[Código de barras]=0,"",INDEX(Stock[Cliente],MATCH(Egreso[Código de barras],Stock[Código de barras],0)))</f>
        <v/>
      </c>
      <c r="E178" s="40" t="str">
        <f>IF(Egreso[Código de barras]=0,"",INDEX(Stock[Mes],MATCH(Egreso[Código de barras],Stock[Código de barras],0)))</f>
        <v/>
      </c>
      <c r="F178" s="27" t="str">
        <f>IF(Egreso[Código de barras]=0,"",INDEX(Stock[Detalle],MATCH(Egreso[Código de barras],Stock[Código de barras],0)))</f>
        <v/>
      </c>
      <c r="G178" s="26" t="str">
        <f>IF(Egreso[Código de barras]=0,"",INDEX(Stock[Matriz],MATCH(Egreso[Código de barras],Stock[Código de barras],0)))</f>
        <v/>
      </c>
    </row>
    <row r="179" spans="1:7" x14ac:dyDescent="0.25">
      <c r="A179" s="25"/>
      <c r="B179" s="25" t="str">
        <f t="shared" si="2"/>
        <v/>
      </c>
      <c r="C179" s="26" t="str">
        <f>IF(Egreso[Código de barras]=0,"",INDEX(Stock[n°CC],MATCH(Egreso[Código de barras],Stock[Código de barras],0)))</f>
        <v/>
      </c>
      <c r="D179" s="26" t="str">
        <f>IF(Egreso[Código de barras]=0,"",INDEX(Stock[Cliente],MATCH(Egreso[Código de barras],Stock[Código de barras],0)))</f>
        <v/>
      </c>
      <c r="E179" s="40" t="str">
        <f>IF(Egreso[Código de barras]=0,"",INDEX(Stock[Mes],MATCH(Egreso[Código de barras],Stock[Código de barras],0)))</f>
        <v/>
      </c>
      <c r="F179" s="27" t="str">
        <f>IF(Egreso[Código de barras]=0,"",INDEX(Stock[Detalle],MATCH(Egreso[Código de barras],Stock[Código de barras],0)))</f>
        <v/>
      </c>
      <c r="G179" s="26" t="str">
        <f>IF(Egreso[Código de barras]=0,"",INDEX(Stock[Matriz],MATCH(Egreso[Código de barras],Stock[Código de barras],0)))</f>
        <v/>
      </c>
    </row>
    <row r="180" spans="1:7" x14ac:dyDescent="0.25">
      <c r="A180" s="25"/>
      <c r="B180" s="25" t="str">
        <f t="shared" si="2"/>
        <v/>
      </c>
      <c r="C180" s="26" t="str">
        <f>IF(Egreso[Código de barras]=0,"",INDEX(Stock[n°CC],MATCH(Egreso[Código de barras],Stock[Código de barras],0)))</f>
        <v/>
      </c>
      <c r="D180" s="26" t="str">
        <f>IF(Egreso[Código de barras]=0,"",INDEX(Stock[Cliente],MATCH(Egreso[Código de barras],Stock[Código de barras],0)))</f>
        <v/>
      </c>
      <c r="E180" s="40" t="str">
        <f>IF(Egreso[Código de barras]=0,"",INDEX(Stock[Mes],MATCH(Egreso[Código de barras],Stock[Código de barras],0)))</f>
        <v/>
      </c>
      <c r="F180" s="27" t="str">
        <f>IF(Egreso[Código de barras]=0,"",INDEX(Stock[Detalle],MATCH(Egreso[Código de barras],Stock[Código de barras],0)))</f>
        <v/>
      </c>
      <c r="G180" s="26" t="str">
        <f>IF(Egreso[Código de barras]=0,"",INDEX(Stock[Matriz],MATCH(Egreso[Código de barras],Stock[Código de barras],0)))</f>
        <v/>
      </c>
    </row>
    <row r="181" spans="1:7" x14ac:dyDescent="0.25">
      <c r="A181" s="25"/>
      <c r="B181" s="25" t="str">
        <f t="shared" si="2"/>
        <v/>
      </c>
      <c r="C181" s="26" t="str">
        <f>IF(Egreso[Código de barras]=0,"",INDEX(Stock[n°CC],MATCH(Egreso[Código de barras],Stock[Código de barras],0)))</f>
        <v/>
      </c>
      <c r="D181" s="26" t="str">
        <f>IF(Egreso[Código de barras]=0,"",INDEX(Stock[Cliente],MATCH(Egreso[Código de barras],Stock[Código de barras],0)))</f>
        <v/>
      </c>
      <c r="E181" s="40" t="str">
        <f>IF(Egreso[Código de barras]=0,"",INDEX(Stock[Mes],MATCH(Egreso[Código de barras],Stock[Código de barras],0)))</f>
        <v/>
      </c>
      <c r="F181" s="27" t="str">
        <f>IF(Egreso[Código de barras]=0,"",INDEX(Stock[Detalle],MATCH(Egreso[Código de barras],Stock[Código de barras],0)))</f>
        <v/>
      </c>
      <c r="G181" s="26" t="str">
        <f>IF(Egreso[Código de barras]=0,"",INDEX(Stock[Matriz],MATCH(Egreso[Código de barras],Stock[Código de barras],0)))</f>
        <v/>
      </c>
    </row>
    <row r="182" spans="1:7" x14ac:dyDescent="0.25">
      <c r="A182" s="25"/>
      <c r="B182" s="25" t="str">
        <f t="shared" si="2"/>
        <v/>
      </c>
      <c r="C182" s="26" t="str">
        <f>IF(Egreso[Código de barras]=0,"",INDEX(Stock[n°CC],MATCH(Egreso[Código de barras],Stock[Código de barras],0)))</f>
        <v/>
      </c>
      <c r="D182" s="26" t="str">
        <f>IF(Egreso[Código de barras]=0,"",INDEX(Stock[Cliente],MATCH(Egreso[Código de barras],Stock[Código de barras],0)))</f>
        <v/>
      </c>
      <c r="E182" s="40" t="str">
        <f>IF(Egreso[Código de barras]=0,"",INDEX(Stock[Mes],MATCH(Egreso[Código de barras],Stock[Código de barras],0)))</f>
        <v/>
      </c>
      <c r="F182" s="27" t="str">
        <f>IF(Egreso[Código de barras]=0,"",INDEX(Stock[Detalle],MATCH(Egreso[Código de barras],Stock[Código de barras],0)))</f>
        <v/>
      </c>
      <c r="G182" s="26" t="str">
        <f>IF(Egreso[Código de barras]=0,"",INDEX(Stock[Matriz],MATCH(Egreso[Código de barras],Stock[Código de barras],0)))</f>
        <v/>
      </c>
    </row>
    <row r="183" spans="1:7" x14ac:dyDescent="0.25">
      <c r="A183" s="25"/>
      <c r="B183" s="25" t="str">
        <f t="shared" si="2"/>
        <v/>
      </c>
      <c r="C183" s="26" t="str">
        <f>IF(Egreso[Código de barras]=0,"",INDEX(Stock[n°CC],MATCH(Egreso[Código de barras],Stock[Código de barras],0)))</f>
        <v/>
      </c>
      <c r="D183" s="26" t="str">
        <f>IF(Egreso[Código de barras]=0,"",INDEX(Stock[Cliente],MATCH(Egreso[Código de barras],Stock[Código de barras],0)))</f>
        <v/>
      </c>
      <c r="E183" s="40" t="str">
        <f>IF(Egreso[Código de barras]=0,"",INDEX(Stock[Mes],MATCH(Egreso[Código de barras],Stock[Código de barras],0)))</f>
        <v/>
      </c>
      <c r="F183" s="27" t="str">
        <f>IF(Egreso[Código de barras]=0,"",INDEX(Stock[Detalle],MATCH(Egreso[Código de barras],Stock[Código de barras],0)))</f>
        <v/>
      </c>
      <c r="G183" s="26" t="str">
        <f>IF(Egreso[Código de barras]=0,"",INDEX(Stock[Matriz],MATCH(Egreso[Código de barras],Stock[Código de barras],0)))</f>
        <v/>
      </c>
    </row>
    <row r="184" spans="1:7" x14ac:dyDescent="0.25">
      <c r="A184" s="25"/>
      <c r="B184" s="25" t="str">
        <f t="shared" si="2"/>
        <v/>
      </c>
      <c r="C184" s="26" t="str">
        <f>IF(Egreso[Código de barras]=0,"",INDEX(Stock[n°CC],MATCH(Egreso[Código de barras],Stock[Código de barras],0)))</f>
        <v/>
      </c>
      <c r="D184" s="26" t="str">
        <f>IF(Egreso[Código de barras]=0,"",INDEX(Stock[Cliente],MATCH(Egreso[Código de barras],Stock[Código de barras],0)))</f>
        <v/>
      </c>
      <c r="E184" s="40" t="str">
        <f>IF(Egreso[Código de barras]=0,"",INDEX(Stock[Mes],MATCH(Egreso[Código de barras],Stock[Código de barras],0)))</f>
        <v/>
      </c>
      <c r="F184" s="27" t="str">
        <f>IF(Egreso[Código de barras]=0,"",INDEX(Stock[Detalle],MATCH(Egreso[Código de barras],Stock[Código de barras],0)))</f>
        <v/>
      </c>
      <c r="G184" s="26" t="str">
        <f>IF(Egreso[Código de barras]=0,"",INDEX(Stock[Matriz],MATCH(Egreso[Código de barras],Stock[Código de barras],0)))</f>
        <v/>
      </c>
    </row>
    <row r="185" spans="1:7" x14ac:dyDescent="0.25">
      <c r="A185" s="25"/>
      <c r="B185" s="25" t="str">
        <f t="shared" si="2"/>
        <v/>
      </c>
      <c r="C185" s="26" t="str">
        <f>IF(Egreso[Código de barras]=0,"",INDEX(Stock[n°CC],MATCH(Egreso[Código de barras],Stock[Código de barras],0)))</f>
        <v/>
      </c>
      <c r="D185" s="26" t="str">
        <f>IF(Egreso[Código de barras]=0,"",INDEX(Stock[Cliente],MATCH(Egreso[Código de barras],Stock[Código de barras],0)))</f>
        <v/>
      </c>
      <c r="E185" s="40" t="str">
        <f>IF(Egreso[Código de barras]=0,"",INDEX(Stock[Mes],MATCH(Egreso[Código de barras],Stock[Código de barras],0)))</f>
        <v/>
      </c>
      <c r="F185" s="27" t="str">
        <f>IF(Egreso[Código de barras]=0,"",INDEX(Stock[Detalle],MATCH(Egreso[Código de barras],Stock[Código de barras],0)))</f>
        <v/>
      </c>
      <c r="G185" s="26" t="str">
        <f>IF(Egreso[Código de barras]=0,"",INDEX(Stock[Matriz],MATCH(Egreso[Código de barras],Stock[Código de barras],0)))</f>
        <v/>
      </c>
    </row>
    <row r="186" spans="1:7" x14ac:dyDescent="0.25">
      <c r="A186" s="25"/>
      <c r="B186" s="25" t="str">
        <f t="shared" ref="B186:B200" si="3">IF(A186=0,"",1)</f>
        <v/>
      </c>
      <c r="C186" s="26" t="str">
        <f>IF(Egreso[Código de barras]=0,"",INDEX(Stock[n°CC],MATCH(Egreso[Código de barras],Stock[Código de barras],0)))</f>
        <v/>
      </c>
      <c r="D186" s="26" t="str">
        <f>IF(Egreso[Código de barras]=0,"",INDEX(Stock[Cliente],MATCH(Egreso[Código de barras],Stock[Código de barras],0)))</f>
        <v/>
      </c>
      <c r="E186" s="40" t="str">
        <f>IF(Egreso[Código de barras]=0,"",INDEX(Stock[Mes],MATCH(Egreso[Código de barras],Stock[Código de barras],0)))</f>
        <v/>
      </c>
      <c r="F186" s="27" t="str">
        <f>IF(Egreso[Código de barras]=0,"",INDEX(Stock[Detalle],MATCH(Egreso[Código de barras],Stock[Código de barras],0)))</f>
        <v/>
      </c>
      <c r="G186" s="26" t="str">
        <f>IF(Egreso[Código de barras]=0,"",INDEX(Stock[Matriz],MATCH(Egreso[Código de barras],Stock[Código de barras],0)))</f>
        <v/>
      </c>
    </row>
    <row r="187" spans="1:7" x14ac:dyDescent="0.25">
      <c r="A187" s="25"/>
      <c r="B187" s="25" t="str">
        <f t="shared" si="3"/>
        <v/>
      </c>
      <c r="C187" s="26" t="str">
        <f>IF(Egreso[Código de barras]=0,"",INDEX(Stock[n°CC],MATCH(Egreso[Código de barras],Stock[Código de barras],0)))</f>
        <v/>
      </c>
      <c r="D187" s="26" t="str">
        <f>IF(Egreso[Código de barras]=0,"",INDEX(Stock[Cliente],MATCH(Egreso[Código de barras],Stock[Código de barras],0)))</f>
        <v/>
      </c>
      <c r="E187" s="40" t="str">
        <f>IF(Egreso[Código de barras]=0,"",INDEX(Stock[Mes],MATCH(Egreso[Código de barras],Stock[Código de barras],0)))</f>
        <v/>
      </c>
      <c r="F187" s="27" t="str">
        <f>IF(Egreso[Código de barras]=0,"",INDEX(Stock[Detalle],MATCH(Egreso[Código de barras],Stock[Código de barras],0)))</f>
        <v/>
      </c>
      <c r="G187" s="26" t="str">
        <f>IF(Egreso[Código de barras]=0,"",INDEX(Stock[Matriz],MATCH(Egreso[Código de barras],Stock[Código de barras],0)))</f>
        <v/>
      </c>
    </row>
    <row r="188" spans="1:7" x14ac:dyDescent="0.25">
      <c r="A188" s="25"/>
      <c r="B188" s="25" t="str">
        <f t="shared" si="3"/>
        <v/>
      </c>
      <c r="C188" s="26" t="str">
        <f>IF(Egreso[Código de barras]=0,"",INDEX(Stock[n°CC],MATCH(Egreso[Código de barras],Stock[Código de barras],0)))</f>
        <v/>
      </c>
      <c r="D188" s="26" t="str">
        <f>IF(Egreso[Código de barras]=0,"",INDEX(Stock[Cliente],MATCH(Egreso[Código de barras],Stock[Código de barras],0)))</f>
        <v/>
      </c>
      <c r="E188" s="40" t="str">
        <f>IF(Egreso[Código de barras]=0,"",INDEX(Stock[Mes],MATCH(Egreso[Código de barras],Stock[Código de barras],0)))</f>
        <v/>
      </c>
      <c r="F188" s="27" t="str">
        <f>IF(Egreso[Código de barras]=0,"",INDEX(Stock[Detalle],MATCH(Egreso[Código de barras],Stock[Código de barras],0)))</f>
        <v/>
      </c>
      <c r="G188" s="26" t="str">
        <f>IF(Egreso[Código de barras]=0,"",INDEX(Stock[Matriz],MATCH(Egreso[Código de barras],Stock[Código de barras],0)))</f>
        <v/>
      </c>
    </row>
    <row r="189" spans="1:7" x14ac:dyDescent="0.25">
      <c r="A189" s="25"/>
      <c r="B189" s="25" t="str">
        <f t="shared" si="3"/>
        <v/>
      </c>
      <c r="C189" s="26" t="str">
        <f>IF(Egreso[Código de barras]=0,"",INDEX(Stock[n°CC],MATCH(Egreso[Código de barras],Stock[Código de barras],0)))</f>
        <v/>
      </c>
      <c r="D189" s="26" t="str">
        <f>IF(Egreso[Código de barras]=0,"",INDEX(Stock[Cliente],MATCH(Egreso[Código de barras],Stock[Código de barras],0)))</f>
        <v/>
      </c>
      <c r="E189" s="40" t="str">
        <f>IF(Egreso[Código de barras]=0,"",INDEX(Stock[Mes],MATCH(Egreso[Código de barras],Stock[Código de barras],0)))</f>
        <v/>
      </c>
      <c r="F189" s="27" t="str">
        <f>IF(Egreso[Código de barras]=0,"",INDEX(Stock[Detalle],MATCH(Egreso[Código de barras],Stock[Código de barras],0)))</f>
        <v/>
      </c>
      <c r="G189" s="26" t="str">
        <f>IF(Egreso[Código de barras]=0,"",INDEX(Stock[Matriz],MATCH(Egreso[Código de barras],Stock[Código de barras],0)))</f>
        <v/>
      </c>
    </row>
    <row r="190" spans="1:7" x14ac:dyDescent="0.25">
      <c r="A190" s="25"/>
      <c r="B190" s="25" t="str">
        <f t="shared" si="3"/>
        <v/>
      </c>
      <c r="C190" s="26" t="str">
        <f>IF(Egreso[Código de barras]=0,"",INDEX(Stock[n°CC],MATCH(Egreso[Código de barras],Stock[Código de barras],0)))</f>
        <v/>
      </c>
      <c r="D190" s="26" t="str">
        <f>IF(Egreso[Código de barras]=0,"",INDEX(Stock[Cliente],MATCH(Egreso[Código de barras],Stock[Código de barras],0)))</f>
        <v/>
      </c>
      <c r="E190" s="40" t="str">
        <f>IF(Egreso[Código de barras]=0,"",INDEX(Stock[Mes],MATCH(Egreso[Código de barras],Stock[Código de barras],0)))</f>
        <v/>
      </c>
      <c r="F190" s="27" t="str">
        <f>IF(Egreso[Código de barras]=0,"",INDEX(Stock[Detalle],MATCH(Egreso[Código de barras],Stock[Código de barras],0)))</f>
        <v/>
      </c>
      <c r="G190" s="26" t="str">
        <f>IF(Egreso[Código de barras]=0,"",INDEX(Stock[Matriz],MATCH(Egreso[Código de barras],Stock[Código de barras],0)))</f>
        <v/>
      </c>
    </row>
    <row r="191" spans="1:7" x14ac:dyDescent="0.25">
      <c r="A191" s="25"/>
      <c r="B191" s="25" t="str">
        <f t="shared" si="3"/>
        <v/>
      </c>
      <c r="C191" s="26" t="str">
        <f>IF(Egreso[Código de barras]=0,"",INDEX(Stock[n°CC],MATCH(Egreso[Código de barras],Stock[Código de barras],0)))</f>
        <v/>
      </c>
      <c r="D191" s="26" t="str">
        <f>IF(Egreso[Código de barras]=0,"",INDEX(Stock[Cliente],MATCH(Egreso[Código de barras],Stock[Código de barras],0)))</f>
        <v/>
      </c>
      <c r="E191" s="40" t="str">
        <f>IF(Egreso[Código de barras]=0,"",INDEX(Stock[Mes],MATCH(Egreso[Código de barras],Stock[Código de barras],0)))</f>
        <v/>
      </c>
      <c r="F191" s="27" t="str">
        <f>IF(Egreso[Código de barras]=0,"",INDEX(Stock[Detalle],MATCH(Egreso[Código de barras],Stock[Código de barras],0)))</f>
        <v/>
      </c>
      <c r="G191" s="26" t="str">
        <f>IF(Egreso[Código de barras]=0,"",INDEX(Stock[Matriz],MATCH(Egreso[Código de barras],Stock[Código de barras],0)))</f>
        <v/>
      </c>
    </row>
    <row r="192" spans="1:7" x14ac:dyDescent="0.25">
      <c r="A192" s="25"/>
      <c r="B192" s="25" t="str">
        <f t="shared" si="3"/>
        <v/>
      </c>
      <c r="C192" s="26" t="str">
        <f>IF(Egreso[Código de barras]=0,"",INDEX(Stock[n°CC],MATCH(Egreso[Código de barras],Stock[Código de barras],0)))</f>
        <v/>
      </c>
      <c r="D192" s="26" t="str">
        <f>IF(Egreso[Código de barras]=0,"",INDEX(Stock[Cliente],MATCH(Egreso[Código de barras],Stock[Código de barras],0)))</f>
        <v/>
      </c>
      <c r="E192" s="40" t="str">
        <f>IF(Egreso[Código de barras]=0,"",INDEX(Stock[Mes],MATCH(Egreso[Código de barras],Stock[Código de barras],0)))</f>
        <v/>
      </c>
      <c r="F192" s="27" t="str">
        <f>IF(Egreso[Código de barras]=0,"",INDEX(Stock[Detalle],MATCH(Egreso[Código de barras],Stock[Código de barras],0)))</f>
        <v/>
      </c>
      <c r="G192" s="26" t="str">
        <f>IF(Egreso[Código de barras]=0,"",INDEX(Stock[Matriz],MATCH(Egreso[Código de barras],Stock[Código de barras],0)))</f>
        <v/>
      </c>
    </row>
    <row r="193" spans="1:7" x14ac:dyDescent="0.25">
      <c r="A193" s="25"/>
      <c r="B193" s="25" t="str">
        <f t="shared" si="3"/>
        <v/>
      </c>
      <c r="C193" s="26" t="str">
        <f>IF(Egreso[Código de barras]=0,"",INDEX(Stock[n°CC],MATCH(Egreso[Código de barras],Stock[Código de barras],0)))</f>
        <v/>
      </c>
      <c r="D193" s="26" t="str">
        <f>IF(Egreso[Código de barras]=0,"",INDEX(Stock[Cliente],MATCH(Egreso[Código de barras],Stock[Código de barras],0)))</f>
        <v/>
      </c>
      <c r="E193" s="40" t="str">
        <f>IF(Egreso[Código de barras]=0,"",INDEX(Stock[Mes],MATCH(Egreso[Código de barras],Stock[Código de barras],0)))</f>
        <v/>
      </c>
      <c r="F193" s="27" t="str">
        <f>IF(Egreso[Código de barras]=0,"",INDEX(Stock[Detalle],MATCH(Egreso[Código de barras],Stock[Código de barras],0)))</f>
        <v/>
      </c>
      <c r="G193" s="26" t="str">
        <f>IF(Egreso[Código de barras]=0,"",INDEX(Stock[Matriz],MATCH(Egreso[Código de barras],Stock[Código de barras],0)))</f>
        <v/>
      </c>
    </row>
    <row r="194" spans="1:7" x14ac:dyDescent="0.25">
      <c r="A194" s="25"/>
      <c r="B194" s="25" t="str">
        <f t="shared" si="3"/>
        <v/>
      </c>
      <c r="C194" s="26" t="str">
        <f>IF(Egreso[Código de barras]=0,"",INDEX(Stock[n°CC],MATCH(Egreso[Código de barras],Stock[Código de barras],0)))</f>
        <v/>
      </c>
      <c r="D194" s="26" t="str">
        <f>IF(Egreso[Código de barras]=0,"",INDEX(Stock[Cliente],MATCH(Egreso[Código de barras],Stock[Código de barras],0)))</f>
        <v/>
      </c>
      <c r="E194" s="40" t="str">
        <f>IF(Egreso[Código de barras]=0,"",INDEX(Stock[Mes],MATCH(Egreso[Código de barras],Stock[Código de barras],0)))</f>
        <v/>
      </c>
      <c r="F194" s="27" t="str">
        <f>IF(Egreso[Código de barras]=0,"",INDEX(Stock[Detalle],MATCH(Egreso[Código de barras],Stock[Código de barras],0)))</f>
        <v/>
      </c>
      <c r="G194" s="26" t="str">
        <f>IF(Egreso[Código de barras]=0,"",INDEX(Stock[Matriz],MATCH(Egreso[Código de barras],Stock[Código de barras],0)))</f>
        <v/>
      </c>
    </row>
    <row r="195" spans="1:7" x14ac:dyDescent="0.25">
      <c r="A195" s="25"/>
      <c r="B195" s="25" t="str">
        <f t="shared" si="3"/>
        <v/>
      </c>
      <c r="C195" s="26" t="str">
        <f>IF(Egreso[Código de barras]=0,"",INDEX(Stock[n°CC],MATCH(Egreso[Código de barras],Stock[Código de barras],0)))</f>
        <v/>
      </c>
      <c r="D195" s="26" t="str">
        <f>IF(Egreso[Código de barras]=0,"",INDEX(Stock[Cliente],MATCH(Egreso[Código de barras],Stock[Código de barras],0)))</f>
        <v/>
      </c>
      <c r="E195" s="40" t="str">
        <f>IF(Egreso[Código de barras]=0,"",INDEX(Stock[Mes],MATCH(Egreso[Código de barras],Stock[Código de barras],0)))</f>
        <v/>
      </c>
      <c r="F195" s="27" t="str">
        <f>IF(Egreso[Código de barras]=0,"",INDEX(Stock[Detalle],MATCH(Egreso[Código de barras],Stock[Código de barras],0)))</f>
        <v/>
      </c>
      <c r="G195" s="26" t="str">
        <f>IF(Egreso[Código de barras]=0,"",INDEX(Stock[Matriz],MATCH(Egreso[Código de barras],Stock[Código de barras],0)))</f>
        <v/>
      </c>
    </row>
    <row r="196" spans="1:7" x14ac:dyDescent="0.25">
      <c r="A196" s="25"/>
      <c r="B196" s="25" t="str">
        <f t="shared" si="3"/>
        <v/>
      </c>
      <c r="C196" s="26" t="str">
        <f>IF(Egreso[Código de barras]=0,"",INDEX(Stock[n°CC],MATCH(Egreso[Código de barras],Stock[Código de barras],0)))</f>
        <v/>
      </c>
      <c r="D196" s="26" t="str">
        <f>IF(Egreso[Código de barras]=0,"",INDEX(Stock[Cliente],MATCH(Egreso[Código de barras],Stock[Código de barras],0)))</f>
        <v/>
      </c>
      <c r="E196" s="40" t="str">
        <f>IF(Egreso[Código de barras]=0,"",INDEX(Stock[Mes],MATCH(Egreso[Código de barras],Stock[Código de barras],0)))</f>
        <v/>
      </c>
      <c r="F196" s="27" t="str">
        <f>IF(Egreso[Código de barras]=0,"",INDEX(Stock[Detalle],MATCH(Egreso[Código de barras],Stock[Código de barras],0)))</f>
        <v/>
      </c>
      <c r="G196" s="26" t="str">
        <f>IF(Egreso[Código de barras]=0,"",INDEX(Stock[Matriz],MATCH(Egreso[Código de barras],Stock[Código de barras],0)))</f>
        <v/>
      </c>
    </row>
    <row r="197" spans="1:7" x14ac:dyDescent="0.25">
      <c r="A197" s="25"/>
      <c r="B197" s="25" t="str">
        <f t="shared" si="3"/>
        <v/>
      </c>
      <c r="C197" s="26" t="str">
        <f>IF(Egreso[Código de barras]=0,"",INDEX(Stock[n°CC],MATCH(Egreso[Código de barras],Stock[Código de barras],0)))</f>
        <v/>
      </c>
      <c r="D197" s="26" t="str">
        <f>IF(Egreso[Código de barras]=0,"",INDEX(Stock[Cliente],MATCH(Egreso[Código de barras],Stock[Código de barras],0)))</f>
        <v/>
      </c>
      <c r="E197" s="40" t="str">
        <f>IF(Egreso[Código de barras]=0,"",INDEX(Stock[Mes],MATCH(Egreso[Código de barras],Stock[Código de barras],0)))</f>
        <v/>
      </c>
      <c r="F197" s="27" t="str">
        <f>IF(Egreso[Código de barras]=0,"",INDEX(Stock[Detalle],MATCH(Egreso[Código de barras],Stock[Código de barras],0)))</f>
        <v/>
      </c>
      <c r="G197" s="26" t="str">
        <f>IF(Egreso[Código de barras]=0,"",INDEX(Stock[Matriz],MATCH(Egreso[Código de barras],Stock[Código de barras],0)))</f>
        <v/>
      </c>
    </row>
    <row r="198" spans="1:7" x14ac:dyDescent="0.25">
      <c r="A198" s="25"/>
      <c r="B198" s="25" t="str">
        <f t="shared" si="3"/>
        <v/>
      </c>
      <c r="C198" s="26" t="str">
        <f>IF(Egreso[Código de barras]=0,"",INDEX(Stock[n°CC],MATCH(Egreso[Código de barras],Stock[Código de barras],0)))</f>
        <v/>
      </c>
      <c r="D198" s="26" t="str">
        <f>IF(Egreso[Código de barras]=0,"",INDEX(Stock[Cliente],MATCH(Egreso[Código de barras],Stock[Código de barras],0)))</f>
        <v/>
      </c>
      <c r="E198" s="40" t="str">
        <f>IF(Egreso[Código de barras]=0,"",INDEX(Stock[Mes],MATCH(Egreso[Código de barras],Stock[Código de barras],0)))</f>
        <v/>
      </c>
      <c r="F198" s="27" t="str">
        <f>IF(Egreso[Código de barras]=0,"",INDEX(Stock[Detalle],MATCH(Egreso[Código de barras],Stock[Código de barras],0)))</f>
        <v/>
      </c>
      <c r="G198" s="26" t="str">
        <f>IF(Egreso[Código de barras]=0,"",INDEX(Stock[Matriz],MATCH(Egreso[Código de barras],Stock[Código de barras],0)))</f>
        <v/>
      </c>
    </row>
    <row r="199" spans="1:7" x14ac:dyDescent="0.25">
      <c r="A199" s="25"/>
      <c r="B199" s="25" t="str">
        <f t="shared" si="3"/>
        <v/>
      </c>
      <c r="C199" s="26" t="str">
        <f>IF(Egreso[Código de barras]=0,"",INDEX(Stock[n°CC],MATCH(Egreso[Código de barras],Stock[Código de barras],0)))</f>
        <v/>
      </c>
      <c r="D199" s="26" t="str">
        <f>IF(Egreso[Código de barras]=0,"",INDEX(Stock[Cliente],MATCH(Egreso[Código de barras],Stock[Código de barras],0)))</f>
        <v/>
      </c>
      <c r="E199" s="40" t="str">
        <f>IF(Egreso[Código de barras]=0,"",INDEX(Stock[Mes],MATCH(Egreso[Código de barras],Stock[Código de barras],0)))</f>
        <v/>
      </c>
      <c r="F199" s="27" t="str">
        <f>IF(Egreso[Código de barras]=0,"",INDEX(Stock[Detalle],MATCH(Egreso[Código de barras],Stock[Código de barras],0)))</f>
        <v/>
      </c>
      <c r="G199" s="26" t="str">
        <f>IF(Egreso[Código de barras]=0,"",INDEX(Stock[Matriz],MATCH(Egreso[Código de barras],Stock[Código de barras],0)))</f>
        <v/>
      </c>
    </row>
    <row r="200" spans="1:7" x14ac:dyDescent="0.25">
      <c r="A200" s="25"/>
      <c r="B200" s="25" t="str">
        <f t="shared" si="3"/>
        <v/>
      </c>
      <c r="C200" s="26" t="str">
        <f>IF(Egreso[Código de barras]=0,"",INDEX(Stock[n°CC],MATCH(Egreso[Código de barras],Stock[Código de barras],0)))</f>
        <v/>
      </c>
      <c r="D200" s="26" t="str">
        <f>IF(Egreso[Código de barras]=0,"",INDEX(Stock[Cliente],MATCH(Egreso[Código de barras],Stock[Código de barras],0)))</f>
        <v/>
      </c>
      <c r="E200" s="40" t="str">
        <f>IF(Egreso[Código de barras]=0,"",INDEX(Stock[Mes],MATCH(Egreso[Código de barras],Stock[Código de barras],0)))</f>
        <v/>
      </c>
      <c r="F200" s="27" t="str">
        <f>IF(Egreso[Código de barras]=0,"",INDEX(Stock[Detalle],MATCH(Egreso[Código de barras],Stock[Código de barras],0)))</f>
        <v/>
      </c>
      <c r="G200" s="26" t="str">
        <f>IF(Egreso[Código de barras]=0,"",INDEX(Stock[Matriz],MATCH(Egreso[Código de barras],Stock[Código de barras],0)))</f>
        <v/>
      </c>
    </row>
  </sheetData>
  <conditionalFormatting sqref="C2:E200">
    <cfRule type="containsErrors" dxfId="15" priority="3">
      <formula>ISERROR(C2)</formula>
    </cfRule>
  </conditionalFormatting>
  <conditionalFormatting sqref="C1:E1">
    <cfRule type="containsErrors" dxfId="14" priority="2">
      <formula>ISERROR(C1)</formula>
    </cfRule>
  </conditionalFormatting>
  <conditionalFormatting sqref="A2:G200">
    <cfRule type="expression" dxfId="13" priority="1">
      <formula>$A2="vacio"</formula>
    </cfRule>
  </conditionalFormatting>
  <pageMargins left="0.7" right="0.7" top="0.75" bottom="0.75" header="0.3" footer="0.3"/>
  <pageSetup paperSize="9" orientation="portrait" r:id="rId1"/>
  <ignoredErrors>
    <ignoredError sqref="B2:B63 B76:B200" unlocked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0"/>
  <sheetViews>
    <sheetView zoomScale="80" zoomScaleNormal="80" workbookViewId="0">
      <selection activeCell="D17" sqref="D17"/>
    </sheetView>
  </sheetViews>
  <sheetFormatPr defaultColWidth="9.140625" defaultRowHeight="15" x14ac:dyDescent="0.25"/>
  <cols>
    <col min="1" max="1" width="15.7109375" style="20" customWidth="1"/>
    <col min="2" max="2" width="12" style="20" customWidth="1"/>
    <col min="3" max="3" width="11.85546875" style="20" bestFit="1" customWidth="1"/>
    <col min="4" max="4" width="54.85546875" style="20" customWidth="1"/>
    <col min="5" max="5" width="11.7109375" style="20" bestFit="1" customWidth="1"/>
    <col min="6" max="6" width="26.5703125" style="20" bestFit="1" customWidth="1"/>
    <col min="7" max="7" width="27.5703125" style="20" bestFit="1" customWidth="1"/>
    <col min="8" max="16384" width="9.140625" style="20"/>
  </cols>
  <sheetData>
    <row r="1" spans="1:7" ht="37.5" x14ac:dyDescent="0.25">
      <c r="A1" s="23" t="s">
        <v>19</v>
      </c>
      <c r="B1" s="23" t="s">
        <v>22</v>
      </c>
      <c r="C1" s="23" t="s">
        <v>23</v>
      </c>
      <c r="D1" s="23" t="s">
        <v>15</v>
      </c>
      <c r="E1" s="23" t="s">
        <v>16</v>
      </c>
      <c r="F1" s="23" t="s">
        <v>191</v>
      </c>
      <c r="G1" s="23" t="s">
        <v>17</v>
      </c>
    </row>
    <row r="2" spans="1:7" x14ac:dyDescent="0.25">
      <c r="A2" s="28" t="s">
        <v>111</v>
      </c>
      <c r="B2" s="28">
        <f t="shared" ref="B2:B11" si="0">IF(A2=0,"",1)</f>
        <v>1</v>
      </c>
      <c r="C2" s="29">
        <f>IF(Ingreso[Código de barras]=0,"",INDEX(Stock[n°CC],MATCH(Ingreso[Código de barras],Stock[Código de barras],0)))</f>
        <v>2106300001</v>
      </c>
      <c r="D2" s="29" t="str">
        <f>IF(Ingreso[Código de barras]=0,"",INDEX(Stock[Cliente],MATCH(Ingreso[Código de barras],Stock[Código de barras],0)))</f>
        <v>Empresa1</v>
      </c>
      <c r="E2" s="41">
        <f>IF(Ingreso[Código de barras]=0,"",INDEX(Stock[Mes],MATCH(Ingreso[Código de barras],Stock[Código de barras],0)))</f>
        <v>44348</v>
      </c>
      <c r="F2" s="30">
        <f>IF(Ingreso[Código de barras]=0,"",INDEX(Stock[Detalle],MATCH(Ingreso[Código de barras],Stock[Código de barras],0)))</f>
        <v>0</v>
      </c>
      <c r="G2" s="29" t="str">
        <f>IF(Ingreso[Código de barras]=0,"",INDEX(Stock[Matriz],MATCH(Ingreso[Código de barras],Stock[Código de barras],0)))</f>
        <v>Agua de Consumo</v>
      </c>
    </row>
    <row r="3" spans="1:7" x14ac:dyDescent="0.25">
      <c r="A3" s="28" t="s">
        <v>114</v>
      </c>
      <c r="B3" s="28">
        <f t="shared" si="0"/>
        <v>1</v>
      </c>
      <c r="C3" s="29">
        <f>IF(Ingreso[Código de barras]=0,"",INDEX(Stock[n°CC],MATCH(Ingreso[Código de barras],Stock[Código de barras],0)))</f>
        <v>2106300001</v>
      </c>
      <c r="D3" s="29" t="str">
        <f>IF(Ingreso[Código de barras]=0,"",INDEX(Stock[Cliente],MATCH(Ingreso[Código de barras],Stock[Código de barras],0)))</f>
        <v>Empresa1</v>
      </c>
      <c r="E3" s="41">
        <f>IF(Ingreso[Código de barras]=0,"",INDEX(Stock[Mes],MATCH(Ingreso[Código de barras],Stock[Código de barras],0)))</f>
        <v>44348</v>
      </c>
      <c r="F3" s="30">
        <f>IF(Ingreso[Código de barras]=0,"",INDEX(Stock[Detalle],MATCH(Ingreso[Código de barras],Stock[Código de barras],0)))</f>
        <v>0</v>
      </c>
      <c r="G3" s="29" t="str">
        <f>IF(Ingreso[Código de barras]=0,"",INDEX(Stock[Matriz],MATCH(Ingreso[Código de barras],Stock[Código de barras],0)))</f>
        <v>Agua de Consumo</v>
      </c>
    </row>
    <row r="4" spans="1:7" x14ac:dyDescent="0.25">
      <c r="A4" s="28" t="s">
        <v>113</v>
      </c>
      <c r="B4" s="28">
        <f t="shared" si="0"/>
        <v>1</v>
      </c>
      <c r="C4" s="29">
        <f>IF(Ingreso[Código de barras]=0,"",INDEX(Stock[n°CC],MATCH(Ingreso[Código de barras],Stock[Código de barras],0)))</f>
        <v>2106300001</v>
      </c>
      <c r="D4" s="29" t="str">
        <f>IF(Ingreso[Código de barras]=0,"",INDEX(Stock[Cliente],MATCH(Ingreso[Código de barras],Stock[Código de barras],0)))</f>
        <v>Empresa1</v>
      </c>
      <c r="E4" s="41">
        <f>IF(Ingreso[Código de barras]=0,"",INDEX(Stock[Mes],MATCH(Ingreso[Código de barras],Stock[Código de barras],0)))</f>
        <v>44348</v>
      </c>
      <c r="F4" s="30">
        <f>IF(Ingreso[Código de barras]=0,"",INDEX(Stock[Detalle],MATCH(Ingreso[Código de barras],Stock[Código de barras],0)))</f>
        <v>0</v>
      </c>
      <c r="G4" s="29" t="str">
        <f>IF(Ingreso[Código de barras]=0,"",INDEX(Stock[Matriz],MATCH(Ingreso[Código de barras],Stock[Código de barras],0)))</f>
        <v>Agua de Consumo</v>
      </c>
    </row>
    <row r="5" spans="1:7" x14ac:dyDescent="0.25">
      <c r="A5" s="28" t="s">
        <v>112</v>
      </c>
      <c r="B5" s="28">
        <f t="shared" si="0"/>
        <v>1</v>
      </c>
      <c r="C5" s="29">
        <f>IF(Ingreso[Código de barras]=0,"",INDEX(Stock[n°CC],MATCH(Ingreso[Código de barras],Stock[Código de barras],0)))</f>
        <v>2106300002</v>
      </c>
      <c r="D5" s="29" t="str">
        <f>IF(Ingreso[Código de barras]=0,"",INDEX(Stock[Cliente],MATCH(Ingreso[Código de barras],Stock[Código de barras],0)))</f>
        <v>Empresa1</v>
      </c>
      <c r="E5" s="41">
        <f>IF(Ingreso[Código de barras]=0,"",INDEX(Stock[Mes],MATCH(Ingreso[Código de barras],Stock[Código de barras],0)))</f>
        <v>44348</v>
      </c>
      <c r="F5" s="30">
        <f>IF(Ingreso[Código de barras]=0,"",INDEX(Stock[Detalle],MATCH(Ingreso[Código de barras],Stock[Código de barras],0)))</f>
        <v>0</v>
      </c>
      <c r="G5" s="29" t="str">
        <f>IF(Ingreso[Código de barras]=0,"",INDEX(Stock[Matriz],MATCH(Ingreso[Código de barras],Stock[Código de barras],0)))</f>
        <v>Agua de Consumo</v>
      </c>
    </row>
    <row r="6" spans="1:7" x14ac:dyDescent="0.25">
      <c r="A6" s="28" t="s">
        <v>51</v>
      </c>
      <c r="B6" s="28">
        <f t="shared" si="0"/>
        <v>1</v>
      </c>
      <c r="C6" s="29" t="str">
        <f>IF(Ingreso[Código de barras]=0,"",INDEX(Stock[n°CC],MATCH(Ingreso[Código de barras],Stock[Código de barras],0)))</f>
        <v>vacio</v>
      </c>
      <c r="D6" s="29">
        <f>IF(Ingreso[Código de barras]=0,"",INDEX(Stock[Cliente],MATCH(Ingreso[Código de barras],Stock[Código de barras],0)))</f>
        <v>0</v>
      </c>
      <c r="E6" s="41">
        <f>IF(Ingreso[Código de barras]=0,"",INDEX(Stock[Mes],MATCH(Ingreso[Código de barras],Stock[Código de barras],0)))</f>
        <v>0</v>
      </c>
      <c r="F6" s="30">
        <f>IF(Ingreso[Código de barras]=0,"",INDEX(Stock[Detalle],MATCH(Ingreso[Código de barras],Stock[Código de barras],0)))</f>
        <v>0</v>
      </c>
      <c r="G6" s="29">
        <f>IF(Ingreso[Código de barras]=0,"",INDEX(Stock[Matriz],MATCH(Ingreso[Código de barras],Stock[Código de barras],0)))</f>
        <v>0</v>
      </c>
    </row>
    <row r="7" spans="1:7" ht="30" x14ac:dyDescent="0.25">
      <c r="A7" s="28" t="s">
        <v>121</v>
      </c>
      <c r="B7" s="28">
        <f t="shared" si="0"/>
        <v>1</v>
      </c>
      <c r="C7" s="29">
        <f>IF(Ingreso[Código de barras]=0,"",INDEX(Stock[n°CC],MATCH(Ingreso[Código de barras],Stock[Código de barras],0)))</f>
        <v>2106300012</v>
      </c>
      <c r="D7" s="29" t="str">
        <f>IF(Ingreso[Código de barras]=0,"",INDEX(Stock[Cliente],MATCH(Ingreso[Código de barras],Stock[Código de barras],0)))</f>
        <v>Empresa2</v>
      </c>
      <c r="E7" s="41">
        <f>IF(Ingreso[Código de barras]=0,"",INDEX(Stock[Mes],MATCH(Ingreso[Código de barras],Stock[Código de barras],0)))</f>
        <v>44348</v>
      </c>
      <c r="F7" s="30" t="str">
        <f>IF(Ingreso[Código de barras]=0,"",INDEX(Stock[Detalle],MATCH(Ingreso[Código de barras],Stock[Código de barras],0)))</f>
        <v>CÁMARA DE ECUALIZACIÓN</v>
      </c>
      <c r="G7" s="29" t="str">
        <f>IF(Ingreso[Código de barras]=0,"",INDEX(Stock[Matriz],MATCH(Ingreso[Código de barras],Stock[Código de barras],0)))</f>
        <v>Efluente Líquido</v>
      </c>
    </row>
    <row r="8" spans="1:7" ht="30" x14ac:dyDescent="0.25">
      <c r="A8" s="28" t="s">
        <v>122</v>
      </c>
      <c r="B8" s="28">
        <f t="shared" si="0"/>
        <v>1</v>
      </c>
      <c r="C8" s="29">
        <f>IF(Ingreso[Código de barras]=0,"",INDEX(Stock[n°CC],MATCH(Ingreso[Código de barras],Stock[Código de barras],0)))</f>
        <v>2106300013</v>
      </c>
      <c r="D8" s="29" t="str">
        <f>IF(Ingreso[Código de barras]=0,"",INDEX(Stock[Cliente],MATCH(Ingreso[Código de barras],Stock[Código de barras],0)))</f>
        <v>Empresa2</v>
      </c>
      <c r="E8" s="41">
        <f>IF(Ingreso[Código de barras]=0,"",INDEX(Stock[Mes],MATCH(Ingreso[Código de barras],Stock[Código de barras],0)))</f>
        <v>44348</v>
      </c>
      <c r="F8" s="30" t="str">
        <f>IF(Ingreso[Código de barras]=0,"",INDEX(Stock[Detalle],MATCH(Ingreso[Código de barras],Stock[Código de barras],0)))</f>
        <v>CÁMARA DE ECUALIZACIÓN</v>
      </c>
      <c r="G8" s="29" t="str">
        <f>IF(Ingreso[Código de barras]=0,"",INDEX(Stock[Matriz],MATCH(Ingreso[Código de barras],Stock[Código de barras],0)))</f>
        <v>Efluente Líquido</v>
      </c>
    </row>
    <row r="9" spans="1:7" ht="60" x14ac:dyDescent="0.25">
      <c r="A9" s="28" t="s">
        <v>177</v>
      </c>
      <c r="B9" s="28">
        <f t="shared" si="0"/>
        <v>1</v>
      </c>
      <c r="C9" s="29" t="e">
        <f>IF(Ingreso[Código de barras]=0,"",INDEX(Stock[n°CC],MATCH(Ingreso[Código de barras],Stock[Código de barras],0)))</f>
        <v>#N/A</v>
      </c>
      <c r="D9" s="29" t="e">
        <f>IF(Ingreso[Código de barras]=0,"",INDEX(Stock[Cliente],MATCH(Ingreso[Código de barras],Stock[Código de barras],0)))</f>
        <v>#N/A</v>
      </c>
      <c r="E9" s="41" t="e">
        <f>IF(Ingreso[Código de barras]=0,"",INDEX(Stock[Mes],MATCH(Ingreso[Código de barras],Stock[Código de barras],0)))</f>
        <v>#N/A</v>
      </c>
      <c r="F9" s="30" t="e">
        <f>IF(Ingreso[Código de barras]=0,"",INDEX(Stock[Detalle],MATCH(Ingreso[Código de barras],Stock[Código de barras],0)))</f>
        <v>#N/A</v>
      </c>
      <c r="G9" s="29" t="e">
        <f>IF(Ingreso[Código de barras]=0,"",INDEX(Stock[Matriz],MATCH(Ingreso[Código de barras],Stock[Código de barras],0)))</f>
        <v>#N/A</v>
      </c>
    </row>
    <row r="10" spans="1:7" ht="60" x14ac:dyDescent="0.25">
      <c r="A10" s="28" t="s">
        <v>178</v>
      </c>
      <c r="B10" s="28">
        <f t="shared" si="0"/>
        <v>1</v>
      </c>
      <c r="C10" s="29" t="e">
        <f>IF(Ingreso[Código de barras]=0,"",INDEX(Stock[n°CC],MATCH(Ingreso[Código de barras],Stock[Código de barras],0)))</f>
        <v>#N/A</v>
      </c>
      <c r="D10" s="29" t="e">
        <f>IF(Ingreso[Código de barras]=0,"",INDEX(Stock[Cliente],MATCH(Ingreso[Código de barras],Stock[Código de barras],0)))</f>
        <v>#N/A</v>
      </c>
      <c r="E10" s="41" t="e">
        <f>IF(Ingreso[Código de barras]=0,"",INDEX(Stock[Mes],MATCH(Ingreso[Código de barras],Stock[Código de barras],0)))</f>
        <v>#N/A</v>
      </c>
      <c r="F10" s="30" t="e">
        <f>IF(Ingreso[Código de barras]=0,"",INDEX(Stock[Detalle],MATCH(Ingreso[Código de barras],Stock[Código de barras],0)))</f>
        <v>#N/A</v>
      </c>
      <c r="G10" s="29" t="e">
        <f>IF(Ingreso[Código de barras]=0,"",INDEX(Stock[Matriz],MATCH(Ingreso[Código de barras],Stock[Código de barras],0)))</f>
        <v>#N/A</v>
      </c>
    </row>
    <row r="11" spans="1:7" x14ac:dyDescent="0.25">
      <c r="A11" s="28">
        <v>21063000140</v>
      </c>
      <c r="B11" s="28">
        <f t="shared" si="0"/>
        <v>1</v>
      </c>
      <c r="C11" s="29" t="e">
        <f>IF(Ingreso[Código de barras]=0,"",INDEX(Stock[n°CC],MATCH(Ingreso[Código de barras],Stock[Código de barras],0)))</f>
        <v>#N/A</v>
      </c>
      <c r="D11" s="29" t="e">
        <f>IF(Ingreso[Código de barras]=0,"",INDEX(Stock[Cliente],MATCH(Ingreso[Código de barras],Stock[Código de barras],0)))</f>
        <v>#N/A</v>
      </c>
      <c r="E11" s="41" t="e">
        <f>IF(Ingreso[Código de barras]=0,"",INDEX(Stock[Mes],MATCH(Ingreso[Código de barras],Stock[Código de barras],0)))</f>
        <v>#N/A</v>
      </c>
      <c r="F11" s="30" t="e">
        <f>IF(Ingreso[Código de barras]=0,"",INDEX(Stock[Detalle],MATCH(Ingreso[Código de barras],Stock[Código de barras],0)))</f>
        <v>#N/A</v>
      </c>
      <c r="G11" s="29" t="e">
        <f>IF(Ingreso[Código de barras]=0,"",INDEX(Stock[Matriz],MATCH(Ingreso[Código de barras],Stock[Código de barras],0)))</f>
        <v>#N/A</v>
      </c>
    </row>
    <row r="12" spans="1:7" ht="30" x14ac:dyDescent="0.25">
      <c r="A12" s="28" t="s">
        <v>179</v>
      </c>
      <c r="B12" s="28">
        <f t="shared" ref="B12:B75" si="1">IF(A12=0,"",1)</f>
        <v>1</v>
      </c>
      <c r="C12" s="29" t="e">
        <f>IF(Ingreso[Código de barras]=0,"",INDEX(Stock[n°CC],MATCH(Ingreso[Código de barras],Stock[Código de barras],0)))</f>
        <v>#N/A</v>
      </c>
      <c r="D12" s="29" t="e">
        <f>IF(Ingreso[Código de barras]=0,"",INDEX(Stock[Cliente],MATCH(Ingreso[Código de barras],Stock[Código de barras],0)))</f>
        <v>#N/A</v>
      </c>
      <c r="E12" s="41" t="e">
        <f>IF(Ingreso[Código de barras]=0,"",INDEX(Stock[Mes],MATCH(Ingreso[Código de barras],Stock[Código de barras],0)))</f>
        <v>#N/A</v>
      </c>
      <c r="F12" s="30" t="e">
        <f>IF(Ingreso[Código de barras]=0,"",INDEX(Stock[Detalle],MATCH(Ingreso[Código de barras],Stock[Código de barras],0)))</f>
        <v>#N/A</v>
      </c>
      <c r="G12" s="29" t="e">
        <f>IF(Ingreso[Código de barras]=0,"",INDEX(Stock[Matriz],MATCH(Ingreso[Código de barras],Stock[Código de barras],0)))</f>
        <v>#N/A</v>
      </c>
    </row>
    <row r="13" spans="1:7" ht="30" x14ac:dyDescent="0.25">
      <c r="A13" s="28" t="s">
        <v>118</v>
      </c>
      <c r="B13" s="28">
        <f t="shared" si="1"/>
        <v>1</v>
      </c>
      <c r="C13" s="29">
        <f>IF(Ingreso[Código de barras]=0,"",INDEX(Stock[n°CC],MATCH(Ingreso[Código de barras],Stock[Código de barras],0)))</f>
        <v>2106300013</v>
      </c>
      <c r="D13" s="29" t="str">
        <f>IF(Ingreso[Código de barras]=0,"",INDEX(Stock[Cliente],MATCH(Ingreso[Código de barras],Stock[Código de barras],0)))</f>
        <v>Empresa2</v>
      </c>
      <c r="E13" s="41">
        <f>IF(Ingreso[Código de barras]=0,"",INDEX(Stock[Mes],MATCH(Ingreso[Código de barras],Stock[Código de barras],0)))</f>
        <v>44348</v>
      </c>
      <c r="F13" s="30" t="str">
        <f>IF(Ingreso[Código de barras]=0,"",INDEX(Stock[Detalle],MATCH(Ingreso[Código de barras],Stock[Código de barras],0)))</f>
        <v>CÁMARA DE ECUALIZACIÓN</v>
      </c>
      <c r="G13" s="29" t="str">
        <f>IF(Ingreso[Código de barras]=0,"",INDEX(Stock[Matriz],MATCH(Ingreso[Código de barras],Stock[Código de barras],0)))</f>
        <v>Efluente Líquido</v>
      </c>
    </row>
    <row r="14" spans="1:7" ht="30" x14ac:dyDescent="0.25">
      <c r="A14" s="28" t="s">
        <v>120</v>
      </c>
      <c r="B14" s="28">
        <f t="shared" si="1"/>
        <v>1</v>
      </c>
      <c r="C14" s="29">
        <f>IF(Ingreso[Código de barras]=0,"",INDEX(Stock[n°CC],MATCH(Ingreso[Código de barras],Stock[Código de barras],0)))</f>
        <v>2106300012</v>
      </c>
      <c r="D14" s="29" t="str">
        <f>IF(Ingreso[Código de barras]=0,"",INDEX(Stock[Cliente],MATCH(Ingreso[Código de barras],Stock[Código de barras],0)))</f>
        <v>Empresa2</v>
      </c>
      <c r="E14" s="41">
        <f>IF(Ingreso[Código de barras]=0,"",INDEX(Stock[Mes],MATCH(Ingreso[Código de barras],Stock[Código de barras],0)))</f>
        <v>44348</v>
      </c>
      <c r="F14" s="30" t="str">
        <f>IF(Ingreso[Código de barras]=0,"",INDEX(Stock[Detalle],MATCH(Ingreso[Código de barras],Stock[Código de barras],0)))</f>
        <v>CÁMARA DE ECUALIZACIÓN</v>
      </c>
      <c r="G14" s="29" t="str">
        <f>IF(Ingreso[Código de barras]=0,"",INDEX(Stock[Matriz],MATCH(Ingreso[Código de barras],Stock[Código de barras],0)))</f>
        <v>Efluente Líquido</v>
      </c>
    </row>
    <row r="15" spans="1:7" ht="30" x14ac:dyDescent="0.25">
      <c r="A15" s="28" t="s">
        <v>123</v>
      </c>
      <c r="B15" s="28">
        <f t="shared" si="1"/>
        <v>1</v>
      </c>
      <c r="C15" s="29">
        <f>IF(Ingreso[Código de barras]=0,"",INDEX(Stock[n°CC],MATCH(Ingreso[Código de barras],Stock[Código de barras],0)))</f>
        <v>2106300013</v>
      </c>
      <c r="D15" s="29" t="str">
        <f>IF(Ingreso[Código de barras]=0,"",INDEX(Stock[Cliente],MATCH(Ingreso[Código de barras],Stock[Código de barras],0)))</f>
        <v>Empresa2</v>
      </c>
      <c r="E15" s="41">
        <f>IF(Ingreso[Código de barras]=0,"",INDEX(Stock[Mes],MATCH(Ingreso[Código de barras],Stock[Código de barras],0)))</f>
        <v>44348</v>
      </c>
      <c r="F15" s="30" t="str">
        <f>IF(Ingreso[Código de barras]=0,"",INDEX(Stock[Detalle],MATCH(Ingreso[Código de barras],Stock[Código de barras],0)))</f>
        <v>CÁMARA DE ECUALIZACIÓN</v>
      </c>
      <c r="G15" s="29" t="str">
        <f>IF(Ingreso[Código de barras]=0,"",INDEX(Stock[Matriz],MATCH(Ingreso[Código de barras],Stock[Código de barras],0)))</f>
        <v>Efluente Líquido</v>
      </c>
    </row>
    <row r="16" spans="1:7" ht="30" x14ac:dyDescent="0.25">
      <c r="A16" s="28" t="s">
        <v>119</v>
      </c>
      <c r="B16" s="28">
        <f t="shared" si="1"/>
        <v>1</v>
      </c>
      <c r="C16" s="29">
        <f>IF(Ingreso[Código de barras]=0,"",INDEX(Stock[n°CC],MATCH(Ingreso[Código de barras],Stock[Código de barras],0)))</f>
        <v>2106300012</v>
      </c>
      <c r="D16" s="29" t="str">
        <f>IF(Ingreso[Código de barras]=0,"",INDEX(Stock[Cliente],MATCH(Ingreso[Código de barras],Stock[Código de barras],0)))</f>
        <v>Empresa2</v>
      </c>
      <c r="E16" s="41">
        <f>IF(Ingreso[Código de barras]=0,"",INDEX(Stock[Mes],MATCH(Ingreso[Código de barras],Stock[Código de barras],0)))</f>
        <v>44348</v>
      </c>
      <c r="F16" s="30" t="str">
        <f>IF(Ingreso[Código de barras]=0,"",INDEX(Stock[Detalle],MATCH(Ingreso[Código de barras],Stock[Código de barras],0)))</f>
        <v>CÁMARA DE ECUALIZACIÓN</v>
      </c>
      <c r="G16" s="29" t="str">
        <f>IF(Ingreso[Código de barras]=0,"",INDEX(Stock[Matriz],MATCH(Ingreso[Código de barras],Stock[Código de barras],0)))</f>
        <v>Efluente Líquido</v>
      </c>
    </row>
    <row r="17" spans="1:7" x14ac:dyDescent="0.25">
      <c r="A17" s="28" t="s">
        <v>134</v>
      </c>
      <c r="B17" s="28">
        <f t="shared" si="1"/>
        <v>1</v>
      </c>
      <c r="C17" s="29">
        <f>IF(Ingreso[Código de barras]=0,"",INDEX(Stock[n°CC],MATCH(Ingreso[Código de barras],Stock[Código de barras],0)))</f>
        <v>2106300003</v>
      </c>
      <c r="D17" s="29" t="str">
        <f>IF(Ingreso[Código de barras]=0,"",INDEX(Stock[Cliente],MATCH(Ingreso[Código de barras],Stock[Código de barras],0)))</f>
        <v>Empresa2</v>
      </c>
      <c r="E17" s="41">
        <f>IF(Ingreso[Código de barras]=0,"",INDEX(Stock[Mes],MATCH(Ingreso[Código de barras],Stock[Código de barras],0)))</f>
        <v>44348</v>
      </c>
      <c r="F17" s="30" t="str">
        <f>IF(Ingreso[Código de barras]=0,"",INDEX(Stock[Detalle],MATCH(Ingreso[Código de barras],Stock[Código de barras],0)))</f>
        <v>PF3</v>
      </c>
      <c r="G17" s="29" t="str">
        <f>IF(Ingreso[Código de barras]=0,"",INDEX(Stock[Matriz],MATCH(Ingreso[Código de barras],Stock[Código de barras],0)))</f>
        <v>Pozo Freático</v>
      </c>
    </row>
    <row r="18" spans="1:7" x14ac:dyDescent="0.25">
      <c r="A18" s="28" t="s">
        <v>128</v>
      </c>
      <c r="B18" s="28">
        <f t="shared" si="1"/>
        <v>1</v>
      </c>
      <c r="C18" s="29">
        <f>IF(Ingreso[Código de barras]=0,"",INDEX(Stock[n°CC],MATCH(Ingreso[Código de barras],Stock[Código de barras],0)))</f>
        <v>2106300003</v>
      </c>
      <c r="D18" s="29" t="str">
        <f>IF(Ingreso[Código de barras]=0,"",INDEX(Stock[Cliente],MATCH(Ingreso[Código de barras],Stock[Código de barras],0)))</f>
        <v>Empresa2</v>
      </c>
      <c r="E18" s="41">
        <f>IF(Ingreso[Código de barras]=0,"",INDEX(Stock[Mes],MATCH(Ingreso[Código de barras],Stock[Código de barras],0)))</f>
        <v>44348</v>
      </c>
      <c r="F18" s="30" t="str">
        <f>IF(Ingreso[Código de barras]=0,"",INDEX(Stock[Detalle],MATCH(Ingreso[Código de barras],Stock[Código de barras],0)))</f>
        <v>PF3</v>
      </c>
      <c r="G18" s="29" t="str">
        <f>IF(Ingreso[Código de barras]=0,"",INDEX(Stock[Matriz],MATCH(Ingreso[Código de barras],Stock[Código de barras],0)))</f>
        <v>Pozo Freático</v>
      </c>
    </row>
    <row r="19" spans="1:7" x14ac:dyDescent="0.25">
      <c r="A19" s="28" t="s">
        <v>127</v>
      </c>
      <c r="B19" s="28">
        <f t="shared" si="1"/>
        <v>1</v>
      </c>
      <c r="C19" s="29">
        <f>IF(Ingreso[Código de barras]=0,"",INDEX(Stock[n°CC],MATCH(Ingreso[Código de barras],Stock[Código de barras],0)))</f>
        <v>2106300003</v>
      </c>
      <c r="D19" s="29" t="str">
        <f>IF(Ingreso[Código de barras]=0,"",INDEX(Stock[Cliente],MATCH(Ingreso[Código de barras],Stock[Código de barras],0)))</f>
        <v>Empresa2</v>
      </c>
      <c r="E19" s="41">
        <f>IF(Ingreso[Código de barras]=0,"",INDEX(Stock[Mes],MATCH(Ingreso[Código de barras],Stock[Código de barras],0)))</f>
        <v>44348</v>
      </c>
      <c r="F19" s="30" t="str">
        <f>IF(Ingreso[Código de barras]=0,"",INDEX(Stock[Detalle],MATCH(Ingreso[Código de barras],Stock[Código de barras],0)))</f>
        <v>PF3</v>
      </c>
      <c r="G19" s="29" t="str">
        <f>IF(Ingreso[Código de barras]=0,"",INDEX(Stock[Matriz],MATCH(Ingreso[Código de barras],Stock[Código de barras],0)))</f>
        <v>Pozo Freático</v>
      </c>
    </row>
    <row r="20" spans="1:7" x14ac:dyDescent="0.25">
      <c r="A20" s="28" t="s">
        <v>136</v>
      </c>
      <c r="B20" s="28">
        <f t="shared" si="1"/>
        <v>1</v>
      </c>
      <c r="C20" s="29">
        <f>IF(Ingreso[Código de barras]=0,"",INDEX(Stock[n°CC],MATCH(Ingreso[Código de barras],Stock[Código de barras],0)))</f>
        <v>2106300004</v>
      </c>
      <c r="D20" s="29" t="str">
        <f>IF(Ingreso[Código de barras]=0,"",INDEX(Stock[Cliente],MATCH(Ingreso[Código de barras],Stock[Código de barras],0)))</f>
        <v>Empresa2</v>
      </c>
      <c r="E20" s="41">
        <f>IF(Ingreso[Código de barras]=0,"",INDEX(Stock[Mes],MATCH(Ingreso[Código de barras],Stock[Código de barras],0)))</f>
        <v>44348</v>
      </c>
      <c r="F20" s="30" t="str">
        <f>IF(Ingreso[Código de barras]=0,"",INDEX(Stock[Detalle],MATCH(Ingreso[Código de barras],Stock[Código de barras],0)))</f>
        <v>PF2</v>
      </c>
      <c r="G20" s="29" t="str">
        <f>IF(Ingreso[Código de barras]=0,"",INDEX(Stock[Matriz],MATCH(Ingreso[Código de barras],Stock[Código de barras],0)))</f>
        <v>Pozo Freático</v>
      </c>
    </row>
    <row r="21" spans="1:7" x14ac:dyDescent="0.25">
      <c r="A21" s="28" t="s">
        <v>48</v>
      </c>
      <c r="B21" s="28">
        <f t="shared" si="1"/>
        <v>1</v>
      </c>
      <c r="C21" s="29" t="str">
        <f>IF(Ingreso[Código de barras]=0,"",INDEX(Stock[n°CC],MATCH(Ingreso[Código de barras],Stock[Código de barras],0)))</f>
        <v>vacio</v>
      </c>
      <c r="D21" s="29">
        <f>IF(Ingreso[Código de barras]=0,"",INDEX(Stock[Cliente],MATCH(Ingreso[Código de barras],Stock[Código de barras],0)))</f>
        <v>0</v>
      </c>
      <c r="E21" s="41">
        <f>IF(Ingreso[Código de barras]=0,"",INDEX(Stock[Mes],MATCH(Ingreso[Código de barras],Stock[Código de barras],0)))</f>
        <v>0</v>
      </c>
      <c r="F21" s="30">
        <f>IF(Ingreso[Código de barras]=0,"",INDEX(Stock[Detalle],MATCH(Ingreso[Código de barras],Stock[Código de barras],0)))</f>
        <v>0</v>
      </c>
      <c r="G21" s="29">
        <f>IF(Ingreso[Código de barras]=0,"",INDEX(Stock[Matriz],MATCH(Ingreso[Código de barras],Stock[Código de barras],0)))</f>
        <v>0</v>
      </c>
    </row>
    <row r="22" spans="1:7" x14ac:dyDescent="0.25">
      <c r="A22" s="16" t="str">
        <f>TRIM(IF(Stock[n°CC]=0,"",Stock[n°CC]&amp;""&amp;Stock[Pres]))</f>
        <v>2106300004ho3</v>
      </c>
      <c r="B22" s="28">
        <f t="shared" si="1"/>
        <v>1</v>
      </c>
      <c r="C22" s="29">
        <f>IF(Ingreso[Código de barras]=0,"",INDEX(Stock[n°CC],MATCH(Ingreso[Código de barras],Stock[Código de barras],0)))</f>
        <v>2106300004</v>
      </c>
      <c r="D22" s="29" t="str">
        <f>IF(Ingreso[Código de barras]=0,"",INDEX(Stock[Cliente],MATCH(Ingreso[Código de barras],Stock[Código de barras],0)))</f>
        <v>Empresa2</v>
      </c>
      <c r="E22" s="41">
        <f>IF(Ingreso[Código de barras]=0,"",INDEX(Stock[Mes],MATCH(Ingreso[Código de barras],Stock[Código de barras],0)))</f>
        <v>44348</v>
      </c>
      <c r="F22" s="30" t="str">
        <f>IF(Ingreso[Código de barras]=0,"",INDEX(Stock[Detalle],MATCH(Ingreso[Código de barras],Stock[Código de barras],0)))</f>
        <v>PF2</v>
      </c>
      <c r="G22" s="29" t="str">
        <f>IF(Ingreso[Código de barras]=0,"",INDEX(Stock[Matriz],MATCH(Ingreso[Código de barras],Stock[Código de barras],0)))</f>
        <v>Pozo Freático</v>
      </c>
    </row>
    <row r="23" spans="1:7" x14ac:dyDescent="0.25">
      <c r="A23" s="31"/>
      <c r="B23" s="28" t="str">
        <f t="shared" si="1"/>
        <v/>
      </c>
      <c r="C23" s="29" t="str">
        <f>IF(Ingreso[Código de barras]=0,"",INDEX(Stock[n°CC],MATCH(Ingreso[Código de barras],Stock[Código de barras],0)))</f>
        <v/>
      </c>
      <c r="D23" s="29" t="str">
        <f>IF(Ingreso[Código de barras]=0,"",INDEX(Stock[Cliente],MATCH(Ingreso[Código de barras],Stock[Código de barras],0)))</f>
        <v/>
      </c>
      <c r="E23" s="41" t="str">
        <f>IF(Ingreso[Código de barras]=0,"",INDEX(Stock[Mes],MATCH(Ingreso[Código de barras],Stock[Código de barras],0)))</f>
        <v/>
      </c>
      <c r="F23" s="30" t="str">
        <f>IF(Ingreso[Código de barras]=0,"",INDEX(Stock[Detalle],MATCH(Ingreso[Código de barras],Stock[Código de barras],0)))</f>
        <v/>
      </c>
      <c r="G23" s="29" t="str">
        <f>IF(Ingreso[Código de barras]=0,"",INDEX(Stock[Matriz],MATCH(Ingreso[Código de barras],Stock[Código de barras],0)))</f>
        <v/>
      </c>
    </row>
    <row r="24" spans="1:7" x14ac:dyDescent="0.25">
      <c r="A24" s="31"/>
      <c r="B24" s="28" t="str">
        <f t="shared" si="1"/>
        <v/>
      </c>
      <c r="C24" s="29" t="str">
        <f>IF(Ingreso[Código de barras]=0,"",INDEX(Stock[n°CC],MATCH(Ingreso[Código de barras],Stock[Código de barras],0)))</f>
        <v/>
      </c>
      <c r="D24" s="29" t="str">
        <f>IF(Ingreso[Código de barras]=0,"",INDEX(Stock[Cliente],MATCH(Ingreso[Código de barras],Stock[Código de barras],0)))</f>
        <v/>
      </c>
      <c r="E24" s="41" t="str">
        <f>IF(Ingreso[Código de barras]=0,"",INDEX(Stock[Mes],MATCH(Ingreso[Código de barras],Stock[Código de barras],0)))</f>
        <v/>
      </c>
      <c r="F24" s="30" t="str">
        <f>IF(Ingreso[Código de barras]=0,"",INDEX(Stock[Detalle],MATCH(Ingreso[Código de barras],Stock[Código de barras],0)))</f>
        <v/>
      </c>
      <c r="G24" s="29" t="str">
        <f>IF(Ingreso[Código de barras]=0,"",INDEX(Stock[Matriz],MATCH(Ingreso[Código de barras],Stock[Código de barras],0)))</f>
        <v/>
      </c>
    </row>
    <row r="25" spans="1:7" x14ac:dyDescent="0.25">
      <c r="A25" s="31"/>
      <c r="B25" s="28" t="str">
        <f t="shared" si="1"/>
        <v/>
      </c>
      <c r="C25" s="29" t="str">
        <f>IF(Ingreso[Código de barras]=0,"",INDEX(Stock[n°CC],MATCH(Ingreso[Código de barras],Stock[Código de barras],0)))</f>
        <v/>
      </c>
      <c r="D25" s="29" t="str">
        <f>IF(Ingreso[Código de barras]=0,"",INDEX(Stock[Cliente],MATCH(Ingreso[Código de barras],Stock[Código de barras],0)))</f>
        <v/>
      </c>
      <c r="E25" s="41" t="str">
        <f>IF(Ingreso[Código de barras]=0,"",INDEX(Stock[Mes],MATCH(Ingreso[Código de barras],Stock[Código de barras],0)))</f>
        <v/>
      </c>
      <c r="F25" s="30" t="str">
        <f>IF(Ingreso[Código de barras]=0,"",INDEX(Stock[Detalle],MATCH(Ingreso[Código de barras],Stock[Código de barras],0)))</f>
        <v/>
      </c>
      <c r="G25" s="29" t="str">
        <f>IF(Ingreso[Código de barras]=0,"",INDEX(Stock[Matriz],MATCH(Ingreso[Código de barras],Stock[Código de barras],0)))</f>
        <v/>
      </c>
    </row>
    <row r="26" spans="1:7" x14ac:dyDescent="0.25">
      <c r="A26" s="31"/>
      <c r="B26" s="28" t="str">
        <f t="shared" si="1"/>
        <v/>
      </c>
      <c r="C26" s="29" t="str">
        <f>IF(Ingreso[Código de barras]=0,"",INDEX(Stock[n°CC],MATCH(Ingreso[Código de barras],Stock[Código de barras],0)))</f>
        <v/>
      </c>
      <c r="D26" s="29" t="str">
        <f>IF(Ingreso[Código de barras]=0,"",INDEX(Stock[Cliente],MATCH(Ingreso[Código de barras],Stock[Código de barras],0)))</f>
        <v/>
      </c>
      <c r="E26" s="41" t="str">
        <f>IF(Ingreso[Código de barras]=0,"",INDEX(Stock[Mes],MATCH(Ingreso[Código de barras],Stock[Código de barras],0)))</f>
        <v/>
      </c>
      <c r="F26" s="30" t="str">
        <f>IF(Ingreso[Código de barras]=0,"",INDEX(Stock[Detalle],MATCH(Ingreso[Código de barras],Stock[Código de barras],0)))</f>
        <v/>
      </c>
      <c r="G26" s="29" t="str">
        <f>IF(Ingreso[Código de barras]=0,"",INDEX(Stock[Matriz],MATCH(Ingreso[Código de barras],Stock[Código de barras],0)))</f>
        <v/>
      </c>
    </row>
    <row r="27" spans="1:7" x14ac:dyDescent="0.25">
      <c r="A27" s="31"/>
      <c r="B27" s="28" t="str">
        <f t="shared" si="1"/>
        <v/>
      </c>
      <c r="C27" s="29" t="str">
        <f>IF(Ingreso[Código de barras]=0,"",INDEX(Stock[n°CC],MATCH(Ingreso[Código de barras],Stock[Código de barras],0)))</f>
        <v/>
      </c>
      <c r="D27" s="29" t="str">
        <f>IF(Ingreso[Código de barras]=0,"",INDEX(Stock[Cliente],MATCH(Ingreso[Código de barras],Stock[Código de barras],0)))</f>
        <v/>
      </c>
      <c r="E27" s="41" t="str">
        <f>IF(Ingreso[Código de barras]=0,"",INDEX(Stock[Mes],MATCH(Ingreso[Código de barras],Stock[Código de barras],0)))</f>
        <v/>
      </c>
      <c r="F27" s="30" t="str">
        <f>IF(Ingreso[Código de barras]=0,"",INDEX(Stock[Detalle],MATCH(Ingreso[Código de barras],Stock[Código de barras],0)))</f>
        <v/>
      </c>
      <c r="G27" s="29" t="str">
        <f>IF(Ingreso[Código de barras]=0,"",INDEX(Stock[Matriz],MATCH(Ingreso[Código de barras],Stock[Código de barras],0)))</f>
        <v/>
      </c>
    </row>
    <row r="28" spans="1:7" x14ac:dyDescent="0.25">
      <c r="A28" s="31"/>
      <c r="B28" s="28" t="str">
        <f t="shared" si="1"/>
        <v/>
      </c>
      <c r="C28" s="29" t="str">
        <f>IF(Ingreso[Código de barras]=0,"",INDEX(Stock[n°CC],MATCH(Ingreso[Código de barras],Stock[Código de barras],0)))</f>
        <v/>
      </c>
      <c r="D28" s="29" t="str">
        <f>IF(Ingreso[Código de barras]=0,"",INDEX(Stock[Cliente],MATCH(Ingreso[Código de barras],Stock[Código de barras],0)))</f>
        <v/>
      </c>
      <c r="E28" s="41" t="str">
        <f>IF(Ingreso[Código de barras]=0,"",INDEX(Stock[Mes],MATCH(Ingreso[Código de barras],Stock[Código de barras],0)))</f>
        <v/>
      </c>
      <c r="F28" s="30" t="str">
        <f>IF(Ingreso[Código de barras]=0,"",INDEX(Stock[Detalle],MATCH(Ingreso[Código de barras],Stock[Código de barras],0)))</f>
        <v/>
      </c>
      <c r="G28" s="29" t="str">
        <f>IF(Ingreso[Código de barras]=0,"",INDEX(Stock[Matriz],MATCH(Ingreso[Código de barras],Stock[Código de barras],0)))</f>
        <v/>
      </c>
    </row>
    <row r="29" spans="1:7" x14ac:dyDescent="0.25">
      <c r="A29" s="31"/>
      <c r="B29" s="28" t="str">
        <f t="shared" si="1"/>
        <v/>
      </c>
      <c r="C29" s="29" t="str">
        <f>IF(Ingreso[Código de barras]=0,"",INDEX(Stock[n°CC],MATCH(Ingreso[Código de barras],Stock[Código de barras],0)))</f>
        <v/>
      </c>
      <c r="D29" s="29" t="str">
        <f>IF(Ingreso[Código de barras]=0,"",INDEX(Stock[Cliente],MATCH(Ingreso[Código de barras],Stock[Código de barras],0)))</f>
        <v/>
      </c>
      <c r="E29" s="41" t="str">
        <f>IF(Ingreso[Código de barras]=0,"",INDEX(Stock[Mes],MATCH(Ingreso[Código de barras],Stock[Código de barras],0)))</f>
        <v/>
      </c>
      <c r="F29" s="30" t="str">
        <f>IF(Ingreso[Código de barras]=0,"",INDEX(Stock[Detalle],MATCH(Ingreso[Código de barras],Stock[Código de barras],0)))</f>
        <v/>
      </c>
      <c r="G29" s="29" t="str">
        <f>IF(Ingreso[Código de barras]=0,"",INDEX(Stock[Matriz],MATCH(Ingreso[Código de barras],Stock[Código de barras],0)))</f>
        <v/>
      </c>
    </row>
    <row r="30" spans="1:7" x14ac:dyDescent="0.25">
      <c r="A30" s="31"/>
      <c r="B30" s="28" t="str">
        <f t="shared" si="1"/>
        <v/>
      </c>
      <c r="C30" s="29" t="str">
        <f>IF(Ingreso[Código de barras]=0,"",INDEX(Stock[n°CC],MATCH(Ingreso[Código de barras],Stock[Código de barras],0)))</f>
        <v/>
      </c>
      <c r="D30" s="29" t="str">
        <f>IF(Ingreso[Código de barras]=0,"",INDEX(Stock[Cliente],MATCH(Ingreso[Código de barras],Stock[Código de barras],0)))</f>
        <v/>
      </c>
      <c r="E30" s="41" t="str">
        <f>IF(Ingreso[Código de barras]=0,"",INDEX(Stock[Mes],MATCH(Ingreso[Código de barras],Stock[Código de barras],0)))</f>
        <v/>
      </c>
      <c r="F30" s="30" t="str">
        <f>IF(Ingreso[Código de barras]=0,"",INDEX(Stock[Detalle],MATCH(Ingreso[Código de barras],Stock[Código de barras],0)))</f>
        <v/>
      </c>
      <c r="G30" s="29" t="str">
        <f>IF(Ingreso[Código de barras]=0,"",INDEX(Stock[Matriz],MATCH(Ingreso[Código de barras],Stock[Código de barras],0)))</f>
        <v/>
      </c>
    </row>
    <row r="31" spans="1:7" x14ac:dyDescent="0.25">
      <c r="A31" s="31"/>
      <c r="B31" s="28" t="str">
        <f t="shared" si="1"/>
        <v/>
      </c>
      <c r="C31" s="29" t="str">
        <f>IF(Ingreso[Código de barras]=0,"",INDEX(Stock[n°CC],MATCH(Ingreso[Código de barras],Stock[Código de barras],0)))</f>
        <v/>
      </c>
      <c r="D31" s="29" t="str">
        <f>IF(Ingreso[Código de barras]=0,"",INDEX(Stock[Cliente],MATCH(Ingreso[Código de barras],Stock[Código de barras],0)))</f>
        <v/>
      </c>
      <c r="E31" s="41" t="str">
        <f>IF(Ingreso[Código de barras]=0,"",INDEX(Stock[Mes],MATCH(Ingreso[Código de barras],Stock[Código de barras],0)))</f>
        <v/>
      </c>
      <c r="F31" s="30" t="str">
        <f>IF(Ingreso[Código de barras]=0,"",INDEX(Stock[Detalle],MATCH(Ingreso[Código de barras],Stock[Código de barras],0)))</f>
        <v/>
      </c>
      <c r="G31" s="29" t="str">
        <f>IF(Ingreso[Código de barras]=0,"",INDEX(Stock[Matriz],MATCH(Ingreso[Código de barras],Stock[Código de barras],0)))</f>
        <v/>
      </c>
    </row>
    <row r="32" spans="1:7" x14ac:dyDescent="0.25">
      <c r="A32" s="31"/>
      <c r="B32" s="28" t="str">
        <f t="shared" si="1"/>
        <v/>
      </c>
      <c r="C32" s="29" t="str">
        <f>IF(Ingreso[Código de barras]=0,"",INDEX(Stock[n°CC],MATCH(Ingreso[Código de barras],Stock[Código de barras],0)))</f>
        <v/>
      </c>
      <c r="D32" s="29" t="str">
        <f>IF(Ingreso[Código de barras]=0,"",INDEX(Stock[Cliente],MATCH(Ingreso[Código de barras],Stock[Código de barras],0)))</f>
        <v/>
      </c>
      <c r="E32" s="41" t="str">
        <f>IF(Ingreso[Código de barras]=0,"",INDEX(Stock[Mes],MATCH(Ingreso[Código de barras],Stock[Código de barras],0)))</f>
        <v/>
      </c>
      <c r="F32" s="30" t="str">
        <f>IF(Ingreso[Código de barras]=0,"",INDEX(Stock[Detalle],MATCH(Ingreso[Código de barras],Stock[Código de barras],0)))</f>
        <v/>
      </c>
      <c r="G32" s="29" t="str">
        <f>IF(Ingreso[Código de barras]=0,"",INDEX(Stock[Matriz],MATCH(Ingreso[Código de barras],Stock[Código de barras],0)))</f>
        <v/>
      </c>
    </row>
    <row r="33" spans="1:7" x14ac:dyDescent="0.25">
      <c r="A33" s="31"/>
      <c r="B33" s="28" t="str">
        <f t="shared" si="1"/>
        <v/>
      </c>
      <c r="C33" s="29" t="str">
        <f>IF(Ingreso[Código de barras]=0,"",INDEX(Stock[n°CC],MATCH(Ingreso[Código de barras],Stock[Código de barras],0)))</f>
        <v/>
      </c>
      <c r="D33" s="29" t="str">
        <f>IF(Ingreso[Código de barras]=0,"",INDEX(Stock[Cliente],MATCH(Ingreso[Código de barras],Stock[Código de barras],0)))</f>
        <v/>
      </c>
      <c r="E33" s="41" t="str">
        <f>IF(Ingreso[Código de barras]=0,"",INDEX(Stock[Mes],MATCH(Ingreso[Código de barras],Stock[Código de barras],0)))</f>
        <v/>
      </c>
      <c r="F33" s="30" t="str">
        <f>IF(Ingreso[Código de barras]=0,"",INDEX(Stock[Detalle],MATCH(Ingreso[Código de barras],Stock[Código de barras],0)))</f>
        <v/>
      </c>
      <c r="G33" s="29" t="str">
        <f>IF(Ingreso[Código de barras]=0,"",INDEX(Stock[Matriz],MATCH(Ingreso[Código de barras],Stock[Código de barras],0)))</f>
        <v/>
      </c>
    </row>
    <row r="34" spans="1:7" x14ac:dyDescent="0.25">
      <c r="A34" s="31"/>
      <c r="B34" s="28" t="str">
        <f t="shared" si="1"/>
        <v/>
      </c>
      <c r="C34" s="29" t="str">
        <f>IF(Ingreso[Código de barras]=0,"",INDEX(Stock[n°CC],MATCH(Ingreso[Código de barras],Stock[Código de barras],0)))</f>
        <v/>
      </c>
      <c r="D34" s="29" t="str">
        <f>IF(Ingreso[Código de barras]=0,"",INDEX(Stock[Cliente],MATCH(Ingreso[Código de barras],Stock[Código de barras],0)))</f>
        <v/>
      </c>
      <c r="E34" s="41" t="str">
        <f>IF(Ingreso[Código de barras]=0,"",INDEX(Stock[Mes],MATCH(Ingreso[Código de barras],Stock[Código de barras],0)))</f>
        <v/>
      </c>
      <c r="F34" s="30" t="str">
        <f>IF(Ingreso[Código de barras]=0,"",INDEX(Stock[Detalle],MATCH(Ingreso[Código de barras],Stock[Código de barras],0)))</f>
        <v/>
      </c>
      <c r="G34" s="29" t="str">
        <f>IF(Ingreso[Código de barras]=0,"",INDEX(Stock[Matriz],MATCH(Ingreso[Código de barras],Stock[Código de barras],0)))</f>
        <v/>
      </c>
    </row>
    <row r="35" spans="1:7" x14ac:dyDescent="0.25">
      <c r="A35" s="31"/>
      <c r="B35" s="28" t="str">
        <f t="shared" si="1"/>
        <v/>
      </c>
      <c r="C35" s="29" t="str">
        <f>IF(Ingreso[Código de barras]=0,"",INDEX(Stock[n°CC],MATCH(Ingreso[Código de barras],Stock[Código de barras],0)))</f>
        <v/>
      </c>
      <c r="D35" s="29" t="str">
        <f>IF(Ingreso[Código de barras]=0,"",INDEX(Stock[Cliente],MATCH(Ingreso[Código de barras],Stock[Código de barras],0)))</f>
        <v/>
      </c>
      <c r="E35" s="41" t="str">
        <f>IF(Ingreso[Código de barras]=0,"",INDEX(Stock[Mes],MATCH(Ingreso[Código de barras],Stock[Código de barras],0)))</f>
        <v/>
      </c>
      <c r="F35" s="30" t="str">
        <f>IF(Ingreso[Código de barras]=0,"",INDEX(Stock[Detalle],MATCH(Ingreso[Código de barras],Stock[Código de barras],0)))</f>
        <v/>
      </c>
      <c r="G35" s="29" t="str">
        <f>IF(Ingreso[Código de barras]=0,"",INDEX(Stock[Matriz],MATCH(Ingreso[Código de barras],Stock[Código de barras],0)))</f>
        <v/>
      </c>
    </row>
    <row r="36" spans="1:7" x14ac:dyDescent="0.25">
      <c r="A36" s="31"/>
      <c r="B36" s="28" t="str">
        <f t="shared" si="1"/>
        <v/>
      </c>
      <c r="C36" s="29" t="str">
        <f>IF(Ingreso[Código de barras]=0,"",INDEX(Stock[n°CC],MATCH(Ingreso[Código de barras],Stock[Código de barras],0)))</f>
        <v/>
      </c>
      <c r="D36" s="29" t="str">
        <f>IF(Ingreso[Código de barras]=0,"",INDEX(Stock[Cliente],MATCH(Ingreso[Código de barras],Stock[Código de barras],0)))</f>
        <v/>
      </c>
      <c r="E36" s="41" t="str">
        <f>IF(Ingreso[Código de barras]=0,"",INDEX(Stock[Mes],MATCH(Ingreso[Código de barras],Stock[Código de barras],0)))</f>
        <v/>
      </c>
      <c r="F36" s="30" t="str">
        <f>IF(Ingreso[Código de barras]=0,"",INDEX(Stock[Detalle],MATCH(Ingreso[Código de barras],Stock[Código de barras],0)))</f>
        <v/>
      </c>
      <c r="G36" s="29" t="str">
        <f>IF(Ingreso[Código de barras]=0,"",INDEX(Stock[Matriz],MATCH(Ingreso[Código de barras],Stock[Código de barras],0)))</f>
        <v/>
      </c>
    </row>
    <row r="37" spans="1:7" x14ac:dyDescent="0.25">
      <c r="A37" s="31"/>
      <c r="B37" s="28" t="str">
        <f t="shared" si="1"/>
        <v/>
      </c>
      <c r="C37" s="29" t="str">
        <f>IF(Ingreso[Código de barras]=0,"",INDEX(Stock[n°CC],MATCH(Ingreso[Código de barras],Stock[Código de barras],0)))</f>
        <v/>
      </c>
      <c r="D37" s="29" t="str">
        <f>IF(Ingreso[Código de barras]=0,"",INDEX(Stock[Cliente],MATCH(Ingreso[Código de barras],Stock[Código de barras],0)))</f>
        <v/>
      </c>
      <c r="E37" s="41" t="str">
        <f>IF(Ingreso[Código de barras]=0,"",INDEX(Stock[Mes],MATCH(Ingreso[Código de barras],Stock[Código de barras],0)))</f>
        <v/>
      </c>
      <c r="F37" s="30" t="str">
        <f>IF(Ingreso[Código de barras]=0,"",INDEX(Stock[Detalle],MATCH(Ingreso[Código de barras],Stock[Código de barras],0)))</f>
        <v/>
      </c>
      <c r="G37" s="29" t="str">
        <f>IF(Ingreso[Código de barras]=0,"",INDEX(Stock[Matriz],MATCH(Ingreso[Código de barras],Stock[Código de barras],0)))</f>
        <v/>
      </c>
    </row>
    <row r="38" spans="1:7" x14ac:dyDescent="0.25">
      <c r="A38" s="31"/>
      <c r="B38" s="28" t="str">
        <f t="shared" si="1"/>
        <v/>
      </c>
      <c r="C38" s="29" t="str">
        <f>IF(Ingreso[Código de barras]=0,"",INDEX(Stock[n°CC],MATCH(Ingreso[Código de barras],Stock[Código de barras],0)))</f>
        <v/>
      </c>
      <c r="D38" s="29" t="str">
        <f>IF(Ingreso[Código de barras]=0,"",INDEX(Stock[Cliente],MATCH(Ingreso[Código de barras],Stock[Código de barras],0)))</f>
        <v/>
      </c>
      <c r="E38" s="41" t="str">
        <f>IF(Ingreso[Código de barras]=0,"",INDEX(Stock[Mes],MATCH(Ingreso[Código de barras],Stock[Código de barras],0)))</f>
        <v/>
      </c>
      <c r="F38" s="30" t="str">
        <f>IF(Ingreso[Código de barras]=0,"",INDEX(Stock[Detalle],MATCH(Ingreso[Código de barras],Stock[Código de barras],0)))</f>
        <v/>
      </c>
      <c r="G38" s="29" t="str">
        <f>IF(Ingreso[Código de barras]=0,"",INDEX(Stock[Matriz],MATCH(Ingreso[Código de barras],Stock[Código de barras],0)))</f>
        <v/>
      </c>
    </row>
    <row r="39" spans="1:7" x14ac:dyDescent="0.25">
      <c r="A39" s="31"/>
      <c r="B39" s="28" t="str">
        <f t="shared" si="1"/>
        <v/>
      </c>
      <c r="C39" s="29" t="str">
        <f>IF(Ingreso[Código de barras]=0,"",INDEX(Stock[n°CC],MATCH(Ingreso[Código de barras],Stock[Código de barras],0)))</f>
        <v/>
      </c>
      <c r="D39" s="29" t="str">
        <f>IF(Ingreso[Código de barras]=0,"",INDEX(Stock[Cliente],MATCH(Ingreso[Código de barras],Stock[Código de barras],0)))</f>
        <v/>
      </c>
      <c r="E39" s="41" t="str">
        <f>IF(Ingreso[Código de barras]=0,"",INDEX(Stock[Mes],MATCH(Ingreso[Código de barras],Stock[Código de barras],0)))</f>
        <v/>
      </c>
      <c r="F39" s="30" t="str">
        <f>IF(Ingreso[Código de barras]=0,"",INDEX(Stock[Detalle],MATCH(Ingreso[Código de barras],Stock[Código de barras],0)))</f>
        <v/>
      </c>
      <c r="G39" s="29" t="str">
        <f>IF(Ingreso[Código de barras]=0,"",INDEX(Stock[Matriz],MATCH(Ingreso[Código de barras],Stock[Código de barras],0)))</f>
        <v/>
      </c>
    </row>
    <row r="40" spans="1:7" x14ac:dyDescent="0.25">
      <c r="A40" s="31"/>
      <c r="B40" s="28" t="str">
        <f t="shared" si="1"/>
        <v/>
      </c>
      <c r="C40" s="29" t="str">
        <f>IF(Ingreso[Código de barras]=0,"",INDEX(Stock[n°CC],MATCH(Ingreso[Código de barras],Stock[Código de barras],0)))</f>
        <v/>
      </c>
      <c r="D40" s="29" t="str">
        <f>IF(Ingreso[Código de barras]=0,"",INDEX(Stock[Cliente],MATCH(Ingreso[Código de barras],Stock[Código de barras],0)))</f>
        <v/>
      </c>
      <c r="E40" s="41" t="str">
        <f>IF(Ingreso[Código de barras]=0,"",INDEX(Stock[Mes],MATCH(Ingreso[Código de barras],Stock[Código de barras],0)))</f>
        <v/>
      </c>
      <c r="F40" s="30" t="str">
        <f>IF(Ingreso[Código de barras]=0,"",INDEX(Stock[Detalle],MATCH(Ingreso[Código de barras],Stock[Código de barras],0)))</f>
        <v/>
      </c>
      <c r="G40" s="29" t="str">
        <f>IF(Ingreso[Código de barras]=0,"",INDEX(Stock[Matriz],MATCH(Ingreso[Código de barras],Stock[Código de barras],0)))</f>
        <v/>
      </c>
    </row>
    <row r="41" spans="1:7" x14ac:dyDescent="0.25">
      <c r="A41" s="31"/>
      <c r="B41" s="28" t="str">
        <f t="shared" si="1"/>
        <v/>
      </c>
      <c r="C41" s="29" t="str">
        <f>IF(Ingreso[Código de barras]=0,"",INDEX(Stock[n°CC],MATCH(Ingreso[Código de barras],Stock[Código de barras],0)))</f>
        <v/>
      </c>
      <c r="D41" s="29" t="str">
        <f>IF(Ingreso[Código de barras]=0,"",INDEX(Stock[Cliente],MATCH(Ingreso[Código de barras],Stock[Código de barras],0)))</f>
        <v/>
      </c>
      <c r="E41" s="41" t="str">
        <f>IF(Ingreso[Código de barras]=0,"",INDEX(Stock[Mes],MATCH(Ingreso[Código de barras],Stock[Código de barras],0)))</f>
        <v/>
      </c>
      <c r="F41" s="30" t="str">
        <f>IF(Ingreso[Código de barras]=0,"",INDEX(Stock[Detalle],MATCH(Ingreso[Código de barras],Stock[Código de barras],0)))</f>
        <v/>
      </c>
      <c r="G41" s="29" t="str">
        <f>IF(Ingreso[Código de barras]=0,"",INDEX(Stock[Matriz],MATCH(Ingreso[Código de barras],Stock[Código de barras],0)))</f>
        <v/>
      </c>
    </row>
    <row r="42" spans="1:7" x14ac:dyDescent="0.25">
      <c r="A42" s="31"/>
      <c r="B42" s="28" t="str">
        <f t="shared" si="1"/>
        <v/>
      </c>
      <c r="C42" s="29" t="str">
        <f>IF(Ingreso[Código de barras]=0,"",INDEX(Stock[n°CC],MATCH(Ingreso[Código de barras],Stock[Código de barras],0)))</f>
        <v/>
      </c>
      <c r="D42" s="29" t="str">
        <f>IF(Ingreso[Código de barras]=0,"",INDEX(Stock[Cliente],MATCH(Ingreso[Código de barras],Stock[Código de barras],0)))</f>
        <v/>
      </c>
      <c r="E42" s="41" t="str">
        <f>IF(Ingreso[Código de barras]=0,"",INDEX(Stock[Mes],MATCH(Ingreso[Código de barras],Stock[Código de barras],0)))</f>
        <v/>
      </c>
      <c r="F42" s="30" t="str">
        <f>IF(Ingreso[Código de barras]=0,"",INDEX(Stock[Detalle],MATCH(Ingreso[Código de barras],Stock[Código de barras],0)))</f>
        <v/>
      </c>
      <c r="G42" s="29" t="str">
        <f>IF(Ingreso[Código de barras]=0,"",INDEX(Stock[Matriz],MATCH(Ingreso[Código de barras],Stock[Código de barras],0)))</f>
        <v/>
      </c>
    </row>
    <row r="43" spans="1:7" x14ac:dyDescent="0.25">
      <c r="A43" s="31"/>
      <c r="B43" s="28" t="str">
        <f t="shared" si="1"/>
        <v/>
      </c>
      <c r="C43" s="29" t="str">
        <f>IF(Ingreso[Código de barras]=0,"",INDEX(Stock[n°CC],MATCH(Ingreso[Código de barras],Stock[Código de barras],0)))</f>
        <v/>
      </c>
      <c r="D43" s="29" t="str">
        <f>IF(Ingreso[Código de barras]=0,"",INDEX(Stock[Cliente],MATCH(Ingreso[Código de barras],Stock[Código de barras],0)))</f>
        <v/>
      </c>
      <c r="E43" s="41" t="str">
        <f>IF(Ingreso[Código de barras]=0,"",INDEX(Stock[Mes],MATCH(Ingreso[Código de barras],Stock[Código de barras],0)))</f>
        <v/>
      </c>
      <c r="F43" s="30" t="str">
        <f>IF(Ingreso[Código de barras]=0,"",INDEX(Stock[Detalle],MATCH(Ingreso[Código de barras],Stock[Código de barras],0)))</f>
        <v/>
      </c>
      <c r="G43" s="29" t="str">
        <f>IF(Ingreso[Código de barras]=0,"",INDEX(Stock[Matriz],MATCH(Ingreso[Código de barras],Stock[Código de barras],0)))</f>
        <v/>
      </c>
    </row>
    <row r="44" spans="1:7" x14ac:dyDescent="0.25">
      <c r="A44" s="31"/>
      <c r="B44" s="28" t="str">
        <f t="shared" si="1"/>
        <v/>
      </c>
      <c r="C44" s="29" t="str">
        <f>IF(Ingreso[Código de barras]=0,"",INDEX(Stock[n°CC],MATCH(Ingreso[Código de barras],Stock[Código de barras],0)))</f>
        <v/>
      </c>
      <c r="D44" s="29" t="str">
        <f>IF(Ingreso[Código de barras]=0,"",INDEX(Stock[Cliente],MATCH(Ingreso[Código de barras],Stock[Código de barras],0)))</f>
        <v/>
      </c>
      <c r="E44" s="41" t="str">
        <f>IF(Ingreso[Código de barras]=0,"",INDEX(Stock[Mes],MATCH(Ingreso[Código de barras],Stock[Código de barras],0)))</f>
        <v/>
      </c>
      <c r="F44" s="30" t="str">
        <f>IF(Ingreso[Código de barras]=0,"",INDEX(Stock[Detalle],MATCH(Ingreso[Código de barras],Stock[Código de barras],0)))</f>
        <v/>
      </c>
      <c r="G44" s="29" t="str">
        <f>IF(Ingreso[Código de barras]=0,"",INDEX(Stock[Matriz],MATCH(Ingreso[Código de barras],Stock[Código de barras],0)))</f>
        <v/>
      </c>
    </row>
    <row r="45" spans="1:7" x14ac:dyDescent="0.25">
      <c r="A45" s="31"/>
      <c r="B45" s="28" t="str">
        <f t="shared" si="1"/>
        <v/>
      </c>
      <c r="C45" s="29" t="str">
        <f>IF(Ingreso[Código de barras]=0,"",INDEX(Stock[n°CC],MATCH(Ingreso[Código de barras],Stock[Código de barras],0)))</f>
        <v/>
      </c>
      <c r="D45" s="29" t="str">
        <f>IF(Ingreso[Código de barras]=0,"",INDEX(Stock[Cliente],MATCH(Ingreso[Código de barras],Stock[Código de barras],0)))</f>
        <v/>
      </c>
      <c r="E45" s="41" t="str">
        <f>IF(Ingreso[Código de barras]=0,"",INDEX(Stock[Mes],MATCH(Ingreso[Código de barras],Stock[Código de barras],0)))</f>
        <v/>
      </c>
      <c r="F45" s="30" t="str">
        <f>IF(Ingreso[Código de barras]=0,"",INDEX(Stock[Detalle],MATCH(Ingreso[Código de barras],Stock[Código de barras],0)))</f>
        <v/>
      </c>
      <c r="G45" s="29" t="str">
        <f>IF(Ingreso[Código de barras]=0,"",INDEX(Stock[Matriz],MATCH(Ingreso[Código de barras],Stock[Código de barras],0)))</f>
        <v/>
      </c>
    </row>
    <row r="46" spans="1:7" x14ac:dyDescent="0.25">
      <c r="A46" s="31"/>
      <c r="B46" s="28" t="str">
        <f t="shared" si="1"/>
        <v/>
      </c>
      <c r="C46" s="29" t="str">
        <f>IF(Ingreso[Código de barras]=0,"",INDEX(Stock[n°CC],MATCH(Ingreso[Código de barras],Stock[Código de barras],0)))</f>
        <v/>
      </c>
      <c r="D46" s="29" t="str">
        <f>IF(Ingreso[Código de barras]=0,"",INDEX(Stock[Cliente],MATCH(Ingreso[Código de barras],Stock[Código de barras],0)))</f>
        <v/>
      </c>
      <c r="E46" s="41" t="str">
        <f>IF(Ingreso[Código de barras]=0,"",INDEX(Stock[Mes],MATCH(Ingreso[Código de barras],Stock[Código de barras],0)))</f>
        <v/>
      </c>
      <c r="F46" s="30" t="str">
        <f>IF(Ingreso[Código de barras]=0,"",INDEX(Stock[Detalle],MATCH(Ingreso[Código de barras],Stock[Código de barras],0)))</f>
        <v/>
      </c>
      <c r="G46" s="29" t="str">
        <f>IF(Ingreso[Código de barras]=0,"",INDEX(Stock[Matriz],MATCH(Ingreso[Código de barras],Stock[Código de barras],0)))</f>
        <v/>
      </c>
    </row>
    <row r="47" spans="1:7" x14ac:dyDescent="0.25">
      <c r="A47" s="31"/>
      <c r="B47" s="28" t="str">
        <f t="shared" si="1"/>
        <v/>
      </c>
      <c r="C47" s="29" t="str">
        <f>IF(Ingreso[Código de barras]=0,"",INDEX(Stock[n°CC],MATCH(Ingreso[Código de barras],Stock[Código de barras],0)))</f>
        <v/>
      </c>
      <c r="D47" s="29" t="str">
        <f>IF(Ingreso[Código de barras]=0,"",INDEX(Stock[Cliente],MATCH(Ingreso[Código de barras],Stock[Código de barras],0)))</f>
        <v/>
      </c>
      <c r="E47" s="41" t="str">
        <f>IF(Ingreso[Código de barras]=0,"",INDEX(Stock[Mes],MATCH(Ingreso[Código de barras],Stock[Código de barras],0)))</f>
        <v/>
      </c>
      <c r="F47" s="30" t="str">
        <f>IF(Ingreso[Código de barras]=0,"",INDEX(Stock[Detalle],MATCH(Ingreso[Código de barras],Stock[Código de barras],0)))</f>
        <v/>
      </c>
      <c r="G47" s="29" t="str">
        <f>IF(Ingreso[Código de barras]=0,"",INDEX(Stock[Matriz],MATCH(Ingreso[Código de barras],Stock[Código de barras],0)))</f>
        <v/>
      </c>
    </row>
    <row r="48" spans="1:7" x14ac:dyDescent="0.25">
      <c r="A48" s="31"/>
      <c r="B48" s="28" t="str">
        <f t="shared" si="1"/>
        <v/>
      </c>
      <c r="C48" s="29" t="str">
        <f>IF(Ingreso[Código de barras]=0,"",INDEX(Stock[n°CC],MATCH(Ingreso[Código de barras],Stock[Código de barras],0)))</f>
        <v/>
      </c>
      <c r="D48" s="29" t="str">
        <f>IF(Ingreso[Código de barras]=0,"",INDEX(Stock[Cliente],MATCH(Ingreso[Código de barras],Stock[Código de barras],0)))</f>
        <v/>
      </c>
      <c r="E48" s="41" t="str">
        <f>IF(Ingreso[Código de barras]=0,"",INDEX(Stock[Mes],MATCH(Ingreso[Código de barras],Stock[Código de barras],0)))</f>
        <v/>
      </c>
      <c r="F48" s="30" t="str">
        <f>IF(Ingreso[Código de barras]=0,"",INDEX(Stock[Detalle],MATCH(Ingreso[Código de barras],Stock[Código de barras],0)))</f>
        <v/>
      </c>
      <c r="G48" s="29" t="str">
        <f>IF(Ingreso[Código de barras]=0,"",INDEX(Stock[Matriz],MATCH(Ingreso[Código de barras],Stock[Código de barras],0)))</f>
        <v/>
      </c>
    </row>
    <row r="49" spans="1:7" x14ac:dyDescent="0.25">
      <c r="A49" s="31"/>
      <c r="B49" s="28" t="str">
        <f t="shared" si="1"/>
        <v/>
      </c>
      <c r="C49" s="29" t="str">
        <f>IF(Ingreso[Código de barras]=0,"",INDEX(Stock[n°CC],MATCH(Ingreso[Código de barras],Stock[Código de barras],0)))</f>
        <v/>
      </c>
      <c r="D49" s="29" t="str">
        <f>IF(Ingreso[Código de barras]=0,"",INDEX(Stock[Cliente],MATCH(Ingreso[Código de barras],Stock[Código de barras],0)))</f>
        <v/>
      </c>
      <c r="E49" s="41" t="str">
        <f>IF(Ingreso[Código de barras]=0,"",INDEX(Stock[Mes],MATCH(Ingreso[Código de barras],Stock[Código de barras],0)))</f>
        <v/>
      </c>
      <c r="F49" s="30" t="str">
        <f>IF(Ingreso[Código de barras]=0,"",INDEX(Stock[Detalle],MATCH(Ingreso[Código de barras],Stock[Código de barras],0)))</f>
        <v/>
      </c>
      <c r="G49" s="29" t="str">
        <f>IF(Ingreso[Código de barras]=0,"",INDEX(Stock[Matriz],MATCH(Ingreso[Código de barras],Stock[Código de barras],0)))</f>
        <v/>
      </c>
    </row>
    <row r="50" spans="1:7" x14ac:dyDescent="0.25">
      <c r="A50" s="31"/>
      <c r="B50" s="28" t="str">
        <f t="shared" si="1"/>
        <v/>
      </c>
      <c r="C50" s="29" t="str">
        <f>IF(Ingreso[Código de barras]=0,"",INDEX(Stock[n°CC],MATCH(Ingreso[Código de barras],Stock[Código de barras],0)))</f>
        <v/>
      </c>
      <c r="D50" s="29" t="str">
        <f>IF(Ingreso[Código de barras]=0,"",INDEX(Stock[Cliente],MATCH(Ingreso[Código de barras],Stock[Código de barras],0)))</f>
        <v/>
      </c>
      <c r="E50" s="41" t="str">
        <f>IF(Ingreso[Código de barras]=0,"",INDEX(Stock[Mes],MATCH(Ingreso[Código de barras],Stock[Código de barras],0)))</f>
        <v/>
      </c>
      <c r="F50" s="30" t="str">
        <f>IF(Ingreso[Código de barras]=0,"",INDEX(Stock[Detalle],MATCH(Ingreso[Código de barras],Stock[Código de barras],0)))</f>
        <v/>
      </c>
      <c r="G50" s="29" t="str">
        <f>IF(Ingreso[Código de barras]=0,"",INDEX(Stock[Matriz],MATCH(Ingreso[Código de barras],Stock[Código de barras],0)))</f>
        <v/>
      </c>
    </row>
    <row r="51" spans="1:7" x14ac:dyDescent="0.25">
      <c r="A51" s="31"/>
      <c r="B51" s="28" t="str">
        <f t="shared" si="1"/>
        <v/>
      </c>
      <c r="C51" s="29" t="str">
        <f>IF(Ingreso[Código de barras]=0,"",INDEX(Stock[n°CC],MATCH(Ingreso[Código de barras],Stock[Código de barras],0)))</f>
        <v/>
      </c>
      <c r="D51" s="29" t="str">
        <f>IF(Ingreso[Código de barras]=0,"",INDEX(Stock[Cliente],MATCH(Ingreso[Código de barras],Stock[Código de barras],0)))</f>
        <v/>
      </c>
      <c r="E51" s="41" t="str">
        <f>IF(Ingreso[Código de barras]=0,"",INDEX(Stock[Mes],MATCH(Ingreso[Código de barras],Stock[Código de barras],0)))</f>
        <v/>
      </c>
      <c r="F51" s="30" t="str">
        <f>IF(Ingreso[Código de barras]=0,"",INDEX(Stock[Detalle],MATCH(Ingreso[Código de barras],Stock[Código de barras],0)))</f>
        <v/>
      </c>
      <c r="G51" s="29" t="str">
        <f>IF(Ingreso[Código de barras]=0,"",INDEX(Stock[Matriz],MATCH(Ingreso[Código de barras],Stock[Código de barras],0)))</f>
        <v/>
      </c>
    </row>
    <row r="52" spans="1:7" x14ac:dyDescent="0.25">
      <c r="A52" s="31"/>
      <c r="B52" s="28" t="str">
        <f t="shared" si="1"/>
        <v/>
      </c>
      <c r="C52" s="29" t="str">
        <f>IF(Ingreso[Código de barras]=0,"",INDEX(Stock[n°CC],MATCH(Ingreso[Código de barras],Stock[Código de barras],0)))</f>
        <v/>
      </c>
      <c r="D52" s="29" t="str">
        <f>IF(Ingreso[Código de barras]=0,"",INDEX(Stock[Cliente],MATCH(Ingreso[Código de barras],Stock[Código de barras],0)))</f>
        <v/>
      </c>
      <c r="E52" s="41" t="str">
        <f>IF(Ingreso[Código de barras]=0,"",INDEX(Stock[Mes],MATCH(Ingreso[Código de barras],Stock[Código de barras],0)))</f>
        <v/>
      </c>
      <c r="F52" s="30" t="str">
        <f>IF(Ingreso[Código de barras]=0,"",INDEX(Stock[Detalle],MATCH(Ingreso[Código de barras],Stock[Código de barras],0)))</f>
        <v/>
      </c>
      <c r="G52" s="29" t="str">
        <f>IF(Ingreso[Código de barras]=0,"",INDEX(Stock[Matriz],MATCH(Ingreso[Código de barras],Stock[Código de barras],0)))</f>
        <v/>
      </c>
    </row>
    <row r="53" spans="1:7" x14ac:dyDescent="0.25">
      <c r="A53" s="31"/>
      <c r="B53" s="28" t="str">
        <f t="shared" si="1"/>
        <v/>
      </c>
      <c r="C53" s="29" t="str">
        <f>IF(Ingreso[Código de barras]=0,"",INDEX(Stock[n°CC],MATCH(Ingreso[Código de barras],Stock[Código de barras],0)))</f>
        <v/>
      </c>
      <c r="D53" s="29" t="str">
        <f>IF(Ingreso[Código de barras]=0,"",INDEX(Stock[Cliente],MATCH(Ingreso[Código de barras],Stock[Código de barras],0)))</f>
        <v/>
      </c>
      <c r="E53" s="41" t="str">
        <f>IF(Ingreso[Código de barras]=0,"",INDEX(Stock[Mes],MATCH(Ingreso[Código de barras],Stock[Código de barras],0)))</f>
        <v/>
      </c>
      <c r="F53" s="30" t="str">
        <f>IF(Ingreso[Código de barras]=0,"",INDEX(Stock[Detalle],MATCH(Ingreso[Código de barras],Stock[Código de barras],0)))</f>
        <v/>
      </c>
      <c r="G53" s="29" t="str">
        <f>IF(Ingreso[Código de barras]=0,"",INDEX(Stock[Matriz],MATCH(Ingreso[Código de barras],Stock[Código de barras],0)))</f>
        <v/>
      </c>
    </row>
    <row r="54" spans="1:7" x14ac:dyDescent="0.25">
      <c r="A54" s="31"/>
      <c r="B54" s="28" t="str">
        <f t="shared" si="1"/>
        <v/>
      </c>
      <c r="C54" s="29" t="str">
        <f>IF(Ingreso[Código de barras]=0,"",INDEX(Stock[n°CC],MATCH(Ingreso[Código de barras],Stock[Código de barras],0)))</f>
        <v/>
      </c>
      <c r="D54" s="29" t="str">
        <f>IF(Ingreso[Código de barras]=0,"",INDEX(Stock[Cliente],MATCH(Ingreso[Código de barras],Stock[Código de barras],0)))</f>
        <v/>
      </c>
      <c r="E54" s="41" t="str">
        <f>IF(Ingreso[Código de barras]=0,"",INDEX(Stock[Mes],MATCH(Ingreso[Código de barras],Stock[Código de barras],0)))</f>
        <v/>
      </c>
      <c r="F54" s="30" t="str">
        <f>IF(Ingreso[Código de barras]=0,"",INDEX(Stock[Detalle],MATCH(Ingreso[Código de barras],Stock[Código de barras],0)))</f>
        <v/>
      </c>
      <c r="G54" s="29" t="str">
        <f>IF(Ingreso[Código de barras]=0,"",INDEX(Stock[Matriz],MATCH(Ingreso[Código de barras],Stock[Código de barras],0)))</f>
        <v/>
      </c>
    </row>
    <row r="55" spans="1:7" x14ac:dyDescent="0.25">
      <c r="A55" s="31"/>
      <c r="B55" s="28" t="str">
        <f t="shared" si="1"/>
        <v/>
      </c>
      <c r="C55" s="29" t="str">
        <f>IF(Ingreso[Código de barras]=0,"",INDEX(Stock[n°CC],MATCH(Ingreso[Código de barras],Stock[Código de barras],0)))</f>
        <v/>
      </c>
      <c r="D55" s="29" t="str">
        <f>IF(Ingreso[Código de barras]=0,"",INDEX(Stock[Cliente],MATCH(Ingreso[Código de barras],Stock[Código de barras],0)))</f>
        <v/>
      </c>
      <c r="E55" s="41" t="str">
        <f>IF(Ingreso[Código de barras]=0,"",INDEX(Stock[Mes],MATCH(Ingreso[Código de barras],Stock[Código de barras],0)))</f>
        <v/>
      </c>
      <c r="F55" s="30" t="str">
        <f>IF(Ingreso[Código de barras]=0,"",INDEX(Stock[Detalle],MATCH(Ingreso[Código de barras],Stock[Código de barras],0)))</f>
        <v/>
      </c>
      <c r="G55" s="29" t="str">
        <f>IF(Ingreso[Código de barras]=0,"",INDEX(Stock[Matriz],MATCH(Ingreso[Código de barras],Stock[Código de barras],0)))</f>
        <v/>
      </c>
    </row>
    <row r="56" spans="1:7" x14ac:dyDescent="0.25">
      <c r="A56" s="31"/>
      <c r="B56" s="28" t="str">
        <f t="shared" si="1"/>
        <v/>
      </c>
      <c r="C56" s="29" t="str">
        <f>IF(Ingreso[Código de barras]=0,"",INDEX(Stock[n°CC],MATCH(Ingreso[Código de barras],Stock[Código de barras],0)))</f>
        <v/>
      </c>
      <c r="D56" s="29" t="str">
        <f>IF(Ingreso[Código de barras]=0,"",INDEX(Stock[Cliente],MATCH(Ingreso[Código de barras],Stock[Código de barras],0)))</f>
        <v/>
      </c>
      <c r="E56" s="41" t="str">
        <f>IF(Ingreso[Código de barras]=0,"",INDEX(Stock[Mes],MATCH(Ingreso[Código de barras],Stock[Código de barras],0)))</f>
        <v/>
      </c>
      <c r="F56" s="30" t="str">
        <f>IF(Ingreso[Código de barras]=0,"",INDEX(Stock[Detalle],MATCH(Ingreso[Código de barras],Stock[Código de barras],0)))</f>
        <v/>
      </c>
      <c r="G56" s="29" t="str">
        <f>IF(Ingreso[Código de barras]=0,"",INDEX(Stock[Matriz],MATCH(Ingreso[Código de barras],Stock[Código de barras],0)))</f>
        <v/>
      </c>
    </row>
    <row r="57" spans="1:7" x14ac:dyDescent="0.25">
      <c r="A57" s="31"/>
      <c r="B57" s="28" t="str">
        <f t="shared" si="1"/>
        <v/>
      </c>
      <c r="C57" s="29" t="str">
        <f>IF(Ingreso[Código de barras]=0,"",INDEX(Stock[n°CC],MATCH(Ingreso[Código de barras],Stock[Código de barras],0)))</f>
        <v/>
      </c>
      <c r="D57" s="29" t="str">
        <f>IF(Ingreso[Código de barras]=0,"",INDEX(Stock[Cliente],MATCH(Ingreso[Código de barras],Stock[Código de barras],0)))</f>
        <v/>
      </c>
      <c r="E57" s="41" t="str">
        <f>IF(Ingreso[Código de barras]=0,"",INDEX(Stock[Mes],MATCH(Ingreso[Código de barras],Stock[Código de barras],0)))</f>
        <v/>
      </c>
      <c r="F57" s="30" t="str">
        <f>IF(Ingreso[Código de barras]=0,"",INDEX(Stock[Detalle],MATCH(Ingreso[Código de barras],Stock[Código de barras],0)))</f>
        <v/>
      </c>
      <c r="G57" s="29" t="str">
        <f>IF(Ingreso[Código de barras]=0,"",INDEX(Stock[Matriz],MATCH(Ingreso[Código de barras],Stock[Código de barras],0)))</f>
        <v/>
      </c>
    </row>
    <row r="58" spans="1:7" x14ac:dyDescent="0.25">
      <c r="A58" s="31"/>
      <c r="B58" s="28" t="str">
        <f t="shared" si="1"/>
        <v/>
      </c>
      <c r="C58" s="29" t="str">
        <f>IF(Ingreso[Código de barras]=0,"",INDEX(Stock[n°CC],MATCH(Ingreso[Código de barras],Stock[Código de barras],0)))</f>
        <v/>
      </c>
      <c r="D58" s="29" t="str">
        <f>IF(Ingreso[Código de barras]=0,"",INDEX(Stock[Cliente],MATCH(Ingreso[Código de barras],Stock[Código de barras],0)))</f>
        <v/>
      </c>
      <c r="E58" s="41" t="str">
        <f>IF(Ingreso[Código de barras]=0,"",INDEX(Stock[Mes],MATCH(Ingreso[Código de barras],Stock[Código de barras],0)))</f>
        <v/>
      </c>
      <c r="F58" s="30" t="str">
        <f>IF(Ingreso[Código de barras]=0,"",INDEX(Stock[Detalle],MATCH(Ingreso[Código de barras],Stock[Código de barras],0)))</f>
        <v/>
      </c>
      <c r="G58" s="29" t="str">
        <f>IF(Ingreso[Código de barras]=0,"",INDEX(Stock[Matriz],MATCH(Ingreso[Código de barras],Stock[Código de barras],0)))</f>
        <v/>
      </c>
    </row>
    <row r="59" spans="1:7" x14ac:dyDescent="0.25">
      <c r="A59" s="31"/>
      <c r="B59" s="28" t="str">
        <f t="shared" si="1"/>
        <v/>
      </c>
      <c r="C59" s="29" t="str">
        <f>IF(Ingreso[Código de barras]=0,"",INDEX(Stock[n°CC],MATCH(Ingreso[Código de barras],Stock[Código de barras],0)))</f>
        <v/>
      </c>
      <c r="D59" s="29" t="str">
        <f>IF(Ingreso[Código de barras]=0,"",INDEX(Stock[Cliente],MATCH(Ingreso[Código de barras],Stock[Código de barras],0)))</f>
        <v/>
      </c>
      <c r="E59" s="41" t="str">
        <f>IF(Ingreso[Código de barras]=0,"",INDEX(Stock[Mes],MATCH(Ingreso[Código de barras],Stock[Código de barras],0)))</f>
        <v/>
      </c>
      <c r="F59" s="30" t="str">
        <f>IF(Ingreso[Código de barras]=0,"",INDEX(Stock[Detalle],MATCH(Ingreso[Código de barras],Stock[Código de barras],0)))</f>
        <v/>
      </c>
      <c r="G59" s="29" t="str">
        <f>IF(Ingreso[Código de barras]=0,"",INDEX(Stock[Matriz],MATCH(Ingreso[Código de barras],Stock[Código de barras],0)))</f>
        <v/>
      </c>
    </row>
    <row r="60" spans="1:7" x14ac:dyDescent="0.25">
      <c r="A60" s="31"/>
      <c r="B60" s="28" t="str">
        <f t="shared" si="1"/>
        <v/>
      </c>
      <c r="C60" s="29" t="str">
        <f>IF(Ingreso[Código de barras]=0,"",INDEX(Stock[n°CC],MATCH(Ingreso[Código de barras],Stock[Código de barras],0)))</f>
        <v/>
      </c>
      <c r="D60" s="29" t="str">
        <f>IF(Ingreso[Código de barras]=0,"",INDEX(Stock[Cliente],MATCH(Ingreso[Código de barras],Stock[Código de barras],0)))</f>
        <v/>
      </c>
      <c r="E60" s="41" t="str">
        <f>IF(Ingreso[Código de barras]=0,"",INDEX(Stock[Mes],MATCH(Ingreso[Código de barras],Stock[Código de barras],0)))</f>
        <v/>
      </c>
      <c r="F60" s="30" t="str">
        <f>IF(Ingreso[Código de barras]=0,"",INDEX(Stock[Detalle],MATCH(Ingreso[Código de barras],Stock[Código de barras],0)))</f>
        <v/>
      </c>
      <c r="G60" s="29" t="str">
        <f>IF(Ingreso[Código de barras]=0,"",INDEX(Stock[Matriz],MATCH(Ingreso[Código de barras],Stock[Código de barras],0)))</f>
        <v/>
      </c>
    </row>
    <row r="61" spans="1:7" x14ac:dyDescent="0.25">
      <c r="A61" s="31"/>
      <c r="B61" s="28" t="str">
        <f t="shared" si="1"/>
        <v/>
      </c>
      <c r="C61" s="29" t="str">
        <f>IF(Ingreso[Código de barras]=0,"",INDEX(Stock[n°CC],MATCH(Ingreso[Código de barras],Stock[Código de barras],0)))</f>
        <v/>
      </c>
      <c r="D61" s="29" t="str">
        <f>IF(Ingreso[Código de barras]=0,"",INDEX(Stock[Cliente],MATCH(Ingreso[Código de barras],Stock[Código de barras],0)))</f>
        <v/>
      </c>
      <c r="E61" s="41" t="str">
        <f>IF(Ingreso[Código de barras]=0,"",INDEX(Stock[Mes],MATCH(Ingreso[Código de barras],Stock[Código de barras],0)))</f>
        <v/>
      </c>
      <c r="F61" s="30" t="str">
        <f>IF(Ingreso[Código de barras]=0,"",INDEX(Stock[Detalle],MATCH(Ingreso[Código de barras],Stock[Código de barras],0)))</f>
        <v/>
      </c>
      <c r="G61" s="29" t="str">
        <f>IF(Ingreso[Código de barras]=0,"",INDEX(Stock[Matriz],MATCH(Ingreso[Código de barras],Stock[Código de barras],0)))</f>
        <v/>
      </c>
    </row>
    <row r="62" spans="1:7" x14ac:dyDescent="0.25">
      <c r="A62" s="31"/>
      <c r="B62" s="28" t="str">
        <f t="shared" si="1"/>
        <v/>
      </c>
      <c r="C62" s="29" t="str">
        <f>IF(Ingreso[Código de barras]=0,"",INDEX(Stock[n°CC],MATCH(Ingreso[Código de barras],Stock[Código de barras],0)))</f>
        <v/>
      </c>
      <c r="D62" s="29" t="str">
        <f>IF(Ingreso[Código de barras]=0,"",INDEX(Stock[Cliente],MATCH(Ingreso[Código de barras],Stock[Código de barras],0)))</f>
        <v/>
      </c>
      <c r="E62" s="41" t="str">
        <f>IF(Ingreso[Código de barras]=0,"",INDEX(Stock[Mes],MATCH(Ingreso[Código de barras],Stock[Código de barras],0)))</f>
        <v/>
      </c>
      <c r="F62" s="30" t="str">
        <f>IF(Ingreso[Código de barras]=0,"",INDEX(Stock[Detalle],MATCH(Ingreso[Código de barras],Stock[Código de barras],0)))</f>
        <v/>
      </c>
      <c r="G62" s="29" t="str">
        <f>IF(Ingreso[Código de barras]=0,"",INDEX(Stock[Matriz],MATCH(Ingreso[Código de barras],Stock[Código de barras],0)))</f>
        <v/>
      </c>
    </row>
    <row r="63" spans="1:7" x14ac:dyDescent="0.25">
      <c r="A63" s="31"/>
      <c r="B63" s="28" t="str">
        <f t="shared" si="1"/>
        <v/>
      </c>
      <c r="C63" s="29" t="str">
        <f>IF(Ingreso[Código de barras]=0,"",INDEX(Stock[n°CC],MATCH(Ingreso[Código de barras],Stock[Código de barras],0)))</f>
        <v/>
      </c>
      <c r="D63" s="29" t="str">
        <f>IF(Ingreso[Código de barras]=0,"",INDEX(Stock[Cliente],MATCH(Ingreso[Código de barras],Stock[Código de barras],0)))</f>
        <v/>
      </c>
      <c r="E63" s="41" t="str">
        <f>IF(Ingreso[Código de barras]=0,"",INDEX(Stock[Mes],MATCH(Ingreso[Código de barras],Stock[Código de barras],0)))</f>
        <v/>
      </c>
      <c r="F63" s="30" t="str">
        <f>IF(Ingreso[Código de barras]=0,"",INDEX(Stock[Detalle],MATCH(Ingreso[Código de barras],Stock[Código de barras],0)))</f>
        <v/>
      </c>
      <c r="G63" s="29" t="str">
        <f>IF(Ingreso[Código de barras]=0,"",INDEX(Stock[Matriz],MATCH(Ingreso[Código de barras],Stock[Código de barras],0)))</f>
        <v/>
      </c>
    </row>
    <row r="64" spans="1:7" x14ac:dyDescent="0.25">
      <c r="A64" s="31"/>
      <c r="B64" s="28" t="str">
        <f t="shared" si="1"/>
        <v/>
      </c>
      <c r="C64" s="29" t="str">
        <f>IF(Ingreso[Código de barras]=0,"",INDEX(Stock[n°CC],MATCH(Ingreso[Código de barras],Stock[Código de barras],0)))</f>
        <v/>
      </c>
      <c r="D64" s="29" t="str">
        <f>IF(Ingreso[Código de barras]=0,"",INDEX(Stock[Cliente],MATCH(Ingreso[Código de barras],Stock[Código de barras],0)))</f>
        <v/>
      </c>
      <c r="E64" s="41" t="str">
        <f>IF(Ingreso[Código de barras]=0,"",INDEX(Stock[Mes],MATCH(Ingreso[Código de barras],Stock[Código de barras],0)))</f>
        <v/>
      </c>
      <c r="F64" s="30" t="str">
        <f>IF(Ingreso[Código de barras]=0,"",INDEX(Stock[Detalle],MATCH(Ingreso[Código de barras],Stock[Código de barras],0)))</f>
        <v/>
      </c>
      <c r="G64" s="29" t="str">
        <f>IF(Ingreso[Código de barras]=0,"",INDEX(Stock[Matriz],MATCH(Ingreso[Código de barras],Stock[Código de barras],0)))</f>
        <v/>
      </c>
    </row>
    <row r="65" spans="1:7" x14ac:dyDescent="0.25">
      <c r="A65" s="31"/>
      <c r="B65" s="28" t="str">
        <f t="shared" si="1"/>
        <v/>
      </c>
      <c r="C65" s="29" t="str">
        <f>IF(Ingreso[Código de barras]=0,"",INDEX(Stock[n°CC],MATCH(Ingreso[Código de barras],Stock[Código de barras],0)))</f>
        <v/>
      </c>
      <c r="D65" s="29" t="str">
        <f>IF(Ingreso[Código de barras]=0,"",INDEX(Stock[Cliente],MATCH(Ingreso[Código de barras],Stock[Código de barras],0)))</f>
        <v/>
      </c>
      <c r="E65" s="41" t="str">
        <f>IF(Ingreso[Código de barras]=0,"",INDEX(Stock[Mes],MATCH(Ingreso[Código de barras],Stock[Código de barras],0)))</f>
        <v/>
      </c>
      <c r="F65" s="30" t="str">
        <f>IF(Ingreso[Código de barras]=0,"",INDEX(Stock[Detalle],MATCH(Ingreso[Código de barras],Stock[Código de barras],0)))</f>
        <v/>
      </c>
      <c r="G65" s="29" t="str">
        <f>IF(Ingreso[Código de barras]=0,"",INDEX(Stock[Matriz],MATCH(Ingreso[Código de barras],Stock[Código de barras],0)))</f>
        <v/>
      </c>
    </row>
    <row r="66" spans="1:7" x14ac:dyDescent="0.25">
      <c r="A66" s="31"/>
      <c r="B66" s="28" t="str">
        <f t="shared" si="1"/>
        <v/>
      </c>
      <c r="C66" s="29" t="str">
        <f>IF(Ingreso[Código de barras]=0,"",INDEX(Stock[n°CC],MATCH(Ingreso[Código de barras],Stock[Código de barras],0)))</f>
        <v/>
      </c>
      <c r="D66" s="29" t="str">
        <f>IF(Ingreso[Código de barras]=0,"",INDEX(Stock[Cliente],MATCH(Ingreso[Código de barras],Stock[Código de barras],0)))</f>
        <v/>
      </c>
      <c r="E66" s="41" t="str">
        <f>IF(Ingreso[Código de barras]=0,"",INDEX(Stock[Mes],MATCH(Ingreso[Código de barras],Stock[Código de barras],0)))</f>
        <v/>
      </c>
      <c r="F66" s="30" t="str">
        <f>IF(Ingreso[Código de barras]=0,"",INDEX(Stock[Detalle],MATCH(Ingreso[Código de barras],Stock[Código de barras],0)))</f>
        <v/>
      </c>
      <c r="G66" s="29" t="str">
        <f>IF(Ingreso[Código de barras]=0,"",INDEX(Stock[Matriz],MATCH(Ingreso[Código de barras],Stock[Código de barras],0)))</f>
        <v/>
      </c>
    </row>
    <row r="67" spans="1:7" x14ac:dyDescent="0.25">
      <c r="A67" s="31"/>
      <c r="B67" s="28" t="str">
        <f t="shared" si="1"/>
        <v/>
      </c>
      <c r="C67" s="29" t="str">
        <f>IF(Ingreso[Código de barras]=0,"",INDEX(Stock[n°CC],MATCH(Ingreso[Código de barras],Stock[Código de barras],0)))</f>
        <v/>
      </c>
      <c r="D67" s="29" t="str">
        <f>IF(Ingreso[Código de barras]=0,"",INDEX(Stock[Cliente],MATCH(Ingreso[Código de barras],Stock[Código de barras],0)))</f>
        <v/>
      </c>
      <c r="E67" s="41" t="str">
        <f>IF(Ingreso[Código de barras]=0,"",INDEX(Stock[Mes],MATCH(Ingreso[Código de barras],Stock[Código de barras],0)))</f>
        <v/>
      </c>
      <c r="F67" s="30" t="str">
        <f>IF(Ingreso[Código de barras]=0,"",INDEX(Stock[Detalle],MATCH(Ingreso[Código de barras],Stock[Código de barras],0)))</f>
        <v/>
      </c>
      <c r="G67" s="29" t="str">
        <f>IF(Ingreso[Código de barras]=0,"",INDEX(Stock[Matriz],MATCH(Ingreso[Código de barras],Stock[Código de barras],0)))</f>
        <v/>
      </c>
    </row>
    <row r="68" spans="1:7" x14ac:dyDescent="0.25">
      <c r="A68" s="31"/>
      <c r="B68" s="28" t="str">
        <f t="shared" si="1"/>
        <v/>
      </c>
      <c r="C68" s="29" t="str">
        <f>IF(Ingreso[Código de barras]=0,"",INDEX(Stock[n°CC],MATCH(Ingreso[Código de barras],Stock[Código de barras],0)))</f>
        <v/>
      </c>
      <c r="D68" s="29" t="str">
        <f>IF(Ingreso[Código de barras]=0,"",INDEX(Stock[Cliente],MATCH(Ingreso[Código de barras],Stock[Código de barras],0)))</f>
        <v/>
      </c>
      <c r="E68" s="41" t="str">
        <f>IF(Ingreso[Código de barras]=0,"",INDEX(Stock[Mes],MATCH(Ingreso[Código de barras],Stock[Código de barras],0)))</f>
        <v/>
      </c>
      <c r="F68" s="30" t="str">
        <f>IF(Ingreso[Código de barras]=0,"",INDEX(Stock[Detalle],MATCH(Ingreso[Código de barras],Stock[Código de barras],0)))</f>
        <v/>
      </c>
      <c r="G68" s="29" t="str">
        <f>IF(Ingreso[Código de barras]=0,"",INDEX(Stock[Matriz],MATCH(Ingreso[Código de barras],Stock[Código de barras],0)))</f>
        <v/>
      </c>
    </row>
    <row r="69" spans="1:7" x14ac:dyDescent="0.25">
      <c r="A69" s="31"/>
      <c r="B69" s="28" t="str">
        <f t="shared" si="1"/>
        <v/>
      </c>
      <c r="C69" s="29" t="str">
        <f>IF(Ingreso[Código de barras]=0,"",INDEX(Stock[n°CC],MATCH(Ingreso[Código de barras],Stock[Código de barras],0)))</f>
        <v/>
      </c>
      <c r="D69" s="29" t="str">
        <f>IF(Ingreso[Código de barras]=0,"",INDEX(Stock[Cliente],MATCH(Ingreso[Código de barras],Stock[Código de barras],0)))</f>
        <v/>
      </c>
      <c r="E69" s="41" t="str">
        <f>IF(Ingreso[Código de barras]=0,"",INDEX(Stock[Mes],MATCH(Ingreso[Código de barras],Stock[Código de barras],0)))</f>
        <v/>
      </c>
      <c r="F69" s="30" t="str">
        <f>IF(Ingreso[Código de barras]=0,"",INDEX(Stock[Detalle],MATCH(Ingreso[Código de barras],Stock[Código de barras],0)))</f>
        <v/>
      </c>
      <c r="G69" s="29" t="str">
        <f>IF(Ingreso[Código de barras]=0,"",INDEX(Stock[Matriz],MATCH(Ingreso[Código de barras],Stock[Código de barras],0)))</f>
        <v/>
      </c>
    </row>
    <row r="70" spans="1:7" x14ac:dyDescent="0.25">
      <c r="A70" s="31"/>
      <c r="B70" s="28" t="str">
        <f t="shared" si="1"/>
        <v/>
      </c>
      <c r="C70" s="29" t="str">
        <f>IF(Ingreso[Código de barras]=0,"",INDEX(Stock[n°CC],MATCH(Ingreso[Código de barras],Stock[Código de barras],0)))</f>
        <v/>
      </c>
      <c r="D70" s="29" t="str">
        <f>IF(Ingreso[Código de barras]=0,"",INDEX(Stock[Cliente],MATCH(Ingreso[Código de barras],Stock[Código de barras],0)))</f>
        <v/>
      </c>
      <c r="E70" s="41" t="str">
        <f>IF(Ingreso[Código de barras]=0,"",INDEX(Stock[Mes],MATCH(Ingreso[Código de barras],Stock[Código de barras],0)))</f>
        <v/>
      </c>
      <c r="F70" s="30" t="str">
        <f>IF(Ingreso[Código de barras]=0,"",INDEX(Stock[Detalle],MATCH(Ingreso[Código de barras],Stock[Código de barras],0)))</f>
        <v/>
      </c>
      <c r="G70" s="29" t="str">
        <f>IF(Ingreso[Código de barras]=0,"",INDEX(Stock[Matriz],MATCH(Ingreso[Código de barras],Stock[Código de barras],0)))</f>
        <v/>
      </c>
    </row>
    <row r="71" spans="1:7" x14ac:dyDescent="0.25">
      <c r="A71" s="31"/>
      <c r="B71" s="28" t="str">
        <f t="shared" si="1"/>
        <v/>
      </c>
      <c r="C71" s="29" t="str">
        <f>IF(Ingreso[Código de barras]=0,"",INDEX(Stock[n°CC],MATCH(Ingreso[Código de barras],Stock[Código de barras],0)))</f>
        <v/>
      </c>
      <c r="D71" s="29" t="str">
        <f>IF(Ingreso[Código de barras]=0,"",INDEX(Stock[Cliente],MATCH(Ingreso[Código de barras],Stock[Código de barras],0)))</f>
        <v/>
      </c>
      <c r="E71" s="41" t="str">
        <f>IF(Ingreso[Código de barras]=0,"",INDEX(Stock[Mes],MATCH(Ingreso[Código de barras],Stock[Código de barras],0)))</f>
        <v/>
      </c>
      <c r="F71" s="30" t="str">
        <f>IF(Ingreso[Código de barras]=0,"",INDEX(Stock[Detalle],MATCH(Ingreso[Código de barras],Stock[Código de barras],0)))</f>
        <v/>
      </c>
      <c r="G71" s="29" t="str">
        <f>IF(Ingreso[Código de barras]=0,"",INDEX(Stock[Matriz],MATCH(Ingreso[Código de barras],Stock[Código de barras],0)))</f>
        <v/>
      </c>
    </row>
    <row r="72" spans="1:7" x14ac:dyDescent="0.25">
      <c r="A72" s="31"/>
      <c r="B72" s="28" t="str">
        <f t="shared" si="1"/>
        <v/>
      </c>
      <c r="C72" s="29" t="str">
        <f>IF(Ingreso[Código de barras]=0,"",INDEX(Stock[n°CC],MATCH(Ingreso[Código de barras],Stock[Código de barras],0)))</f>
        <v/>
      </c>
      <c r="D72" s="29" t="str">
        <f>IF(Ingreso[Código de barras]=0,"",INDEX(Stock[Cliente],MATCH(Ingreso[Código de barras],Stock[Código de barras],0)))</f>
        <v/>
      </c>
      <c r="E72" s="41" t="str">
        <f>IF(Ingreso[Código de barras]=0,"",INDEX(Stock[Mes],MATCH(Ingreso[Código de barras],Stock[Código de barras],0)))</f>
        <v/>
      </c>
      <c r="F72" s="30" t="str">
        <f>IF(Ingreso[Código de barras]=0,"",INDEX(Stock[Detalle],MATCH(Ingreso[Código de barras],Stock[Código de barras],0)))</f>
        <v/>
      </c>
      <c r="G72" s="29" t="str">
        <f>IF(Ingreso[Código de barras]=0,"",INDEX(Stock[Matriz],MATCH(Ingreso[Código de barras],Stock[Código de barras],0)))</f>
        <v/>
      </c>
    </row>
    <row r="73" spans="1:7" x14ac:dyDescent="0.25">
      <c r="A73" s="31"/>
      <c r="B73" s="28" t="str">
        <f t="shared" si="1"/>
        <v/>
      </c>
      <c r="C73" s="29" t="str">
        <f>IF(Ingreso[Código de barras]=0,"",INDEX(Stock[n°CC],MATCH(Ingreso[Código de barras],Stock[Código de barras],0)))</f>
        <v/>
      </c>
      <c r="D73" s="29" t="str">
        <f>IF(Ingreso[Código de barras]=0,"",INDEX(Stock[Cliente],MATCH(Ingreso[Código de barras],Stock[Código de barras],0)))</f>
        <v/>
      </c>
      <c r="E73" s="41" t="str">
        <f>IF(Ingreso[Código de barras]=0,"",INDEX(Stock[Mes],MATCH(Ingreso[Código de barras],Stock[Código de barras],0)))</f>
        <v/>
      </c>
      <c r="F73" s="30" t="str">
        <f>IF(Ingreso[Código de barras]=0,"",INDEX(Stock[Detalle],MATCH(Ingreso[Código de barras],Stock[Código de barras],0)))</f>
        <v/>
      </c>
      <c r="G73" s="29" t="str">
        <f>IF(Ingreso[Código de barras]=0,"",INDEX(Stock[Matriz],MATCH(Ingreso[Código de barras],Stock[Código de barras],0)))</f>
        <v/>
      </c>
    </row>
    <row r="74" spans="1:7" x14ac:dyDescent="0.25">
      <c r="A74" s="31"/>
      <c r="B74" s="28" t="str">
        <f t="shared" si="1"/>
        <v/>
      </c>
      <c r="C74" s="29" t="str">
        <f>IF(Ingreso[Código de barras]=0,"",INDEX(Stock[n°CC],MATCH(Ingreso[Código de barras],Stock[Código de barras],0)))</f>
        <v/>
      </c>
      <c r="D74" s="29" t="str">
        <f>IF(Ingreso[Código de barras]=0,"",INDEX(Stock[Cliente],MATCH(Ingreso[Código de barras],Stock[Código de barras],0)))</f>
        <v/>
      </c>
      <c r="E74" s="41" t="str">
        <f>IF(Ingreso[Código de barras]=0,"",INDEX(Stock[Mes],MATCH(Ingreso[Código de barras],Stock[Código de barras],0)))</f>
        <v/>
      </c>
      <c r="F74" s="30" t="str">
        <f>IF(Ingreso[Código de barras]=0,"",INDEX(Stock[Detalle],MATCH(Ingreso[Código de barras],Stock[Código de barras],0)))</f>
        <v/>
      </c>
      <c r="G74" s="29" t="str">
        <f>IF(Ingreso[Código de barras]=0,"",INDEX(Stock[Matriz],MATCH(Ingreso[Código de barras],Stock[Código de barras],0)))</f>
        <v/>
      </c>
    </row>
    <row r="75" spans="1:7" x14ac:dyDescent="0.25">
      <c r="A75" s="31"/>
      <c r="B75" s="28" t="str">
        <f t="shared" si="1"/>
        <v/>
      </c>
      <c r="C75" s="29" t="str">
        <f>IF(Ingreso[Código de barras]=0,"",INDEX(Stock[n°CC],MATCH(Ingreso[Código de barras],Stock[Código de barras],0)))</f>
        <v/>
      </c>
      <c r="D75" s="29" t="str">
        <f>IF(Ingreso[Código de barras]=0,"",INDEX(Stock[Cliente],MATCH(Ingreso[Código de barras],Stock[Código de barras],0)))</f>
        <v/>
      </c>
      <c r="E75" s="41" t="str">
        <f>IF(Ingreso[Código de barras]=0,"",INDEX(Stock[Mes],MATCH(Ingreso[Código de barras],Stock[Código de barras],0)))</f>
        <v/>
      </c>
      <c r="F75" s="30" t="str">
        <f>IF(Ingreso[Código de barras]=0,"",INDEX(Stock[Detalle],MATCH(Ingreso[Código de barras],Stock[Código de barras],0)))</f>
        <v/>
      </c>
      <c r="G75" s="29" t="str">
        <f>IF(Ingreso[Código de barras]=0,"",INDEX(Stock[Matriz],MATCH(Ingreso[Código de barras],Stock[Código de barras],0)))</f>
        <v/>
      </c>
    </row>
    <row r="76" spans="1:7" x14ac:dyDescent="0.25">
      <c r="A76" s="31"/>
      <c r="B76" s="28" t="str">
        <f t="shared" ref="B76:B139" si="2">IF(A76=0,"",1)</f>
        <v/>
      </c>
      <c r="C76" s="29" t="str">
        <f>IF(Ingreso[Código de barras]=0,"",INDEX(Stock[n°CC],MATCH(Ingreso[Código de barras],Stock[Código de barras],0)))</f>
        <v/>
      </c>
      <c r="D76" s="29" t="str">
        <f>IF(Ingreso[Código de barras]=0,"",INDEX(Stock[Cliente],MATCH(Ingreso[Código de barras],Stock[Código de barras],0)))</f>
        <v/>
      </c>
      <c r="E76" s="41" t="str">
        <f>IF(Ingreso[Código de barras]=0,"",INDEX(Stock[Mes],MATCH(Ingreso[Código de barras],Stock[Código de barras],0)))</f>
        <v/>
      </c>
      <c r="F76" s="30" t="str">
        <f>IF(Ingreso[Código de barras]=0,"",INDEX(Stock[Detalle],MATCH(Ingreso[Código de barras],Stock[Código de barras],0)))</f>
        <v/>
      </c>
      <c r="G76" s="29" t="str">
        <f>IF(Ingreso[Código de barras]=0,"",INDEX(Stock[Matriz],MATCH(Ingreso[Código de barras],Stock[Código de barras],0)))</f>
        <v/>
      </c>
    </row>
    <row r="77" spans="1:7" x14ac:dyDescent="0.25">
      <c r="A77" s="31"/>
      <c r="B77" s="28" t="str">
        <f t="shared" si="2"/>
        <v/>
      </c>
      <c r="C77" s="29" t="str">
        <f>IF(Ingreso[Código de barras]=0,"",INDEX(Stock[n°CC],MATCH(Ingreso[Código de barras],Stock[Código de barras],0)))</f>
        <v/>
      </c>
      <c r="D77" s="29" t="str">
        <f>IF(Ingreso[Código de barras]=0,"",INDEX(Stock[Cliente],MATCH(Ingreso[Código de barras],Stock[Código de barras],0)))</f>
        <v/>
      </c>
      <c r="E77" s="41" t="str">
        <f>IF(Ingreso[Código de barras]=0,"",INDEX(Stock[Mes],MATCH(Ingreso[Código de barras],Stock[Código de barras],0)))</f>
        <v/>
      </c>
      <c r="F77" s="30" t="str">
        <f>IF(Ingreso[Código de barras]=0,"",INDEX(Stock[Detalle],MATCH(Ingreso[Código de barras],Stock[Código de barras],0)))</f>
        <v/>
      </c>
      <c r="G77" s="29" t="str">
        <f>IF(Ingreso[Código de barras]=0,"",INDEX(Stock[Matriz],MATCH(Ingreso[Código de barras],Stock[Código de barras],0)))</f>
        <v/>
      </c>
    </row>
    <row r="78" spans="1:7" x14ac:dyDescent="0.25">
      <c r="A78" s="31"/>
      <c r="B78" s="28" t="str">
        <f t="shared" si="2"/>
        <v/>
      </c>
      <c r="C78" s="29" t="str">
        <f>IF(Ingreso[Código de barras]=0,"",INDEX(Stock[n°CC],MATCH(Ingreso[Código de barras],Stock[Código de barras],0)))</f>
        <v/>
      </c>
      <c r="D78" s="29" t="str">
        <f>IF(Ingreso[Código de barras]=0,"",INDEX(Stock[Cliente],MATCH(Ingreso[Código de barras],Stock[Código de barras],0)))</f>
        <v/>
      </c>
      <c r="E78" s="41" t="str">
        <f>IF(Ingreso[Código de barras]=0,"",INDEX(Stock[Mes],MATCH(Ingreso[Código de barras],Stock[Código de barras],0)))</f>
        <v/>
      </c>
      <c r="F78" s="30" t="str">
        <f>IF(Ingreso[Código de barras]=0,"",INDEX(Stock[Detalle],MATCH(Ingreso[Código de barras],Stock[Código de barras],0)))</f>
        <v/>
      </c>
      <c r="G78" s="29" t="str">
        <f>IF(Ingreso[Código de barras]=0,"",INDEX(Stock[Matriz],MATCH(Ingreso[Código de barras],Stock[Código de barras],0)))</f>
        <v/>
      </c>
    </row>
    <row r="79" spans="1:7" x14ac:dyDescent="0.25">
      <c r="A79" s="31"/>
      <c r="B79" s="28" t="str">
        <f t="shared" si="2"/>
        <v/>
      </c>
      <c r="C79" s="29" t="str">
        <f>IF(Ingreso[Código de barras]=0,"",INDEX(Stock[n°CC],MATCH(Ingreso[Código de barras],Stock[Código de barras],0)))</f>
        <v/>
      </c>
      <c r="D79" s="29" t="str">
        <f>IF(Ingreso[Código de barras]=0,"",INDEX(Stock[Cliente],MATCH(Ingreso[Código de barras],Stock[Código de barras],0)))</f>
        <v/>
      </c>
      <c r="E79" s="41" t="str">
        <f>IF(Ingreso[Código de barras]=0,"",INDEX(Stock[Mes],MATCH(Ingreso[Código de barras],Stock[Código de barras],0)))</f>
        <v/>
      </c>
      <c r="F79" s="30" t="str">
        <f>IF(Ingreso[Código de barras]=0,"",INDEX(Stock[Detalle],MATCH(Ingreso[Código de barras],Stock[Código de barras],0)))</f>
        <v/>
      </c>
      <c r="G79" s="29" t="str">
        <f>IF(Ingreso[Código de barras]=0,"",INDEX(Stock[Matriz],MATCH(Ingreso[Código de barras],Stock[Código de barras],0)))</f>
        <v/>
      </c>
    </row>
    <row r="80" spans="1:7" x14ac:dyDescent="0.25">
      <c r="A80" s="31"/>
      <c r="B80" s="28" t="str">
        <f t="shared" si="2"/>
        <v/>
      </c>
      <c r="C80" s="29" t="str">
        <f>IF(Ingreso[Código de barras]=0,"",INDEX(Stock[n°CC],MATCH(Ingreso[Código de barras],Stock[Código de barras],0)))</f>
        <v/>
      </c>
      <c r="D80" s="29" t="str">
        <f>IF(Ingreso[Código de barras]=0,"",INDEX(Stock[Cliente],MATCH(Ingreso[Código de barras],Stock[Código de barras],0)))</f>
        <v/>
      </c>
      <c r="E80" s="41" t="str">
        <f>IF(Ingreso[Código de barras]=0,"",INDEX(Stock[Mes],MATCH(Ingreso[Código de barras],Stock[Código de barras],0)))</f>
        <v/>
      </c>
      <c r="F80" s="30" t="str">
        <f>IF(Ingreso[Código de barras]=0,"",INDEX(Stock[Detalle],MATCH(Ingreso[Código de barras],Stock[Código de barras],0)))</f>
        <v/>
      </c>
      <c r="G80" s="29" t="str">
        <f>IF(Ingreso[Código de barras]=0,"",INDEX(Stock[Matriz],MATCH(Ingreso[Código de barras],Stock[Código de barras],0)))</f>
        <v/>
      </c>
    </row>
    <row r="81" spans="1:7" x14ac:dyDescent="0.25">
      <c r="A81" s="31"/>
      <c r="B81" s="28" t="str">
        <f t="shared" si="2"/>
        <v/>
      </c>
      <c r="C81" s="29" t="str">
        <f>IF(Ingreso[Código de barras]=0,"",INDEX(Stock[n°CC],MATCH(Ingreso[Código de barras],Stock[Código de barras],0)))</f>
        <v/>
      </c>
      <c r="D81" s="29" t="str">
        <f>IF(Ingreso[Código de barras]=0,"",INDEX(Stock[Cliente],MATCH(Ingreso[Código de barras],Stock[Código de barras],0)))</f>
        <v/>
      </c>
      <c r="E81" s="41" t="str">
        <f>IF(Ingreso[Código de barras]=0,"",INDEX(Stock[Mes],MATCH(Ingreso[Código de barras],Stock[Código de barras],0)))</f>
        <v/>
      </c>
      <c r="F81" s="30" t="str">
        <f>IF(Ingreso[Código de barras]=0,"",INDEX(Stock[Detalle],MATCH(Ingreso[Código de barras],Stock[Código de barras],0)))</f>
        <v/>
      </c>
      <c r="G81" s="29" t="str">
        <f>IF(Ingreso[Código de barras]=0,"",INDEX(Stock[Matriz],MATCH(Ingreso[Código de barras],Stock[Código de barras],0)))</f>
        <v/>
      </c>
    </row>
    <row r="82" spans="1:7" x14ac:dyDescent="0.25">
      <c r="A82" s="31"/>
      <c r="B82" s="28" t="str">
        <f t="shared" si="2"/>
        <v/>
      </c>
      <c r="C82" s="29" t="str">
        <f>IF(Ingreso[Código de barras]=0,"",INDEX(Stock[n°CC],MATCH(Ingreso[Código de barras],Stock[Código de barras],0)))</f>
        <v/>
      </c>
      <c r="D82" s="29" t="str">
        <f>IF(Ingreso[Código de barras]=0,"",INDEX(Stock[Cliente],MATCH(Ingreso[Código de barras],Stock[Código de barras],0)))</f>
        <v/>
      </c>
      <c r="E82" s="41" t="str">
        <f>IF(Ingreso[Código de barras]=0,"",INDEX(Stock[Mes],MATCH(Ingreso[Código de barras],Stock[Código de barras],0)))</f>
        <v/>
      </c>
      <c r="F82" s="30" t="str">
        <f>IF(Ingreso[Código de barras]=0,"",INDEX(Stock[Detalle],MATCH(Ingreso[Código de barras],Stock[Código de barras],0)))</f>
        <v/>
      </c>
      <c r="G82" s="29" t="str">
        <f>IF(Ingreso[Código de barras]=0,"",INDEX(Stock[Matriz],MATCH(Ingreso[Código de barras],Stock[Código de barras],0)))</f>
        <v/>
      </c>
    </row>
    <row r="83" spans="1:7" x14ac:dyDescent="0.25">
      <c r="A83" s="31"/>
      <c r="B83" s="28" t="str">
        <f t="shared" si="2"/>
        <v/>
      </c>
      <c r="C83" s="29" t="str">
        <f>IF(Ingreso[Código de barras]=0,"",INDEX(Stock[n°CC],MATCH(Ingreso[Código de barras],Stock[Código de barras],0)))</f>
        <v/>
      </c>
      <c r="D83" s="29" t="str">
        <f>IF(Ingreso[Código de barras]=0,"",INDEX(Stock[Cliente],MATCH(Ingreso[Código de barras],Stock[Código de barras],0)))</f>
        <v/>
      </c>
      <c r="E83" s="41" t="str">
        <f>IF(Ingreso[Código de barras]=0,"",INDEX(Stock[Mes],MATCH(Ingreso[Código de barras],Stock[Código de barras],0)))</f>
        <v/>
      </c>
      <c r="F83" s="30" t="str">
        <f>IF(Ingreso[Código de barras]=0,"",INDEX(Stock[Detalle],MATCH(Ingreso[Código de barras],Stock[Código de barras],0)))</f>
        <v/>
      </c>
      <c r="G83" s="29" t="str">
        <f>IF(Ingreso[Código de barras]=0,"",INDEX(Stock[Matriz],MATCH(Ingreso[Código de barras],Stock[Código de barras],0)))</f>
        <v/>
      </c>
    </row>
    <row r="84" spans="1:7" x14ac:dyDescent="0.25">
      <c r="A84" s="31"/>
      <c r="B84" s="28" t="str">
        <f t="shared" si="2"/>
        <v/>
      </c>
      <c r="C84" s="29" t="str">
        <f>IF(Ingreso[Código de barras]=0,"",INDEX(Stock[n°CC],MATCH(Ingreso[Código de barras],Stock[Código de barras],0)))</f>
        <v/>
      </c>
      <c r="D84" s="29" t="str">
        <f>IF(Ingreso[Código de barras]=0,"",INDEX(Stock[Cliente],MATCH(Ingreso[Código de barras],Stock[Código de barras],0)))</f>
        <v/>
      </c>
      <c r="E84" s="41" t="str">
        <f>IF(Ingreso[Código de barras]=0,"",INDEX(Stock[Mes],MATCH(Ingreso[Código de barras],Stock[Código de barras],0)))</f>
        <v/>
      </c>
      <c r="F84" s="30" t="str">
        <f>IF(Ingreso[Código de barras]=0,"",INDEX(Stock[Detalle],MATCH(Ingreso[Código de barras],Stock[Código de barras],0)))</f>
        <v/>
      </c>
      <c r="G84" s="29" t="str">
        <f>IF(Ingreso[Código de barras]=0,"",INDEX(Stock[Matriz],MATCH(Ingreso[Código de barras],Stock[Código de barras],0)))</f>
        <v/>
      </c>
    </row>
    <row r="85" spans="1:7" x14ac:dyDescent="0.25">
      <c r="A85" s="31"/>
      <c r="B85" s="28" t="str">
        <f t="shared" si="2"/>
        <v/>
      </c>
      <c r="C85" s="29" t="str">
        <f>IF(Ingreso[Código de barras]=0,"",INDEX(Stock[n°CC],MATCH(Ingreso[Código de barras],Stock[Código de barras],0)))</f>
        <v/>
      </c>
      <c r="D85" s="29" t="str">
        <f>IF(Ingreso[Código de barras]=0,"",INDEX(Stock[Cliente],MATCH(Ingreso[Código de barras],Stock[Código de barras],0)))</f>
        <v/>
      </c>
      <c r="E85" s="41" t="str">
        <f>IF(Ingreso[Código de barras]=0,"",INDEX(Stock[Mes],MATCH(Ingreso[Código de barras],Stock[Código de barras],0)))</f>
        <v/>
      </c>
      <c r="F85" s="30" t="str">
        <f>IF(Ingreso[Código de barras]=0,"",INDEX(Stock[Detalle],MATCH(Ingreso[Código de barras],Stock[Código de barras],0)))</f>
        <v/>
      </c>
      <c r="G85" s="29" t="str">
        <f>IF(Ingreso[Código de barras]=0,"",INDEX(Stock[Matriz],MATCH(Ingreso[Código de barras],Stock[Código de barras],0)))</f>
        <v/>
      </c>
    </row>
    <row r="86" spans="1:7" x14ac:dyDescent="0.25">
      <c r="A86" s="31"/>
      <c r="B86" s="28" t="str">
        <f t="shared" si="2"/>
        <v/>
      </c>
      <c r="C86" s="29" t="str">
        <f>IF(Ingreso[Código de barras]=0,"",INDEX(Stock[n°CC],MATCH(Ingreso[Código de barras],Stock[Código de barras],0)))</f>
        <v/>
      </c>
      <c r="D86" s="29" t="str">
        <f>IF(Ingreso[Código de barras]=0,"",INDEX(Stock[Cliente],MATCH(Ingreso[Código de barras],Stock[Código de barras],0)))</f>
        <v/>
      </c>
      <c r="E86" s="41" t="str">
        <f>IF(Ingreso[Código de barras]=0,"",INDEX(Stock[Mes],MATCH(Ingreso[Código de barras],Stock[Código de barras],0)))</f>
        <v/>
      </c>
      <c r="F86" s="30" t="str">
        <f>IF(Ingreso[Código de barras]=0,"",INDEX(Stock[Detalle],MATCH(Ingreso[Código de barras],Stock[Código de barras],0)))</f>
        <v/>
      </c>
      <c r="G86" s="29" t="str">
        <f>IF(Ingreso[Código de barras]=0,"",INDEX(Stock[Matriz],MATCH(Ingreso[Código de barras],Stock[Código de barras],0)))</f>
        <v/>
      </c>
    </row>
    <row r="87" spans="1:7" x14ac:dyDescent="0.25">
      <c r="A87" s="31"/>
      <c r="B87" s="28" t="str">
        <f t="shared" si="2"/>
        <v/>
      </c>
      <c r="C87" s="29" t="str">
        <f>IF(Ingreso[Código de barras]=0,"",INDEX(Stock[n°CC],MATCH(Ingreso[Código de barras],Stock[Código de barras],0)))</f>
        <v/>
      </c>
      <c r="D87" s="29" t="str">
        <f>IF(Ingreso[Código de barras]=0,"",INDEX(Stock[Cliente],MATCH(Ingreso[Código de barras],Stock[Código de barras],0)))</f>
        <v/>
      </c>
      <c r="E87" s="41" t="str">
        <f>IF(Ingreso[Código de barras]=0,"",INDEX(Stock[Mes],MATCH(Ingreso[Código de barras],Stock[Código de barras],0)))</f>
        <v/>
      </c>
      <c r="F87" s="30" t="str">
        <f>IF(Ingreso[Código de barras]=0,"",INDEX(Stock[Detalle],MATCH(Ingreso[Código de barras],Stock[Código de barras],0)))</f>
        <v/>
      </c>
      <c r="G87" s="29" t="str">
        <f>IF(Ingreso[Código de barras]=0,"",INDEX(Stock[Matriz],MATCH(Ingreso[Código de barras],Stock[Código de barras],0)))</f>
        <v/>
      </c>
    </row>
    <row r="88" spans="1:7" x14ac:dyDescent="0.25">
      <c r="A88" s="31"/>
      <c r="B88" s="28" t="str">
        <f t="shared" si="2"/>
        <v/>
      </c>
      <c r="C88" s="29" t="str">
        <f>IF(Ingreso[Código de barras]=0,"",INDEX(Stock[n°CC],MATCH(Ingreso[Código de barras],Stock[Código de barras],0)))</f>
        <v/>
      </c>
      <c r="D88" s="29" t="str">
        <f>IF(Ingreso[Código de barras]=0,"",INDEX(Stock[Cliente],MATCH(Ingreso[Código de barras],Stock[Código de barras],0)))</f>
        <v/>
      </c>
      <c r="E88" s="41" t="str">
        <f>IF(Ingreso[Código de barras]=0,"",INDEX(Stock[Mes],MATCH(Ingreso[Código de barras],Stock[Código de barras],0)))</f>
        <v/>
      </c>
      <c r="F88" s="30" t="str">
        <f>IF(Ingreso[Código de barras]=0,"",INDEX(Stock[Detalle],MATCH(Ingreso[Código de barras],Stock[Código de barras],0)))</f>
        <v/>
      </c>
      <c r="G88" s="29" t="str">
        <f>IF(Ingreso[Código de barras]=0,"",INDEX(Stock[Matriz],MATCH(Ingreso[Código de barras],Stock[Código de barras],0)))</f>
        <v/>
      </c>
    </row>
    <row r="89" spans="1:7" x14ac:dyDescent="0.25">
      <c r="A89" s="31"/>
      <c r="B89" s="28" t="str">
        <f t="shared" si="2"/>
        <v/>
      </c>
      <c r="C89" s="29" t="str">
        <f>IF(Ingreso[Código de barras]=0,"",INDEX(Stock[n°CC],MATCH(Ingreso[Código de barras],Stock[Código de barras],0)))</f>
        <v/>
      </c>
      <c r="D89" s="29" t="str">
        <f>IF(Ingreso[Código de barras]=0,"",INDEX(Stock[Cliente],MATCH(Ingreso[Código de barras],Stock[Código de barras],0)))</f>
        <v/>
      </c>
      <c r="E89" s="41" t="str">
        <f>IF(Ingreso[Código de barras]=0,"",INDEX(Stock[Mes],MATCH(Ingreso[Código de barras],Stock[Código de barras],0)))</f>
        <v/>
      </c>
      <c r="F89" s="30" t="str">
        <f>IF(Ingreso[Código de barras]=0,"",INDEX(Stock[Detalle],MATCH(Ingreso[Código de barras],Stock[Código de barras],0)))</f>
        <v/>
      </c>
      <c r="G89" s="29" t="str">
        <f>IF(Ingreso[Código de barras]=0,"",INDEX(Stock[Matriz],MATCH(Ingreso[Código de barras],Stock[Código de barras],0)))</f>
        <v/>
      </c>
    </row>
    <row r="90" spans="1:7" x14ac:dyDescent="0.25">
      <c r="A90" s="31"/>
      <c r="B90" s="28" t="str">
        <f t="shared" si="2"/>
        <v/>
      </c>
      <c r="C90" s="29" t="str">
        <f>IF(Ingreso[Código de barras]=0,"",INDEX(Stock[n°CC],MATCH(Ingreso[Código de barras],Stock[Código de barras],0)))</f>
        <v/>
      </c>
      <c r="D90" s="29" t="str">
        <f>IF(Ingreso[Código de barras]=0,"",INDEX(Stock[Cliente],MATCH(Ingreso[Código de barras],Stock[Código de barras],0)))</f>
        <v/>
      </c>
      <c r="E90" s="41" t="str">
        <f>IF(Ingreso[Código de barras]=0,"",INDEX(Stock[Mes],MATCH(Ingreso[Código de barras],Stock[Código de barras],0)))</f>
        <v/>
      </c>
      <c r="F90" s="30" t="str">
        <f>IF(Ingreso[Código de barras]=0,"",INDEX(Stock[Detalle],MATCH(Ingreso[Código de barras],Stock[Código de barras],0)))</f>
        <v/>
      </c>
      <c r="G90" s="29" t="str">
        <f>IF(Ingreso[Código de barras]=0,"",INDEX(Stock[Matriz],MATCH(Ingreso[Código de barras],Stock[Código de barras],0)))</f>
        <v/>
      </c>
    </row>
    <row r="91" spans="1:7" x14ac:dyDescent="0.25">
      <c r="A91" s="31"/>
      <c r="B91" s="28" t="str">
        <f t="shared" si="2"/>
        <v/>
      </c>
      <c r="C91" s="29" t="str">
        <f>IF(Ingreso[Código de barras]=0,"",INDEX(Stock[n°CC],MATCH(Ingreso[Código de barras],Stock[Código de barras],0)))</f>
        <v/>
      </c>
      <c r="D91" s="29" t="str">
        <f>IF(Ingreso[Código de barras]=0,"",INDEX(Stock[Cliente],MATCH(Ingreso[Código de barras],Stock[Código de barras],0)))</f>
        <v/>
      </c>
      <c r="E91" s="41" t="str">
        <f>IF(Ingreso[Código de barras]=0,"",INDEX(Stock[Mes],MATCH(Ingreso[Código de barras],Stock[Código de barras],0)))</f>
        <v/>
      </c>
      <c r="F91" s="30" t="str">
        <f>IF(Ingreso[Código de barras]=0,"",INDEX(Stock[Detalle],MATCH(Ingreso[Código de barras],Stock[Código de barras],0)))</f>
        <v/>
      </c>
      <c r="G91" s="29" t="str">
        <f>IF(Ingreso[Código de barras]=0,"",INDEX(Stock[Matriz],MATCH(Ingreso[Código de barras],Stock[Código de barras],0)))</f>
        <v/>
      </c>
    </row>
    <row r="92" spans="1:7" x14ac:dyDescent="0.25">
      <c r="A92" s="31"/>
      <c r="B92" s="28" t="str">
        <f t="shared" si="2"/>
        <v/>
      </c>
      <c r="C92" s="29" t="str">
        <f>IF(Ingreso[Código de barras]=0,"",INDEX(Stock[n°CC],MATCH(Ingreso[Código de barras],Stock[Código de barras],0)))</f>
        <v/>
      </c>
      <c r="D92" s="29" t="str">
        <f>IF(Ingreso[Código de barras]=0,"",INDEX(Stock[Cliente],MATCH(Ingreso[Código de barras],Stock[Código de barras],0)))</f>
        <v/>
      </c>
      <c r="E92" s="41" t="str">
        <f>IF(Ingreso[Código de barras]=0,"",INDEX(Stock[Mes],MATCH(Ingreso[Código de barras],Stock[Código de barras],0)))</f>
        <v/>
      </c>
      <c r="F92" s="30" t="str">
        <f>IF(Ingreso[Código de barras]=0,"",INDEX(Stock[Detalle],MATCH(Ingreso[Código de barras],Stock[Código de barras],0)))</f>
        <v/>
      </c>
      <c r="G92" s="29" t="str">
        <f>IF(Ingreso[Código de barras]=0,"",INDEX(Stock[Matriz],MATCH(Ingreso[Código de barras],Stock[Código de barras],0)))</f>
        <v/>
      </c>
    </row>
    <row r="93" spans="1:7" x14ac:dyDescent="0.25">
      <c r="A93" s="31"/>
      <c r="B93" s="28" t="str">
        <f t="shared" si="2"/>
        <v/>
      </c>
      <c r="C93" s="29" t="str">
        <f>IF(Ingreso[Código de barras]=0,"",INDEX(Stock[n°CC],MATCH(Ingreso[Código de barras],Stock[Código de barras],0)))</f>
        <v/>
      </c>
      <c r="D93" s="29" t="str">
        <f>IF(Ingreso[Código de barras]=0,"",INDEX(Stock[Cliente],MATCH(Ingreso[Código de barras],Stock[Código de barras],0)))</f>
        <v/>
      </c>
      <c r="E93" s="41" t="str">
        <f>IF(Ingreso[Código de barras]=0,"",INDEX(Stock[Mes],MATCH(Ingreso[Código de barras],Stock[Código de barras],0)))</f>
        <v/>
      </c>
      <c r="F93" s="30" t="str">
        <f>IF(Ingreso[Código de barras]=0,"",INDEX(Stock[Detalle],MATCH(Ingreso[Código de barras],Stock[Código de barras],0)))</f>
        <v/>
      </c>
      <c r="G93" s="29" t="str">
        <f>IF(Ingreso[Código de barras]=0,"",INDEX(Stock[Matriz],MATCH(Ingreso[Código de barras],Stock[Código de barras],0)))</f>
        <v/>
      </c>
    </row>
    <row r="94" spans="1:7" x14ac:dyDescent="0.25">
      <c r="A94" s="31"/>
      <c r="B94" s="28" t="str">
        <f t="shared" si="2"/>
        <v/>
      </c>
      <c r="C94" s="29" t="str">
        <f>IF(Ingreso[Código de barras]=0,"",INDEX(Stock[n°CC],MATCH(Ingreso[Código de barras],Stock[Código de barras],0)))</f>
        <v/>
      </c>
      <c r="D94" s="29" t="str">
        <f>IF(Ingreso[Código de barras]=0,"",INDEX(Stock[Cliente],MATCH(Ingreso[Código de barras],Stock[Código de barras],0)))</f>
        <v/>
      </c>
      <c r="E94" s="41" t="str">
        <f>IF(Ingreso[Código de barras]=0,"",INDEX(Stock[Mes],MATCH(Ingreso[Código de barras],Stock[Código de barras],0)))</f>
        <v/>
      </c>
      <c r="F94" s="30" t="str">
        <f>IF(Ingreso[Código de barras]=0,"",INDEX(Stock[Detalle],MATCH(Ingreso[Código de barras],Stock[Código de barras],0)))</f>
        <v/>
      </c>
      <c r="G94" s="29" t="str">
        <f>IF(Ingreso[Código de barras]=0,"",INDEX(Stock[Matriz],MATCH(Ingreso[Código de barras],Stock[Código de barras],0)))</f>
        <v/>
      </c>
    </row>
    <row r="95" spans="1:7" x14ac:dyDescent="0.25">
      <c r="A95" s="31"/>
      <c r="B95" s="28" t="str">
        <f t="shared" si="2"/>
        <v/>
      </c>
      <c r="C95" s="29" t="str">
        <f>IF(Ingreso[Código de barras]=0,"",INDEX(Stock[n°CC],MATCH(Ingreso[Código de barras],Stock[Código de barras],0)))</f>
        <v/>
      </c>
      <c r="D95" s="29" t="str">
        <f>IF(Ingreso[Código de barras]=0,"",INDEX(Stock[Cliente],MATCH(Ingreso[Código de barras],Stock[Código de barras],0)))</f>
        <v/>
      </c>
      <c r="E95" s="41" t="str">
        <f>IF(Ingreso[Código de barras]=0,"",INDEX(Stock[Mes],MATCH(Ingreso[Código de barras],Stock[Código de barras],0)))</f>
        <v/>
      </c>
      <c r="F95" s="30" t="str">
        <f>IF(Ingreso[Código de barras]=0,"",INDEX(Stock[Detalle],MATCH(Ingreso[Código de barras],Stock[Código de barras],0)))</f>
        <v/>
      </c>
      <c r="G95" s="29" t="str">
        <f>IF(Ingreso[Código de barras]=0,"",INDEX(Stock[Matriz],MATCH(Ingreso[Código de barras],Stock[Código de barras],0)))</f>
        <v/>
      </c>
    </row>
    <row r="96" spans="1:7" x14ac:dyDescent="0.25">
      <c r="A96" s="31"/>
      <c r="B96" s="28" t="str">
        <f t="shared" si="2"/>
        <v/>
      </c>
      <c r="C96" s="29" t="str">
        <f>IF(Ingreso[Código de barras]=0,"",INDEX(Stock[n°CC],MATCH(Ingreso[Código de barras],Stock[Código de barras],0)))</f>
        <v/>
      </c>
      <c r="D96" s="29" t="str">
        <f>IF(Ingreso[Código de barras]=0,"",INDEX(Stock[Cliente],MATCH(Ingreso[Código de barras],Stock[Código de barras],0)))</f>
        <v/>
      </c>
      <c r="E96" s="41" t="str">
        <f>IF(Ingreso[Código de barras]=0,"",INDEX(Stock[Mes],MATCH(Ingreso[Código de barras],Stock[Código de barras],0)))</f>
        <v/>
      </c>
      <c r="F96" s="30" t="str">
        <f>IF(Ingreso[Código de barras]=0,"",INDEX(Stock[Detalle],MATCH(Ingreso[Código de barras],Stock[Código de barras],0)))</f>
        <v/>
      </c>
      <c r="G96" s="29" t="str">
        <f>IF(Ingreso[Código de barras]=0,"",INDEX(Stock[Matriz],MATCH(Ingreso[Código de barras],Stock[Código de barras],0)))</f>
        <v/>
      </c>
    </row>
    <row r="97" spans="1:7" x14ac:dyDescent="0.25">
      <c r="A97" s="31"/>
      <c r="B97" s="28" t="str">
        <f t="shared" si="2"/>
        <v/>
      </c>
      <c r="C97" s="29" t="str">
        <f>IF(Ingreso[Código de barras]=0,"",INDEX(Stock[n°CC],MATCH(Ingreso[Código de barras],Stock[Código de barras],0)))</f>
        <v/>
      </c>
      <c r="D97" s="29" t="str">
        <f>IF(Ingreso[Código de barras]=0,"",INDEX(Stock[Cliente],MATCH(Ingreso[Código de barras],Stock[Código de barras],0)))</f>
        <v/>
      </c>
      <c r="E97" s="41" t="str">
        <f>IF(Ingreso[Código de barras]=0,"",INDEX(Stock[Mes],MATCH(Ingreso[Código de barras],Stock[Código de barras],0)))</f>
        <v/>
      </c>
      <c r="F97" s="30" t="str">
        <f>IF(Ingreso[Código de barras]=0,"",INDEX(Stock[Detalle],MATCH(Ingreso[Código de barras],Stock[Código de barras],0)))</f>
        <v/>
      </c>
      <c r="G97" s="29" t="str">
        <f>IF(Ingreso[Código de barras]=0,"",INDEX(Stock[Matriz],MATCH(Ingreso[Código de barras],Stock[Código de barras],0)))</f>
        <v/>
      </c>
    </row>
    <row r="98" spans="1:7" x14ac:dyDescent="0.25">
      <c r="A98" s="31"/>
      <c r="B98" s="28" t="str">
        <f t="shared" si="2"/>
        <v/>
      </c>
      <c r="C98" s="29" t="str">
        <f>IF(Ingreso[Código de barras]=0,"",INDEX(Stock[n°CC],MATCH(Ingreso[Código de barras],Stock[Código de barras],0)))</f>
        <v/>
      </c>
      <c r="D98" s="29" t="str">
        <f>IF(Ingreso[Código de barras]=0,"",INDEX(Stock[Cliente],MATCH(Ingreso[Código de barras],Stock[Código de barras],0)))</f>
        <v/>
      </c>
      <c r="E98" s="41" t="str">
        <f>IF(Ingreso[Código de barras]=0,"",INDEX(Stock[Mes],MATCH(Ingreso[Código de barras],Stock[Código de barras],0)))</f>
        <v/>
      </c>
      <c r="F98" s="30" t="str">
        <f>IF(Ingreso[Código de barras]=0,"",INDEX(Stock[Detalle],MATCH(Ingreso[Código de barras],Stock[Código de barras],0)))</f>
        <v/>
      </c>
      <c r="G98" s="29" t="str">
        <f>IF(Ingreso[Código de barras]=0,"",INDEX(Stock[Matriz],MATCH(Ingreso[Código de barras],Stock[Código de barras],0)))</f>
        <v/>
      </c>
    </row>
    <row r="99" spans="1:7" x14ac:dyDescent="0.25">
      <c r="A99" s="31"/>
      <c r="B99" s="28" t="str">
        <f t="shared" si="2"/>
        <v/>
      </c>
      <c r="C99" s="29" t="str">
        <f>IF(Ingreso[Código de barras]=0,"",INDEX(Stock[n°CC],MATCH(Ingreso[Código de barras],Stock[Código de barras],0)))</f>
        <v/>
      </c>
      <c r="D99" s="29" t="str">
        <f>IF(Ingreso[Código de barras]=0,"",INDEX(Stock[Cliente],MATCH(Ingreso[Código de barras],Stock[Código de barras],0)))</f>
        <v/>
      </c>
      <c r="E99" s="41" t="str">
        <f>IF(Ingreso[Código de barras]=0,"",INDEX(Stock[Mes],MATCH(Ingreso[Código de barras],Stock[Código de barras],0)))</f>
        <v/>
      </c>
      <c r="F99" s="30" t="str">
        <f>IF(Ingreso[Código de barras]=0,"",INDEX(Stock[Detalle],MATCH(Ingreso[Código de barras],Stock[Código de barras],0)))</f>
        <v/>
      </c>
      <c r="G99" s="29" t="str">
        <f>IF(Ingreso[Código de barras]=0,"",INDEX(Stock[Matriz],MATCH(Ingreso[Código de barras],Stock[Código de barras],0)))</f>
        <v/>
      </c>
    </row>
    <row r="100" spans="1:7" x14ac:dyDescent="0.25">
      <c r="A100" s="31"/>
      <c r="B100" s="28" t="str">
        <f t="shared" si="2"/>
        <v/>
      </c>
      <c r="C100" s="29" t="str">
        <f>IF(Ingreso[Código de barras]=0,"",INDEX(Stock[n°CC],MATCH(Ingreso[Código de barras],Stock[Código de barras],0)))</f>
        <v/>
      </c>
      <c r="D100" s="29" t="str">
        <f>IF(Ingreso[Código de barras]=0,"",INDEX(Stock[Cliente],MATCH(Ingreso[Código de barras],Stock[Código de barras],0)))</f>
        <v/>
      </c>
      <c r="E100" s="41" t="str">
        <f>IF(Ingreso[Código de barras]=0,"",INDEX(Stock[Mes],MATCH(Ingreso[Código de barras],Stock[Código de barras],0)))</f>
        <v/>
      </c>
      <c r="F100" s="30" t="str">
        <f>IF(Ingreso[Código de barras]=0,"",INDEX(Stock[Detalle],MATCH(Ingreso[Código de barras],Stock[Código de barras],0)))</f>
        <v/>
      </c>
      <c r="G100" s="29" t="str">
        <f>IF(Ingreso[Código de barras]=0,"",INDEX(Stock[Matriz],MATCH(Ingreso[Código de barras],Stock[Código de barras],0)))</f>
        <v/>
      </c>
    </row>
    <row r="101" spans="1:7" x14ac:dyDescent="0.25">
      <c r="A101" s="31"/>
      <c r="B101" s="28" t="str">
        <f t="shared" si="2"/>
        <v/>
      </c>
      <c r="C101" s="29" t="str">
        <f>IF(Ingreso[Código de barras]=0,"",INDEX(Stock[n°CC],MATCH(Ingreso[Código de barras],Stock[Código de barras],0)))</f>
        <v/>
      </c>
      <c r="D101" s="29" t="str">
        <f>IF(Ingreso[Código de barras]=0,"",INDEX(Stock[Cliente],MATCH(Ingreso[Código de barras],Stock[Código de barras],0)))</f>
        <v/>
      </c>
      <c r="E101" s="41" t="str">
        <f>IF(Ingreso[Código de barras]=0,"",INDEX(Stock[Mes],MATCH(Ingreso[Código de barras],Stock[Código de barras],0)))</f>
        <v/>
      </c>
      <c r="F101" s="30" t="str">
        <f>IF(Ingreso[Código de barras]=0,"",INDEX(Stock[Detalle],MATCH(Ingreso[Código de barras],Stock[Código de barras],0)))</f>
        <v/>
      </c>
      <c r="G101" s="29" t="str">
        <f>IF(Ingreso[Código de barras]=0,"",INDEX(Stock[Matriz],MATCH(Ingreso[Código de barras],Stock[Código de barras],0)))</f>
        <v/>
      </c>
    </row>
    <row r="102" spans="1:7" x14ac:dyDescent="0.25">
      <c r="A102" s="31"/>
      <c r="B102" s="28" t="str">
        <f t="shared" si="2"/>
        <v/>
      </c>
      <c r="C102" s="29" t="str">
        <f>IF(Ingreso[Código de barras]=0,"",INDEX(Stock[n°CC],MATCH(Ingreso[Código de barras],Stock[Código de barras],0)))</f>
        <v/>
      </c>
      <c r="D102" s="29" t="str">
        <f>IF(Ingreso[Código de barras]=0,"",INDEX(Stock[Cliente],MATCH(Ingreso[Código de barras],Stock[Código de barras],0)))</f>
        <v/>
      </c>
      <c r="E102" s="41" t="str">
        <f>IF(Ingreso[Código de barras]=0,"",INDEX(Stock[Mes],MATCH(Ingreso[Código de barras],Stock[Código de barras],0)))</f>
        <v/>
      </c>
      <c r="F102" s="30" t="str">
        <f>IF(Ingreso[Código de barras]=0,"",INDEX(Stock[Detalle],MATCH(Ingreso[Código de barras],Stock[Código de barras],0)))</f>
        <v/>
      </c>
      <c r="G102" s="29" t="str">
        <f>IF(Ingreso[Código de barras]=0,"",INDEX(Stock[Matriz],MATCH(Ingreso[Código de barras],Stock[Código de barras],0)))</f>
        <v/>
      </c>
    </row>
    <row r="103" spans="1:7" x14ac:dyDescent="0.25">
      <c r="A103" s="31"/>
      <c r="B103" s="28" t="str">
        <f t="shared" si="2"/>
        <v/>
      </c>
      <c r="C103" s="29" t="str">
        <f>IF(Ingreso[Código de barras]=0,"",INDEX(Stock[n°CC],MATCH(Ingreso[Código de barras],Stock[Código de barras],0)))</f>
        <v/>
      </c>
      <c r="D103" s="29" t="str">
        <f>IF(Ingreso[Código de barras]=0,"",INDEX(Stock[Cliente],MATCH(Ingreso[Código de barras],Stock[Código de barras],0)))</f>
        <v/>
      </c>
      <c r="E103" s="41" t="str">
        <f>IF(Ingreso[Código de barras]=0,"",INDEX(Stock[Mes],MATCH(Ingreso[Código de barras],Stock[Código de barras],0)))</f>
        <v/>
      </c>
      <c r="F103" s="30" t="str">
        <f>IF(Ingreso[Código de barras]=0,"",INDEX(Stock[Detalle],MATCH(Ingreso[Código de barras],Stock[Código de barras],0)))</f>
        <v/>
      </c>
      <c r="G103" s="29" t="str">
        <f>IF(Ingreso[Código de barras]=0,"",INDEX(Stock[Matriz],MATCH(Ingreso[Código de barras],Stock[Código de barras],0)))</f>
        <v/>
      </c>
    </row>
    <row r="104" spans="1:7" x14ac:dyDescent="0.25">
      <c r="A104" s="31"/>
      <c r="B104" s="28" t="str">
        <f t="shared" si="2"/>
        <v/>
      </c>
      <c r="C104" s="29" t="str">
        <f>IF(Ingreso[Código de barras]=0,"",INDEX(Stock[n°CC],MATCH(Ingreso[Código de barras],Stock[Código de barras],0)))</f>
        <v/>
      </c>
      <c r="D104" s="29" t="str">
        <f>IF(Ingreso[Código de barras]=0,"",INDEX(Stock[Cliente],MATCH(Ingreso[Código de barras],Stock[Código de barras],0)))</f>
        <v/>
      </c>
      <c r="E104" s="41" t="str">
        <f>IF(Ingreso[Código de barras]=0,"",INDEX(Stock[Mes],MATCH(Ingreso[Código de barras],Stock[Código de barras],0)))</f>
        <v/>
      </c>
      <c r="F104" s="30" t="str">
        <f>IF(Ingreso[Código de barras]=0,"",INDEX(Stock[Detalle],MATCH(Ingreso[Código de barras],Stock[Código de barras],0)))</f>
        <v/>
      </c>
      <c r="G104" s="29" t="str">
        <f>IF(Ingreso[Código de barras]=0,"",INDEX(Stock[Matriz],MATCH(Ingreso[Código de barras],Stock[Código de barras],0)))</f>
        <v/>
      </c>
    </row>
    <row r="105" spans="1:7" x14ac:dyDescent="0.25">
      <c r="A105" s="31"/>
      <c r="B105" s="28" t="str">
        <f t="shared" si="2"/>
        <v/>
      </c>
      <c r="C105" s="29" t="str">
        <f>IF(Ingreso[Código de barras]=0,"",INDEX(Stock[n°CC],MATCH(Ingreso[Código de barras],Stock[Código de barras],0)))</f>
        <v/>
      </c>
      <c r="D105" s="29" t="str">
        <f>IF(Ingreso[Código de barras]=0,"",INDEX(Stock[Cliente],MATCH(Ingreso[Código de barras],Stock[Código de barras],0)))</f>
        <v/>
      </c>
      <c r="E105" s="41" t="str">
        <f>IF(Ingreso[Código de barras]=0,"",INDEX(Stock[Mes],MATCH(Ingreso[Código de barras],Stock[Código de barras],0)))</f>
        <v/>
      </c>
      <c r="F105" s="30" t="str">
        <f>IF(Ingreso[Código de barras]=0,"",INDEX(Stock[Detalle],MATCH(Ingreso[Código de barras],Stock[Código de barras],0)))</f>
        <v/>
      </c>
      <c r="G105" s="29" t="str">
        <f>IF(Ingreso[Código de barras]=0,"",INDEX(Stock[Matriz],MATCH(Ingreso[Código de barras],Stock[Código de barras],0)))</f>
        <v/>
      </c>
    </row>
    <row r="106" spans="1:7" x14ac:dyDescent="0.25">
      <c r="A106" s="31"/>
      <c r="B106" s="28" t="str">
        <f t="shared" si="2"/>
        <v/>
      </c>
      <c r="C106" s="29" t="str">
        <f>IF(Ingreso[Código de barras]=0,"",INDEX(Stock[n°CC],MATCH(Ingreso[Código de barras],Stock[Código de barras],0)))</f>
        <v/>
      </c>
      <c r="D106" s="29" t="str">
        <f>IF(Ingreso[Código de barras]=0,"",INDEX(Stock[Cliente],MATCH(Ingreso[Código de barras],Stock[Código de barras],0)))</f>
        <v/>
      </c>
      <c r="E106" s="41" t="str">
        <f>IF(Ingreso[Código de barras]=0,"",INDEX(Stock[Mes],MATCH(Ingreso[Código de barras],Stock[Código de barras],0)))</f>
        <v/>
      </c>
      <c r="F106" s="30" t="str">
        <f>IF(Ingreso[Código de barras]=0,"",INDEX(Stock[Detalle],MATCH(Ingreso[Código de barras],Stock[Código de barras],0)))</f>
        <v/>
      </c>
      <c r="G106" s="29" t="str">
        <f>IF(Ingreso[Código de barras]=0,"",INDEX(Stock[Matriz],MATCH(Ingreso[Código de barras],Stock[Código de barras],0)))</f>
        <v/>
      </c>
    </row>
    <row r="107" spans="1:7" x14ac:dyDescent="0.25">
      <c r="A107" s="31"/>
      <c r="B107" s="28" t="str">
        <f t="shared" si="2"/>
        <v/>
      </c>
      <c r="C107" s="29" t="str">
        <f>IF(Ingreso[Código de barras]=0,"",INDEX(Stock[n°CC],MATCH(Ingreso[Código de barras],Stock[Código de barras],0)))</f>
        <v/>
      </c>
      <c r="D107" s="29" t="str">
        <f>IF(Ingreso[Código de barras]=0,"",INDEX(Stock[Cliente],MATCH(Ingreso[Código de barras],Stock[Código de barras],0)))</f>
        <v/>
      </c>
      <c r="E107" s="41" t="str">
        <f>IF(Ingreso[Código de barras]=0,"",INDEX(Stock[Mes],MATCH(Ingreso[Código de barras],Stock[Código de barras],0)))</f>
        <v/>
      </c>
      <c r="F107" s="30" t="str">
        <f>IF(Ingreso[Código de barras]=0,"",INDEX(Stock[Detalle],MATCH(Ingreso[Código de barras],Stock[Código de barras],0)))</f>
        <v/>
      </c>
      <c r="G107" s="29" t="str">
        <f>IF(Ingreso[Código de barras]=0,"",INDEX(Stock[Matriz],MATCH(Ingreso[Código de barras],Stock[Código de barras],0)))</f>
        <v/>
      </c>
    </row>
    <row r="108" spans="1:7" x14ac:dyDescent="0.25">
      <c r="A108" s="31"/>
      <c r="B108" s="28" t="str">
        <f t="shared" si="2"/>
        <v/>
      </c>
      <c r="C108" s="29" t="str">
        <f>IF(Ingreso[Código de barras]=0,"",INDEX(Stock[n°CC],MATCH(Ingreso[Código de barras],Stock[Código de barras],0)))</f>
        <v/>
      </c>
      <c r="D108" s="29" t="str">
        <f>IF(Ingreso[Código de barras]=0,"",INDEX(Stock[Cliente],MATCH(Ingreso[Código de barras],Stock[Código de barras],0)))</f>
        <v/>
      </c>
      <c r="E108" s="41" t="str">
        <f>IF(Ingreso[Código de barras]=0,"",INDEX(Stock[Mes],MATCH(Ingreso[Código de barras],Stock[Código de barras],0)))</f>
        <v/>
      </c>
      <c r="F108" s="30" t="str">
        <f>IF(Ingreso[Código de barras]=0,"",INDEX(Stock[Detalle],MATCH(Ingreso[Código de barras],Stock[Código de barras],0)))</f>
        <v/>
      </c>
      <c r="G108" s="29" t="str">
        <f>IF(Ingreso[Código de barras]=0,"",INDEX(Stock[Matriz],MATCH(Ingreso[Código de barras],Stock[Código de barras],0)))</f>
        <v/>
      </c>
    </row>
    <row r="109" spans="1:7" x14ac:dyDescent="0.25">
      <c r="A109" s="31"/>
      <c r="B109" s="28" t="str">
        <f t="shared" si="2"/>
        <v/>
      </c>
      <c r="C109" s="29" t="str">
        <f>IF(Ingreso[Código de barras]=0,"",INDEX(Stock[n°CC],MATCH(Ingreso[Código de barras],Stock[Código de barras],0)))</f>
        <v/>
      </c>
      <c r="D109" s="29" t="str">
        <f>IF(Ingreso[Código de barras]=0,"",INDEX(Stock[Cliente],MATCH(Ingreso[Código de barras],Stock[Código de barras],0)))</f>
        <v/>
      </c>
      <c r="E109" s="41" t="str">
        <f>IF(Ingreso[Código de barras]=0,"",INDEX(Stock[Mes],MATCH(Ingreso[Código de barras],Stock[Código de barras],0)))</f>
        <v/>
      </c>
      <c r="F109" s="30" t="str">
        <f>IF(Ingreso[Código de barras]=0,"",INDEX(Stock[Detalle],MATCH(Ingreso[Código de barras],Stock[Código de barras],0)))</f>
        <v/>
      </c>
      <c r="G109" s="29" t="str">
        <f>IF(Ingreso[Código de barras]=0,"",INDEX(Stock[Matriz],MATCH(Ingreso[Código de barras],Stock[Código de barras],0)))</f>
        <v/>
      </c>
    </row>
    <row r="110" spans="1:7" x14ac:dyDescent="0.25">
      <c r="A110" s="31"/>
      <c r="B110" s="28" t="str">
        <f t="shared" si="2"/>
        <v/>
      </c>
      <c r="C110" s="29" t="str">
        <f>IF(Ingreso[Código de barras]=0,"",INDEX(Stock[n°CC],MATCH(Ingreso[Código de barras],Stock[Código de barras],0)))</f>
        <v/>
      </c>
      <c r="D110" s="29" t="str">
        <f>IF(Ingreso[Código de barras]=0,"",INDEX(Stock[Cliente],MATCH(Ingreso[Código de barras],Stock[Código de barras],0)))</f>
        <v/>
      </c>
      <c r="E110" s="41" t="str">
        <f>IF(Ingreso[Código de barras]=0,"",INDEX(Stock[Mes],MATCH(Ingreso[Código de barras],Stock[Código de barras],0)))</f>
        <v/>
      </c>
      <c r="F110" s="30" t="str">
        <f>IF(Ingreso[Código de barras]=0,"",INDEX(Stock[Detalle],MATCH(Ingreso[Código de barras],Stock[Código de barras],0)))</f>
        <v/>
      </c>
      <c r="G110" s="29" t="str">
        <f>IF(Ingreso[Código de barras]=0,"",INDEX(Stock[Matriz],MATCH(Ingreso[Código de barras],Stock[Código de barras],0)))</f>
        <v/>
      </c>
    </row>
    <row r="111" spans="1:7" x14ac:dyDescent="0.25">
      <c r="A111" s="31"/>
      <c r="B111" s="28" t="str">
        <f t="shared" si="2"/>
        <v/>
      </c>
      <c r="C111" s="29" t="str">
        <f>IF(Ingreso[Código de barras]=0,"",INDEX(Stock[n°CC],MATCH(Ingreso[Código de barras],Stock[Código de barras],0)))</f>
        <v/>
      </c>
      <c r="D111" s="29" t="str">
        <f>IF(Ingreso[Código de barras]=0,"",INDEX(Stock[Cliente],MATCH(Ingreso[Código de barras],Stock[Código de barras],0)))</f>
        <v/>
      </c>
      <c r="E111" s="41" t="str">
        <f>IF(Ingreso[Código de barras]=0,"",INDEX(Stock[Mes],MATCH(Ingreso[Código de barras],Stock[Código de barras],0)))</f>
        <v/>
      </c>
      <c r="F111" s="30" t="str">
        <f>IF(Ingreso[Código de barras]=0,"",INDEX(Stock[Detalle],MATCH(Ingreso[Código de barras],Stock[Código de barras],0)))</f>
        <v/>
      </c>
      <c r="G111" s="29" t="str">
        <f>IF(Ingreso[Código de barras]=0,"",INDEX(Stock[Matriz],MATCH(Ingreso[Código de barras],Stock[Código de barras],0)))</f>
        <v/>
      </c>
    </row>
    <row r="112" spans="1:7" x14ac:dyDescent="0.25">
      <c r="A112" s="31"/>
      <c r="B112" s="28" t="str">
        <f t="shared" si="2"/>
        <v/>
      </c>
      <c r="C112" s="29" t="str">
        <f>IF(Ingreso[Código de barras]=0,"",INDEX(Stock[n°CC],MATCH(Ingreso[Código de barras],Stock[Código de barras],0)))</f>
        <v/>
      </c>
      <c r="D112" s="29" t="str">
        <f>IF(Ingreso[Código de barras]=0,"",INDEX(Stock[Cliente],MATCH(Ingreso[Código de barras],Stock[Código de barras],0)))</f>
        <v/>
      </c>
      <c r="E112" s="41" t="str">
        <f>IF(Ingreso[Código de barras]=0,"",INDEX(Stock[Mes],MATCH(Ingreso[Código de barras],Stock[Código de barras],0)))</f>
        <v/>
      </c>
      <c r="F112" s="30" t="str">
        <f>IF(Ingreso[Código de barras]=0,"",INDEX(Stock[Detalle],MATCH(Ingreso[Código de barras],Stock[Código de barras],0)))</f>
        <v/>
      </c>
      <c r="G112" s="29" t="str">
        <f>IF(Ingreso[Código de barras]=0,"",INDEX(Stock[Matriz],MATCH(Ingreso[Código de barras],Stock[Código de barras],0)))</f>
        <v/>
      </c>
    </row>
    <row r="113" spans="1:7" x14ac:dyDescent="0.25">
      <c r="A113" s="31"/>
      <c r="B113" s="28" t="str">
        <f t="shared" si="2"/>
        <v/>
      </c>
      <c r="C113" s="29" t="str">
        <f>IF(Ingreso[Código de barras]=0,"",INDEX(Stock[n°CC],MATCH(Ingreso[Código de barras],Stock[Código de barras],0)))</f>
        <v/>
      </c>
      <c r="D113" s="29" t="str">
        <f>IF(Ingreso[Código de barras]=0,"",INDEX(Stock[Cliente],MATCH(Ingreso[Código de barras],Stock[Código de barras],0)))</f>
        <v/>
      </c>
      <c r="E113" s="41" t="str">
        <f>IF(Ingreso[Código de barras]=0,"",INDEX(Stock[Mes],MATCH(Ingreso[Código de barras],Stock[Código de barras],0)))</f>
        <v/>
      </c>
      <c r="F113" s="30" t="str">
        <f>IF(Ingreso[Código de barras]=0,"",INDEX(Stock[Detalle],MATCH(Ingreso[Código de barras],Stock[Código de barras],0)))</f>
        <v/>
      </c>
      <c r="G113" s="29" t="str">
        <f>IF(Ingreso[Código de barras]=0,"",INDEX(Stock[Matriz],MATCH(Ingreso[Código de barras],Stock[Código de barras],0)))</f>
        <v/>
      </c>
    </row>
    <row r="114" spans="1:7" x14ac:dyDescent="0.25">
      <c r="A114" s="31"/>
      <c r="B114" s="28" t="str">
        <f t="shared" si="2"/>
        <v/>
      </c>
      <c r="C114" s="29" t="str">
        <f>IF(Ingreso[Código de barras]=0,"",INDEX(Stock[n°CC],MATCH(Ingreso[Código de barras],Stock[Código de barras],0)))</f>
        <v/>
      </c>
      <c r="D114" s="29" t="str">
        <f>IF(Ingreso[Código de barras]=0,"",INDEX(Stock[Cliente],MATCH(Ingreso[Código de barras],Stock[Código de barras],0)))</f>
        <v/>
      </c>
      <c r="E114" s="41" t="str">
        <f>IF(Ingreso[Código de barras]=0,"",INDEX(Stock[Mes],MATCH(Ingreso[Código de barras],Stock[Código de barras],0)))</f>
        <v/>
      </c>
      <c r="F114" s="30" t="str">
        <f>IF(Ingreso[Código de barras]=0,"",INDEX(Stock[Detalle],MATCH(Ingreso[Código de barras],Stock[Código de barras],0)))</f>
        <v/>
      </c>
      <c r="G114" s="29" t="str">
        <f>IF(Ingreso[Código de barras]=0,"",INDEX(Stock[Matriz],MATCH(Ingreso[Código de barras],Stock[Código de barras],0)))</f>
        <v/>
      </c>
    </row>
    <row r="115" spans="1:7" x14ac:dyDescent="0.25">
      <c r="A115" s="31"/>
      <c r="B115" s="28" t="str">
        <f t="shared" si="2"/>
        <v/>
      </c>
      <c r="C115" s="29" t="str">
        <f>IF(Ingreso[Código de barras]=0,"",INDEX(Stock[n°CC],MATCH(Ingreso[Código de barras],Stock[Código de barras],0)))</f>
        <v/>
      </c>
      <c r="D115" s="29" t="str">
        <f>IF(Ingreso[Código de barras]=0,"",INDEX(Stock[Cliente],MATCH(Ingreso[Código de barras],Stock[Código de barras],0)))</f>
        <v/>
      </c>
      <c r="E115" s="41" t="str">
        <f>IF(Ingreso[Código de barras]=0,"",INDEX(Stock[Mes],MATCH(Ingreso[Código de barras],Stock[Código de barras],0)))</f>
        <v/>
      </c>
      <c r="F115" s="30" t="str">
        <f>IF(Ingreso[Código de barras]=0,"",INDEX(Stock[Detalle],MATCH(Ingreso[Código de barras],Stock[Código de barras],0)))</f>
        <v/>
      </c>
      <c r="G115" s="29" t="str">
        <f>IF(Ingreso[Código de barras]=0,"",INDEX(Stock[Matriz],MATCH(Ingreso[Código de barras],Stock[Código de barras],0)))</f>
        <v/>
      </c>
    </row>
    <row r="116" spans="1:7" x14ac:dyDescent="0.25">
      <c r="A116" s="31"/>
      <c r="B116" s="28" t="str">
        <f t="shared" si="2"/>
        <v/>
      </c>
      <c r="C116" s="29" t="str">
        <f>IF(Ingreso[Código de barras]=0,"",INDEX(Stock[n°CC],MATCH(Ingreso[Código de barras],Stock[Código de barras],0)))</f>
        <v/>
      </c>
      <c r="D116" s="29" t="str">
        <f>IF(Ingreso[Código de barras]=0,"",INDEX(Stock[Cliente],MATCH(Ingreso[Código de barras],Stock[Código de barras],0)))</f>
        <v/>
      </c>
      <c r="E116" s="41" t="str">
        <f>IF(Ingreso[Código de barras]=0,"",INDEX(Stock[Mes],MATCH(Ingreso[Código de barras],Stock[Código de barras],0)))</f>
        <v/>
      </c>
      <c r="F116" s="30" t="str">
        <f>IF(Ingreso[Código de barras]=0,"",INDEX(Stock[Detalle],MATCH(Ingreso[Código de barras],Stock[Código de barras],0)))</f>
        <v/>
      </c>
      <c r="G116" s="29" t="str">
        <f>IF(Ingreso[Código de barras]=0,"",INDEX(Stock[Matriz],MATCH(Ingreso[Código de barras],Stock[Código de barras],0)))</f>
        <v/>
      </c>
    </row>
    <row r="117" spans="1:7" x14ac:dyDescent="0.25">
      <c r="A117" s="31"/>
      <c r="B117" s="28" t="str">
        <f t="shared" si="2"/>
        <v/>
      </c>
      <c r="C117" s="29" t="str">
        <f>IF(Ingreso[Código de barras]=0,"",INDEX(Stock[n°CC],MATCH(Ingreso[Código de barras],Stock[Código de barras],0)))</f>
        <v/>
      </c>
      <c r="D117" s="29" t="str">
        <f>IF(Ingreso[Código de barras]=0,"",INDEX(Stock[Cliente],MATCH(Ingreso[Código de barras],Stock[Código de barras],0)))</f>
        <v/>
      </c>
      <c r="E117" s="41" t="str">
        <f>IF(Ingreso[Código de barras]=0,"",INDEX(Stock[Mes],MATCH(Ingreso[Código de barras],Stock[Código de barras],0)))</f>
        <v/>
      </c>
      <c r="F117" s="30" t="str">
        <f>IF(Ingreso[Código de barras]=0,"",INDEX(Stock[Detalle],MATCH(Ingreso[Código de barras],Stock[Código de barras],0)))</f>
        <v/>
      </c>
      <c r="G117" s="29" t="str">
        <f>IF(Ingreso[Código de barras]=0,"",INDEX(Stock[Matriz],MATCH(Ingreso[Código de barras],Stock[Código de barras],0)))</f>
        <v/>
      </c>
    </row>
    <row r="118" spans="1:7" x14ac:dyDescent="0.25">
      <c r="A118" s="31"/>
      <c r="B118" s="28" t="str">
        <f t="shared" si="2"/>
        <v/>
      </c>
      <c r="C118" s="29" t="str">
        <f>IF(Ingreso[Código de barras]=0,"",INDEX(Stock[n°CC],MATCH(Ingreso[Código de barras],Stock[Código de barras],0)))</f>
        <v/>
      </c>
      <c r="D118" s="29" t="str">
        <f>IF(Ingreso[Código de barras]=0,"",INDEX(Stock[Cliente],MATCH(Ingreso[Código de barras],Stock[Código de barras],0)))</f>
        <v/>
      </c>
      <c r="E118" s="41" t="str">
        <f>IF(Ingreso[Código de barras]=0,"",INDEX(Stock[Mes],MATCH(Ingreso[Código de barras],Stock[Código de barras],0)))</f>
        <v/>
      </c>
      <c r="F118" s="30" t="str">
        <f>IF(Ingreso[Código de barras]=0,"",INDEX(Stock[Detalle],MATCH(Ingreso[Código de barras],Stock[Código de barras],0)))</f>
        <v/>
      </c>
      <c r="G118" s="29" t="str">
        <f>IF(Ingreso[Código de barras]=0,"",INDEX(Stock[Matriz],MATCH(Ingreso[Código de barras],Stock[Código de barras],0)))</f>
        <v/>
      </c>
    </row>
    <row r="119" spans="1:7" x14ac:dyDescent="0.25">
      <c r="A119" s="31"/>
      <c r="B119" s="28" t="str">
        <f t="shared" si="2"/>
        <v/>
      </c>
      <c r="C119" s="29" t="str">
        <f>IF(Ingreso[Código de barras]=0,"",INDEX(Stock[n°CC],MATCH(Ingreso[Código de barras],Stock[Código de barras],0)))</f>
        <v/>
      </c>
      <c r="D119" s="29" t="str">
        <f>IF(Ingreso[Código de barras]=0,"",INDEX(Stock[Cliente],MATCH(Ingreso[Código de barras],Stock[Código de barras],0)))</f>
        <v/>
      </c>
      <c r="E119" s="41" t="str">
        <f>IF(Ingreso[Código de barras]=0,"",INDEX(Stock[Mes],MATCH(Ingreso[Código de barras],Stock[Código de barras],0)))</f>
        <v/>
      </c>
      <c r="F119" s="30" t="str">
        <f>IF(Ingreso[Código de barras]=0,"",INDEX(Stock[Detalle],MATCH(Ingreso[Código de barras],Stock[Código de barras],0)))</f>
        <v/>
      </c>
      <c r="G119" s="29" t="str">
        <f>IF(Ingreso[Código de barras]=0,"",INDEX(Stock[Matriz],MATCH(Ingreso[Código de barras],Stock[Código de barras],0)))</f>
        <v/>
      </c>
    </row>
    <row r="120" spans="1:7" x14ac:dyDescent="0.25">
      <c r="A120" s="31"/>
      <c r="B120" s="28" t="str">
        <f t="shared" si="2"/>
        <v/>
      </c>
      <c r="C120" s="29" t="str">
        <f>IF(Ingreso[Código de barras]=0,"",INDEX(Stock[n°CC],MATCH(Ingreso[Código de barras],Stock[Código de barras],0)))</f>
        <v/>
      </c>
      <c r="D120" s="29" t="str">
        <f>IF(Ingreso[Código de barras]=0,"",INDEX(Stock[Cliente],MATCH(Ingreso[Código de barras],Stock[Código de barras],0)))</f>
        <v/>
      </c>
      <c r="E120" s="41" t="str">
        <f>IF(Ingreso[Código de barras]=0,"",INDEX(Stock[Mes],MATCH(Ingreso[Código de barras],Stock[Código de barras],0)))</f>
        <v/>
      </c>
      <c r="F120" s="30" t="str">
        <f>IF(Ingreso[Código de barras]=0,"",INDEX(Stock[Detalle],MATCH(Ingreso[Código de barras],Stock[Código de barras],0)))</f>
        <v/>
      </c>
      <c r="G120" s="29" t="str">
        <f>IF(Ingreso[Código de barras]=0,"",INDEX(Stock[Matriz],MATCH(Ingreso[Código de barras],Stock[Código de barras],0)))</f>
        <v/>
      </c>
    </row>
    <row r="121" spans="1:7" x14ac:dyDescent="0.25">
      <c r="A121" s="31"/>
      <c r="B121" s="28" t="str">
        <f t="shared" si="2"/>
        <v/>
      </c>
      <c r="C121" s="29" t="str">
        <f>IF(Ingreso[Código de barras]=0,"",INDEX(Stock[n°CC],MATCH(Ingreso[Código de barras],Stock[Código de barras],0)))</f>
        <v/>
      </c>
      <c r="D121" s="29" t="str">
        <f>IF(Ingreso[Código de barras]=0,"",INDEX(Stock[Cliente],MATCH(Ingreso[Código de barras],Stock[Código de barras],0)))</f>
        <v/>
      </c>
      <c r="E121" s="41" t="str">
        <f>IF(Ingreso[Código de barras]=0,"",INDEX(Stock[Mes],MATCH(Ingreso[Código de barras],Stock[Código de barras],0)))</f>
        <v/>
      </c>
      <c r="F121" s="30" t="str">
        <f>IF(Ingreso[Código de barras]=0,"",INDEX(Stock[Detalle],MATCH(Ingreso[Código de barras],Stock[Código de barras],0)))</f>
        <v/>
      </c>
      <c r="G121" s="29" t="str">
        <f>IF(Ingreso[Código de barras]=0,"",INDEX(Stock[Matriz],MATCH(Ingreso[Código de barras],Stock[Código de barras],0)))</f>
        <v/>
      </c>
    </row>
    <row r="122" spans="1:7" x14ac:dyDescent="0.25">
      <c r="A122" s="31"/>
      <c r="B122" s="28" t="str">
        <f t="shared" si="2"/>
        <v/>
      </c>
      <c r="C122" s="29" t="str">
        <f>IF(Ingreso[Código de barras]=0,"",INDEX(Stock[n°CC],MATCH(Ingreso[Código de barras],Stock[Código de barras],0)))</f>
        <v/>
      </c>
      <c r="D122" s="29" t="str">
        <f>IF(Ingreso[Código de barras]=0,"",INDEX(Stock[Cliente],MATCH(Ingreso[Código de barras],Stock[Código de barras],0)))</f>
        <v/>
      </c>
      <c r="E122" s="41" t="str">
        <f>IF(Ingreso[Código de barras]=0,"",INDEX(Stock[Mes],MATCH(Ingreso[Código de barras],Stock[Código de barras],0)))</f>
        <v/>
      </c>
      <c r="F122" s="30" t="str">
        <f>IF(Ingreso[Código de barras]=0,"",INDEX(Stock[Detalle],MATCH(Ingreso[Código de barras],Stock[Código de barras],0)))</f>
        <v/>
      </c>
      <c r="G122" s="29" t="str">
        <f>IF(Ingreso[Código de barras]=0,"",INDEX(Stock[Matriz],MATCH(Ingreso[Código de barras],Stock[Código de barras],0)))</f>
        <v/>
      </c>
    </row>
    <row r="123" spans="1:7" x14ac:dyDescent="0.25">
      <c r="A123" s="31"/>
      <c r="B123" s="28" t="str">
        <f t="shared" si="2"/>
        <v/>
      </c>
      <c r="C123" s="29" t="str">
        <f>IF(Ingreso[Código de barras]=0,"",INDEX(Stock[n°CC],MATCH(Ingreso[Código de barras],Stock[Código de barras],0)))</f>
        <v/>
      </c>
      <c r="D123" s="29" t="str">
        <f>IF(Ingreso[Código de barras]=0,"",INDEX(Stock[Cliente],MATCH(Ingreso[Código de barras],Stock[Código de barras],0)))</f>
        <v/>
      </c>
      <c r="E123" s="41" t="str">
        <f>IF(Ingreso[Código de barras]=0,"",INDEX(Stock[Mes],MATCH(Ingreso[Código de barras],Stock[Código de barras],0)))</f>
        <v/>
      </c>
      <c r="F123" s="30" t="str">
        <f>IF(Ingreso[Código de barras]=0,"",INDEX(Stock[Detalle],MATCH(Ingreso[Código de barras],Stock[Código de barras],0)))</f>
        <v/>
      </c>
      <c r="G123" s="29" t="str">
        <f>IF(Ingreso[Código de barras]=0,"",INDEX(Stock[Matriz],MATCH(Ingreso[Código de barras],Stock[Código de barras],0)))</f>
        <v/>
      </c>
    </row>
    <row r="124" spans="1:7" x14ac:dyDescent="0.25">
      <c r="A124" s="31"/>
      <c r="B124" s="28" t="str">
        <f t="shared" si="2"/>
        <v/>
      </c>
      <c r="C124" s="29" t="str">
        <f>IF(Ingreso[Código de barras]=0,"",INDEX(Stock[n°CC],MATCH(Ingreso[Código de barras],Stock[Código de barras],0)))</f>
        <v/>
      </c>
      <c r="D124" s="29" t="str">
        <f>IF(Ingreso[Código de barras]=0,"",INDEX(Stock[Cliente],MATCH(Ingreso[Código de barras],Stock[Código de barras],0)))</f>
        <v/>
      </c>
      <c r="E124" s="41" t="str">
        <f>IF(Ingreso[Código de barras]=0,"",INDEX(Stock[Mes],MATCH(Ingreso[Código de barras],Stock[Código de barras],0)))</f>
        <v/>
      </c>
      <c r="F124" s="30" t="str">
        <f>IF(Ingreso[Código de barras]=0,"",INDEX(Stock[Detalle],MATCH(Ingreso[Código de barras],Stock[Código de barras],0)))</f>
        <v/>
      </c>
      <c r="G124" s="29" t="str">
        <f>IF(Ingreso[Código de barras]=0,"",INDEX(Stock[Matriz],MATCH(Ingreso[Código de barras],Stock[Código de barras],0)))</f>
        <v/>
      </c>
    </row>
    <row r="125" spans="1:7" x14ac:dyDescent="0.25">
      <c r="A125" s="31"/>
      <c r="B125" s="28" t="str">
        <f t="shared" si="2"/>
        <v/>
      </c>
      <c r="C125" s="29" t="str">
        <f>IF(Ingreso[Código de barras]=0,"",INDEX(Stock[n°CC],MATCH(Ingreso[Código de barras],Stock[Código de barras],0)))</f>
        <v/>
      </c>
      <c r="D125" s="29" t="str">
        <f>IF(Ingreso[Código de barras]=0,"",INDEX(Stock[Cliente],MATCH(Ingreso[Código de barras],Stock[Código de barras],0)))</f>
        <v/>
      </c>
      <c r="E125" s="41" t="str">
        <f>IF(Ingreso[Código de barras]=0,"",INDEX(Stock[Mes],MATCH(Ingreso[Código de barras],Stock[Código de barras],0)))</f>
        <v/>
      </c>
      <c r="F125" s="30" t="str">
        <f>IF(Ingreso[Código de barras]=0,"",INDEX(Stock[Detalle],MATCH(Ingreso[Código de barras],Stock[Código de barras],0)))</f>
        <v/>
      </c>
      <c r="G125" s="29" t="str">
        <f>IF(Ingreso[Código de barras]=0,"",INDEX(Stock[Matriz],MATCH(Ingreso[Código de barras],Stock[Código de barras],0)))</f>
        <v/>
      </c>
    </row>
    <row r="126" spans="1:7" x14ac:dyDescent="0.25">
      <c r="A126" s="31"/>
      <c r="B126" s="28" t="str">
        <f t="shared" si="2"/>
        <v/>
      </c>
      <c r="C126" s="29" t="str">
        <f>IF(Ingreso[Código de barras]=0,"",INDEX(Stock[n°CC],MATCH(Ingreso[Código de barras],Stock[Código de barras],0)))</f>
        <v/>
      </c>
      <c r="D126" s="29" t="str">
        <f>IF(Ingreso[Código de barras]=0,"",INDEX(Stock[Cliente],MATCH(Ingreso[Código de barras],Stock[Código de barras],0)))</f>
        <v/>
      </c>
      <c r="E126" s="41" t="str">
        <f>IF(Ingreso[Código de barras]=0,"",INDEX(Stock[Mes],MATCH(Ingreso[Código de barras],Stock[Código de barras],0)))</f>
        <v/>
      </c>
      <c r="F126" s="30" t="str">
        <f>IF(Ingreso[Código de barras]=0,"",INDEX(Stock[Detalle],MATCH(Ingreso[Código de barras],Stock[Código de barras],0)))</f>
        <v/>
      </c>
      <c r="G126" s="29" t="str">
        <f>IF(Ingreso[Código de barras]=0,"",INDEX(Stock[Matriz],MATCH(Ingreso[Código de barras],Stock[Código de barras],0)))</f>
        <v/>
      </c>
    </row>
    <row r="127" spans="1:7" x14ac:dyDescent="0.25">
      <c r="A127" s="31"/>
      <c r="B127" s="28" t="str">
        <f t="shared" si="2"/>
        <v/>
      </c>
      <c r="C127" s="29" t="str">
        <f>IF(Ingreso[Código de barras]=0,"",INDEX(Stock[n°CC],MATCH(Ingreso[Código de barras],Stock[Código de barras],0)))</f>
        <v/>
      </c>
      <c r="D127" s="29" t="str">
        <f>IF(Ingreso[Código de barras]=0,"",INDEX(Stock[Cliente],MATCH(Ingreso[Código de barras],Stock[Código de barras],0)))</f>
        <v/>
      </c>
      <c r="E127" s="41" t="str">
        <f>IF(Ingreso[Código de barras]=0,"",INDEX(Stock[Mes],MATCH(Ingreso[Código de barras],Stock[Código de barras],0)))</f>
        <v/>
      </c>
      <c r="F127" s="30" t="str">
        <f>IF(Ingreso[Código de barras]=0,"",INDEX(Stock[Detalle],MATCH(Ingreso[Código de barras],Stock[Código de barras],0)))</f>
        <v/>
      </c>
      <c r="G127" s="29" t="str">
        <f>IF(Ingreso[Código de barras]=0,"",INDEX(Stock[Matriz],MATCH(Ingreso[Código de barras],Stock[Código de barras],0)))</f>
        <v/>
      </c>
    </row>
    <row r="128" spans="1:7" x14ac:dyDescent="0.25">
      <c r="A128" s="31"/>
      <c r="B128" s="28" t="str">
        <f t="shared" si="2"/>
        <v/>
      </c>
      <c r="C128" s="29" t="str">
        <f>IF(Ingreso[Código de barras]=0,"",INDEX(Stock[n°CC],MATCH(Ingreso[Código de barras],Stock[Código de barras],0)))</f>
        <v/>
      </c>
      <c r="D128" s="29" t="str">
        <f>IF(Ingreso[Código de barras]=0,"",INDEX(Stock[Cliente],MATCH(Ingreso[Código de barras],Stock[Código de barras],0)))</f>
        <v/>
      </c>
      <c r="E128" s="41" t="str">
        <f>IF(Ingreso[Código de barras]=0,"",INDEX(Stock[Mes],MATCH(Ingreso[Código de barras],Stock[Código de barras],0)))</f>
        <v/>
      </c>
      <c r="F128" s="30" t="str">
        <f>IF(Ingreso[Código de barras]=0,"",INDEX(Stock[Detalle],MATCH(Ingreso[Código de barras],Stock[Código de barras],0)))</f>
        <v/>
      </c>
      <c r="G128" s="29" t="str">
        <f>IF(Ingreso[Código de barras]=0,"",INDEX(Stock[Matriz],MATCH(Ingreso[Código de barras],Stock[Código de barras],0)))</f>
        <v/>
      </c>
    </row>
    <row r="129" spans="1:7" x14ac:dyDescent="0.25">
      <c r="A129" s="31"/>
      <c r="B129" s="28" t="str">
        <f t="shared" si="2"/>
        <v/>
      </c>
      <c r="C129" s="29" t="str">
        <f>IF(Ingreso[Código de barras]=0,"",INDEX(Stock[n°CC],MATCH(Ingreso[Código de barras],Stock[Código de barras],0)))</f>
        <v/>
      </c>
      <c r="D129" s="29" t="str">
        <f>IF(Ingreso[Código de barras]=0,"",INDEX(Stock[Cliente],MATCH(Ingreso[Código de barras],Stock[Código de barras],0)))</f>
        <v/>
      </c>
      <c r="E129" s="41" t="str">
        <f>IF(Ingreso[Código de barras]=0,"",INDEX(Stock[Mes],MATCH(Ingreso[Código de barras],Stock[Código de barras],0)))</f>
        <v/>
      </c>
      <c r="F129" s="30" t="str">
        <f>IF(Ingreso[Código de barras]=0,"",INDEX(Stock[Detalle],MATCH(Ingreso[Código de barras],Stock[Código de barras],0)))</f>
        <v/>
      </c>
      <c r="G129" s="29" t="str">
        <f>IF(Ingreso[Código de barras]=0,"",INDEX(Stock[Matriz],MATCH(Ingreso[Código de barras],Stock[Código de barras],0)))</f>
        <v/>
      </c>
    </row>
    <row r="130" spans="1:7" x14ac:dyDescent="0.25">
      <c r="A130" s="31"/>
      <c r="B130" s="28" t="str">
        <f t="shared" si="2"/>
        <v/>
      </c>
      <c r="C130" s="29" t="str">
        <f>IF(Ingreso[Código de barras]=0,"",INDEX(Stock[n°CC],MATCH(Ingreso[Código de barras],Stock[Código de barras],0)))</f>
        <v/>
      </c>
      <c r="D130" s="29" t="str">
        <f>IF(Ingreso[Código de barras]=0,"",INDEX(Stock[Cliente],MATCH(Ingreso[Código de barras],Stock[Código de barras],0)))</f>
        <v/>
      </c>
      <c r="E130" s="41" t="str">
        <f>IF(Ingreso[Código de barras]=0,"",INDEX(Stock[Mes],MATCH(Ingreso[Código de barras],Stock[Código de barras],0)))</f>
        <v/>
      </c>
      <c r="F130" s="30" t="str">
        <f>IF(Ingreso[Código de barras]=0,"",INDEX(Stock[Detalle],MATCH(Ingreso[Código de barras],Stock[Código de barras],0)))</f>
        <v/>
      </c>
      <c r="G130" s="29" t="str">
        <f>IF(Ingreso[Código de barras]=0,"",INDEX(Stock[Matriz],MATCH(Ingreso[Código de barras],Stock[Código de barras],0)))</f>
        <v/>
      </c>
    </row>
    <row r="131" spans="1:7" x14ac:dyDescent="0.25">
      <c r="A131" s="31"/>
      <c r="B131" s="28" t="str">
        <f t="shared" si="2"/>
        <v/>
      </c>
      <c r="C131" s="29" t="str">
        <f>IF(Ingreso[Código de barras]=0,"",INDEX(Stock[n°CC],MATCH(Ingreso[Código de barras],Stock[Código de barras],0)))</f>
        <v/>
      </c>
      <c r="D131" s="29" t="str">
        <f>IF(Ingreso[Código de barras]=0,"",INDEX(Stock[Cliente],MATCH(Ingreso[Código de barras],Stock[Código de barras],0)))</f>
        <v/>
      </c>
      <c r="E131" s="41" t="str">
        <f>IF(Ingreso[Código de barras]=0,"",INDEX(Stock[Mes],MATCH(Ingreso[Código de barras],Stock[Código de barras],0)))</f>
        <v/>
      </c>
      <c r="F131" s="30" t="str">
        <f>IF(Ingreso[Código de barras]=0,"",INDEX(Stock[Detalle],MATCH(Ingreso[Código de barras],Stock[Código de barras],0)))</f>
        <v/>
      </c>
      <c r="G131" s="29" t="str">
        <f>IF(Ingreso[Código de barras]=0,"",INDEX(Stock[Matriz],MATCH(Ingreso[Código de barras],Stock[Código de barras],0)))</f>
        <v/>
      </c>
    </row>
    <row r="132" spans="1:7" x14ac:dyDescent="0.25">
      <c r="A132" s="31"/>
      <c r="B132" s="28" t="str">
        <f t="shared" si="2"/>
        <v/>
      </c>
      <c r="C132" s="29" t="str">
        <f>IF(Ingreso[Código de barras]=0,"",INDEX(Stock[n°CC],MATCH(Ingreso[Código de barras],Stock[Código de barras],0)))</f>
        <v/>
      </c>
      <c r="D132" s="29" t="str">
        <f>IF(Ingreso[Código de barras]=0,"",INDEX(Stock[Cliente],MATCH(Ingreso[Código de barras],Stock[Código de barras],0)))</f>
        <v/>
      </c>
      <c r="E132" s="41" t="str">
        <f>IF(Ingreso[Código de barras]=0,"",INDEX(Stock[Mes],MATCH(Ingreso[Código de barras],Stock[Código de barras],0)))</f>
        <v/>
      </c>
      <c r="F132" s="30" t="str">
        <f>IF(Ingreso[Código de barras]=0,"",INDEX(Stock[Detalle],MATCH(Ingreso[Código de barras],Stock[Código de barras],0)))</f>
        <v/>
      </c>
      <c r="G132" s="29" t="str">
        <f>IF(Ingreso[Código de barras]=0,"",INDEX(Stock[Matriz],MATCH(Ingreso[Código de barras],Stock[Código de barras],0)))</f>
        <v/>
      </c>
    </row>
    <row r="133" spans="1:7" x14ac:dyDescent="0.25">
      <c r="A133" s="31"/>
      <c r="B133" s="28" t="str">
        <f t="shared" si="2"/>
        <v/>
      </c>
      <c r="C133" s="29" t="str">
        <f>IF(Ingreso[Código de barras]=0,"",INDEX(Stock[n°CC],MATCH(Ingreso[Código de barras],Stock[Código de barras],0)))</f>
        <v/>
      </c>
      <c r="D133" s="29" t="str">
        <f>IF(Ingreso[Código de barras]=0,"",INDEX(Stock[Cliente],MATCH(Ingreso[Código de barras],Stock[Código de barras],0)))</f>
        <v/>
      </c>
      <c r="E133" s="41" t="str">
        <f>IF(Ingreso[Código de barras]=0,"",INDEX(Stock[Mes],MATCH(Ingreso[Código de barras],Stock[Código de barras],0)))</f>
        <v/>
      </c>
      <c r="F133" s="30" t="str">
        <f>IF(Ingreso[Código de barras]=0,"",INDEX(Stock[Detalle],MATCH(Ingreso[Código de barras],Stock[Código de barras],0)))</f>
        <v/>
      </c>
      <c r="G133" s="29" t="str">
        <f>IF(Ingreso[Código de barras]=0,"",INDEX(Stock[Matriz],MATCH(Ingreso[Código de barras],Stock[Código de barras],0)))</f>
        <v/>
      </c>
    </row>
    <row r="134" spans="1:7" x14ac:dyDescent="0.25">
      <c r="A134" s="31"/>
      <c r="B134" s="28" t="str">
        <f t="shared" si="2"/>
        <v/>
      </c>
      <c r="C134" s="29" t="str">
        <f>IF(Ingreso[Código de barras]=0,"",INDEX(Stock[n°CC],MATCH(Ingreso[Código de barras],Stock[Código de barras],0)))</f>
        <v/>
      </c>
      <c r="D134" s="29" t="str">
        <f>IF(Ingreso[Código de barras]=0,"",INDEX(Stock[Cliente],MATCH(Ingreso[Código de barras],Stock[Código de barras],0)))</f>
        <v/>
      </c>
      <c r="E134" s="41" t="str">
        <f>IF(Ingreso[Código de barras]=0,"",INDEX(Stock[Mes],MATCH(Ingreso[Código de barras],Stock[Código de barras],0)))</f>
        <v/>
      </c>
      <c r="F134" s="30" t="str">
        <f>IF(Ingreso[Código de barras]=0,"",INDEX(Stock[Detalle],MATCH(Ingreso[Código de barras],Stock[Código de barras],0)))</f>
        <v/>
      </c>
      <c r="G134" s="29" t="str">
        <f>IF(Ingreso[Código de barras]=0,"",INDEX(Stock[Matriz],MATCH(Ingreso[Código de barras],Stock[Código de barras],0)))</f>
        <v/>
      </c>
    </row>
    <row r="135" spans="1:7" x14ac:dyDescent="0.25">
      <c r="A135" s="31"/>
      <c r="B135" s="28" t="str">
        <f t="shared" si="2"/>
        <v/>
      </c>
      <c r="C135" s="29" t="str">
        <f>IF(Ingreso[Código de barras]=0,"",INDEX(Stock[n°CC],MATCH(Ingreso[Código de barras],Stock[Código de barras],0)))</f>
        <v/>
      </c>
      <c r="D135" s="29" t="str">
        <f>IF(Ingreso[Código de barras]=0,"",INDEX(Stock[Cliente],MATCH(Ingreso[Código de barras],Stock[Código de barras],0)))</f>
        <v/>
      </c>
      <c r="E135" s="41" t="str">
        <f>IF(Ingreso[Código de barras]=0,"",INDEX(Stock[Mes],MATCH(Ingreso[Código de barras],Stock[Código de barras],0)))</f>
        <v/>
      </c>
      <c r="F135" s="30" t="str">
        <f>IF(Ingreso[Código de barras]=0,"",INDEX(Stock[Detalle],MATCH(Ingreso[Código de barras],Stock[Código de barras],0)))</f>
        <v/>
      </c>
      <c r="G135" s="29" t="str">
        <f>IF(Ingreso[Código de barras]=0,"",INDEX(Stock[Matriz],MATCH(Ingreso[Código de barras],Stock[Código de barras],0)))</f>
        <v/>
      </c>
    </row>
    <row r="136" spans="1:7" x14ac:dyDescent="0.25">
      <c r="A136" s="31"/>
      <c r="B136" s="28" t="str">
        <f t="shared" si="2"/>
        <v/>
      </c>
      <c r="C136" s="29" t="str">
        <f>IF(Ingreso[Código de barras]=0,"",INDEX(Stock[n°CC],MATCH(Ingreso[Código de barras],Stock[Código de barras],0)))</f>
        <v/>
      </c>
      <c r="D136" s="29" t="str">
        <f>IF(Ingreso[Código de barras]=0,"",INDEX(Stock[Cliente],MATCH(Ingreso[Código de barras],Stock[Código de barras],0)))</f>
        <v/>
      </c>
      <c r="E136" s="41" t="str">
        <f>IF(Ingreso[Código de barras]=0,"",INDEX(Stock[Mes],MATCH(Ingreso[Código de barras],Stock[Código de barras],0)))</f>
        <v/>
      </c>
      <c r="F136" s="30" t="str">
        <f>IF(Ingreso[Código de barras]=0,"",INDEX(Stock[Detalle],MATCH(Ingreso[Código de barras],Stock[Código de barras],0)))</f>
        <v/>
      </c>
      <c r="G136" s="29" t="str">
        <f>IF(Ingreso[Código de barras]=0,"",INDEX(Stock[Matriz],MATCH(Ingreso[Código de barras],Stock[Código de barras],0)))</f>
        <v/>
      </c>
    </row>
    <row r="137" spans="1:7" x14ac:dyDescent="0.25">
      <c r="A137" s="31"/>
      <c r="B137" s="28" t="str">
        <f t="shared" si="2"/>
        <v/>
      </c>
      <c r="C137" s="29" t="str">
        <f>IF(Ingreso[Código de barras]=0,"",INDEX(Stock[n°CC],MATCH(Ingreso[Código de barras],Stock[Código de barras],0)))</f>
        <v/>
      </c>
      <c r="D137" s="29" t="str">
        <f>IF(Ingreso[Código de barras]=0,"",INDEX(Stock[Cliente],MATCH(Ingreso[Código de barras],Stock[Código de barras],0)))</f>
        <v/>
      </c>
      <c r="E137" s="41" t="str">
        <f>IF(Ingreso[Código de barras]=0,"",INDEX(Stock[Mes],MATCH(Ingreso[Código de barras],Stock[Código de barras],0)))</f>
        <v/>
      </c>
      <c r="F137" s="30" t="str">
        <f>IF(Ingreso[Código de barras]=0,"",INDEX(Stock[Detalle],MATCH(Ingreso[Código de barras],Stock[Código de barras],0)))</f>
        <v/>
      </c>
      <c r="G137" s="29" t="str">
        <f>IF(Ingreso[Código de barras]=0,"",INDEX(Stock[Matriz],MATCH(Ingreso[Código de barras],Stock[Código de barras],0)))</f>
        <v/>
      </c>
    </row>
    <row r="138" spans="1:7" x14ac:dyDescent="0.25">
      <c r="A138" s="31"/>
      <c r="B138" s="28" t="str">
        <f t="shared" si="2"/>
        <v/>
      </c>
      <c r="C138" s="29" t="str">
        <f>IF(Ingreso[Código de barras]=0,"",INDEX(Stock[n°CC],MATCH(Ingreso[Código de barras],Stock[Código de barras],0)))</f>
        <v/>
      </c>
      <c r="D138" s="29" t="str">
        <f>IF(Ingreso[Código de barras]=0,"",INDEX(Stock[Cliente],MATCH(Ingreso[Código de barras],Stock[Código de barras],0)))</f>
        <v/>
      </c>
      <c r="E138" s="41" t="str">
        <f>IF(Ingreso[Código de barras]=0,"",INDEX(Stock[Mes],MATCH(Ingreso[Código de barras],Stock[Código de barras],0)))</f>
        <v/>
      </c>
      <c r="F138" s="30" t="str">
        <f>IF(Ingreso[Código de barras]=0,"",INDEX(Stock[Detalle],MATCH(Ingreso[Código de barras],Stock[Código de barras],0)))</f>
        <v/>
      </c>
      <c r="G138" s="29" t="str">
        <f>IF(Ingreso[Código de barras]=0,"",INDEX(Stock[Matriz],MATCH(Ingreso[Código de barras],Stock[Código de barras],0)))</f>
        <v/>
      </c>
    </row>
    <row r="139" spans="1:7" x14ac:dyDescent="0.25">
      <c r="A139" s="31"/>
      <c r="B139" s="28" t="str">
        <f t="shared" si="2"/>
        <v/>
      </c>
      <c r="C139" s="29" t="str">
        <f>IF(Ingreso[Código de barras]=0,"",INDEX(Stock[n°CC],MATCH(Ingreso[Código de barras],Stock[Código de barras],0)))</f>
        <v/>
      </c>
      <c r="D139" s="29" t="str">
        <f>IF(Ingreso[Código de barras]=0,"",INDEX(Stock[Cliente],MATCH(Ingreso[Código de barras],Stock[Código de barras],0)))</f>
        <v/>
      </c>
      <c r="E139" s="41" t="str">
        <f>IF(Ingreso[Código de barras]=0,"",INDEX(Stock[Mes],MATCH(Ingreso[Código de barras],Stock[Código de barras],0)))</f>
        <v/>
      </c>
      <c r="F139" s="30" t="str">
        <f>IF(Ingreso[Código de barras]=0,"",INDEX(Stock[Detalle],MATCH(Ingreso[Código de barras],Stock[Código de barras],0)))</f>
        <v/>
      </c>
      <c r="G139" s="29" t="str">
        <f>IF(Ingreso[Código de barras]=0,"",INDEX(Stock[Matriz],MATCH(Ingreso[Código de barras],Stock[Código de barras],0)))</f>
        <v/>
      </c>
    </row>
    <row r="140" spans="1:7" x14ac:dyDescent="0.25">
      <c r="A140" s="31"/>
      <c r="B140" s="28" t="str">
        <f t="shared" ref="B140:B200" si="3">IF(A140=0,"",1)</f>
        <v/>
      </c>
      <c r="C140" s="29" t="str">
        <f>IF(Ingreso[Código de barras]=0,"",INDEX(Stock[n°CC],MATCH(Ingreso[Código de barras],Stock[Código de barras],0)))</f>
        <v/>
      </c>
      <c r="D140" s="29" t="str">
        <f>IF(Ingreso[Código de barras]=0,"",INDEX(Stock[Cliente],MATCH(Ingreso[Código de barras],Stock[Código de barras],0)))</f>
        <v/>
      </c>
      <c r="E140" s="41" t="str">
        <f>IF(Ingreso[Código de barras]=0,"",INDEX(Stock[Mes],MATCH(Ingreso[Código de barras],Stock[Código de barras],0)))</f>
        <v/>
      </c>
      <c r="F140" s="30" t="str">
        <f>IF(Ingreso[Código de barras]=0,"",INDEX(Stock[Detalle],MATCH(Ingreso[Código de barras],Stock[Código de barras],0)))</f>
        <v/>
      </c>
      <c r="G140" s="29" t="str">
        <f>IF(Ingreso[Código de barras]=0,"",INDEX(Stock[Matriz],MATCH(Ingreso[Código de barras],Stock[Código de barras],0)))</f>
        <v/>
      </c>
    </row>
    <row r="141" spans="1:7" x14ac:dyDescent="0.25">
      <c r="A141" s="31"/>
      <c r="B141" s="28" t="str">
        <f t="shared" si="3"/>
        <v/>
      </c>
      <c r="C141" s="29" t="str">
        <f>IF(Ingreso[Código de barras]=0,"",INDEX(Stock[n°CC],MATCH(Ingreso[Código de barras],Stock[Código de barras],0)))</f>
        <v/>
      </c>
      <c r="D141" s="29" t="str">
        <f>IF(Ingreso[Código de barras]=0,"",INDEX(Stock[Cliente],MATCH(Ingreso[Código de barras],Stock[Código de barras],0)))</f>
        <v/>
      </c>
      <c r="E141" s="41" t="str">
        <f>IF(Ingreso[Código de barras]=0,"",INDEX(Stock[Mes],MATCH(Ingreso[Código de barras],Stock[Código de barras],0)))</f>
        <v/>
      </c>
      <c r="F141" s="30" t="str">
        <f>IF(Ingreso[Código de barras]=0,"",INDEX(Stock[Detalle],MATCH(Ingreso[Código de barras],Stock[Código de barras],0)))</f>
        <v/>
      </c>
      <c r="G141" s="29" t="str">
        <f>IF(Ingreso[Código de barras]=0,"",INDEX(Stock[Matriz],MATCH(Ingreso[Código de barras],Stock[Código de barras],0)))</f>
        <v/>
      </c>
    </row>
    <row r="142" spans="1:7" x14ac:dyDescent="0.25">
      <c r="A142" s="31"/>
      <c r="B142" s="28" t="str">
        <f t="shared" si="3"/>
        <v/>
      </c>
      <c r="C142" s="29" t="str">
        <f>IF(Ingreso[Código de barras]=0,"",INDEX(Stock[n°CC],MATCH(Ingreso[Código de barras],Stock[Código de barras],0)))</f>
        <v/>
      </c>
      <c r="D142" s="29" t="str">
        <f>IF(Ingreso[Código de barras]=0,"",INDEX(Stock[Cliente],MATCH(Ingreso[Código de barras],Stock[Código de barras],0)))</f>
        <v/>
      </c>
      <c r="E142" s="41" t="str">
        <f>IF(Ingreso[Código de barras]=0,"",INDEX(Stock[Mes],MATCH(Ingreso[Código de barras],Stock[Código de barras],0)))</f>
        <v/>
      </c>
      <c r="F142" s="30" t="str">
        <f>IF(Ingreso[Código de barras]=0,"",INDEX(Stock[Detalle],MATCH(Ingreso[Código de barras],Stock[Código de barras],0)))</f>
        <v/>
      </c>
      <c r="G142" s="29" t="str">
        <f>IF(Ingreso[Código de barras]=0,"",INDEX(Stock[Matriz],MATCH(Ingreso[Código de barras],Stock[Código de barras],0)))</f>
        <v/>
      </c>
    </row>
    <row r="143" spans="1:7" x14ac:dyDescent="0.25">
      <c r="A143" s="31"/>
      <c r="B143" s="28" t="str">
        <f t="shared" si="3"/>
        <v/>
      </c>
      <c r="C143" s="29" t="str">
        <f>IF(Ingreso[Código de barras]=0,"",INDEX(Stock[n°CC],MATCH(Ingreso[Código de barras],Stock[Código de barras],0)))</f>
        <v/>
      </c>
      <c r="D143" s="29" t="str">
        <f>IF(Ingreso[Código de barras]=0,"",INDEX(Stock[Cliente],MATCH(Ingreso[Código de barras],Stock[Código de barras],0)))</f>
        <v/>
      </c>
      <c r="E143" s="41" t="str">
        <f>IF(Ingreso[Código de barras]=0,"",INDEX(Stock[Mes],MATCH(Ingreso[Código de barras],Stock[Código de barras],0)))</f>
        <v/>
      </c>
      <c r="F143" s="30" t="str">
        <f>IF(Ingreso[Código de barras]=0,"",INDEX(Stock[Detalle],MATCH(Ingreso[Código de barras],Stock[Código de barras],0)))</f>
        <v/>
      </c>
      <c r="G143" s="29" t="str">
        <f>IF(Ingreso[Código de barras]=0,"",INDEX(Stock[Matriz],MATCH(Ingreso[Código de barras],Stock[Código de barras],0)))</f>
        <v/>
      </c>
    </row>
    <row r="144" spans="1:7" x14ac:dyDescent="0.25">
      <c r="A144" s="31"/>
      <c r="B144" s="28" t="str">
        <f t="shared" si="3"/>
        <v/>
      </c>
      <c r="C144" s="29" t="str">
        <f>IF(Ingreso[Código de barras]=0,"",INDEX(Stock[n°CC],MATCH(Ingreso[Código de barras],Stock[Código de barras],0)))</f>
        <v/>
      </c>
      <c r="D144" s="29" t="str">
        <f>IF(Ingreso[Código de barras]=0,"",INDEX(Stock[Cliente],MATCH(Ingreso[Código de barras],Stock[Código de barras],0)))</f>
        <v/>
      </c>
      <c r="E144" s="41" t="str">
        <f>IF(Ingreso[Código de barras]=0,"",INDEX(Stock[Mes],MATCH(Ingreso[Código de barras],Stock[Código de barras],0)))</f>
        <v/>
      </c>
      <c r="F144" s="30" t="str">
        <f>IF(Ingreso[Código de barras]=0,"",INDEX(Stock[Detalle],MATCH(Ingreso[Código de barras],Stock[Código de barras],0)))</f>
        <v/>
      </c>
      <c r="G144" s="29" t="str">
        <f>IF(Ingreso[Código de barras]=0,"",INDEX(Stock[Matriz],MATCH(Ingreso[Código de barras],Stock[Código de barras],0)))</f>
        <v/>
      </c>
    </row>
    <row r="145" spans="1:7" x14ac:dyDescent="0.25">
      <c r="A145" s="31"/>
      <c r="B145" s="28" t="str">
        <f t="shared" si="3"/>
        <v/>
      </c>
      <c r="C145" s="29" t="str">
        <f>IF(Ingreso[Código de barras]=0,"",INDEX(Stock[n°CC],MATCH(Ingreso[Código de barras],Stock[Código de barras],0)))</f>
        <v/>
      </c>
      <c r="D145" s="29" t="str">
        <f>IF(Ingreso[Código de barras]=0,"",INDEX(Stock[Cliente],MATCH(Ingreso[Código de barras],Stock[Código de barras],0)))</f>
        <v/>
      </c>
      <c r="E145" s="41" t="str">
        <f>IF(Ingreso[Código de barras]=0,"",INDEX(Stock[Mes],MATCH(Ingreso[Código de barras],Stock[Código de barras],0)))</f>
        <v/>
      </c>
      <c r="F145" s="30" t="str">
        <f>IF(Ingreso[Código de barras]=0,"",INDEX(Stock[Detalle],MATCH(Ingreso[Código de barras],Stock[Código de barras],0)))</f>
        <v/>
      </c>
      <c r="G145" s="29" t="str">
        <f>IF(Ingreso[Código de barras]=0,"",INDEX(Stock[Matriz],MATCH(Ingreso[Código de barras],Stock[Código de barras],0)))</f>
        <v/>
      </c>
    </row>
    <row r="146" spans="1:7" x14ac:dyDescent="0.25">
      <c r="A146" s="31"/>
      <c r="B146" s="28" t="str">
        <f t="shared" si="3"/>
        <v/>
      </c>
      <c r="C146" s="29" t="str">
        <f>IF(Ingreso[Código de barras]=0,"",INDEX(Stock[n°CC],MATCH(Ingreso[Código de barras],Stock[Código de barras],0)))</f>
        <v/>
      </c>
      <c r="D146" s="29" t="str">
        <f>IF(Ingreso[Código de barras]=0,"",INDEX(Stock[Cliente],MATCH(Ingreso[Código de barras],Stock[Código de barras],0)))</f>
        <v/>
      </c>
      <c r="E146" s="41" t="str">
        <f>IF(Ingreso[Código de barras]=0,"",INDEX(Stock[Mes],MATCH(Ingreso[Código de barras],Stock[Código de barras],0)))</f>
        <v/>
      </c>
      <c r="F146" s="30" t="str">
        <f>IF(Ingreso[Código de barras]=0,"",INDEX(Stock[Detalle],MATCH(Ingreso[Código de barras],Stock[Código de barras],0)))</f>
        <v/>
      </c>
      <c r="G146" s="29" t="str">
        <f>IF(Ingreso[Código de barras]=0,"",INDEX(Stock[Matriz],MATCH(Ingreso[Código de barras],Stock[Código de barras],0)))</f>
        <v/>
      </c>
    </row>
    <row r="147" spans="1:7" x14ac:dyDescent="0.25">
      <c r="A147" s="31"/>
      <c r="B147" s="28" t="str">
        <f t="shared" si="3"/>
        <v/>
      </c>
      <c r="C147" s="29" t="str">
        <f>IF(Ingreso[Código de barras]=0,"",INDEX(Stock[n°CC],MATCH(Ingreso[Código de barras],Stock[Código de barras],0)))</f>
        <v/>
      </c>
      <c r="D147" s="29" t="str">
        <f>IF(Ingreso[Código de barras]=0,"",INDEX(Stock[Cliente],MATCH(Ingreso[Código de barras],Stock[Código de barras],0)))</f>
        <v/>
      </c>
      <c r="E147" s="41" t="str">
        <f>IF(Ingreso[Código de barras]=0,"",INDEX(Stock[Mes],MATCH(Ingreso[Código de barras],Stock[Código de barras],0)))</f>
        <v/>
      </c>
      <c r="F147" s="30" t="str">
        <f>IF(Ingreso[Código de barras]=0,"",INDEX(Stock[Detalle],MATCH(Ingreso[Código de barras],Stock[Código de barras],0)))</f>
        <v/>
      </c>
      <c r="G147" s="29" t="str">
        <f>IF(Ingreso[Código de barras]=0,"",INDEX(Stock[Matriz],MATCH(Ingreso[Código de barras],Stock[Código de barras],0)))</f>
        <v/>
      </c>
    </row>
    <row r="148" spans="1:7" x14ac:dyDescent="0.25">
      <c r="A148" s="31"/>
      <c r="B148" s="28" t="str">
        <f t="shared" si="3"/>
        <v/>
      </c>
      <c r="C148" s="29" t="str">
        <f>IF(Ingreso[Código de barras]=0,"",INDEX(Stock[n°CC],MATCH(Ingreso[Código de barras],Stock[Código de barras],0)))</f>
        <v/>
      </c>
      <c r="D148" s="29" t="str">
        <f>IF(Ingreso[Código de barras]=0,"",INDEX(Stock[Cliente],MATCH(Ingreso[Código de barras],Stock[Código de barras],0)))</f>
        <v/>
      </c>
      <c r="E148" s="41" t="str">
        <f>IF(Ingreso[Código de barras]=0,"",INDEX(Stock[Mes],MATCH(Ingreso[Código de barras],Stock[Código de barras],0)))</f>
        <v/>
      </c>
      <c r="F148" s="30" t="str">
        <f>IF(Ingreso[Código de barras]=0,"",INDEX(Stock[Detalle],MATCH(Ingreso[Código de barras],Stock[Código de barras],0)))</f>
        <v/>
      </c>
      <c r="G148" s="29" t="str">
        <f>IF(Ingreso[Código de barras]=0,"",INDEX(Stock[Matriz],MATCH(Ingreso[Código de barras],Stock[Código de barras],0)))</f>
        <v/>
      </c>
    </row>
    <row r="149" spans="1:7" x14ac:dyDescent="0.25">
      <c r="A149" s="31"/>
      <c r="B149" s="28" t="str">
        <f t="shared" si="3"/>
        <v/>
      </c>
      <c r="C149" s="29" t="str">
        <f>IF(Ingreso[Código de barras]=0,"",INDEX(Stock[n°CC],MATCH(Ingreso[Código de barras],Stock[Código de barras],0)))</f>
        <v/>
      </c>
      <c r="D149" s="29" t="str">
        <f>IF(Ingreso[Código de barras]=0,"",INDEX(Stock[Cliente],MATCH(Ingreso[Código de barras],Stock[Código de barras],0)))</f>
        <v/>
      </c>
      <c r="E149" s="41" t="str">
        <f>IF(Ingreso[Código de barras]=0,"",INDEX(Stock[Mes],MATCH(Ingreso[Código de barras],Stock[Código de barras],0)))</f>
        <v/>
      </c>
      <c r="F149" s="30" t="str">
        <f>IF(Ingreso[Código de barras]=0,"",INDEX(Stock[Detalle],MATCH(Ingreso[Código de barras],Stock[Código de barras],0)))</f>
        <v/>
      </c>
      <c r="G149" s="29" t="str">
        <f>IF(Ingreso[Código de barras]=0,"",INDEX(Stock[Matriz],MATCH(Ingreso[Código de barras],Stock[Código de barras],0)))</f>
        <v/>
      </c>
    </row>
    <row r="150" spans="1:7" x14ac:dyDescent="0.25">
      <c r="A150" s="31"/>
      <c r="B150" s="28" t="str">
        <f t="shared" si="3"/>
        <v/>
      </c>
      <c r="C150" s="29" t="str">
        <f>IF(Ingreso[Código de barras]=0,"",INDEX(Stock[n°CC],MATCH(Ingreso[Código de barras],Stock[Código de barras],0)))</f>
        <v/>
      </c>
      <c r="D150" s="29" t="str">
        <f>IF(Ingreso[Código de barras]=0,"",INDEX(Stock[Cliente],MATCH(Ingreso[Código de barras],Stock[Código de barras],0)))</f>
        <v/>
      </c>
      <c r="E150" s="41" t="str">
        <f>IF(Ingreso[Código de barras]=0,"",INDEX(Stock[Mes],MATCH(Ingreso[Código de barras],Stock[Código de barras],0)))</f>
        <v/>
      </c>
      <c r="F150" s="30" t="str">
        <f>IF(Ingreso[Código de barras]=0,"",INDEX(Stock[Detalle],MATCH(Ingreso[Código de barras],Stock[Código de barras],0)))</f>
        <v/>
      </c>
      <c r="G150" s="29" t="str">
        <f>IF(Ingreso[Código de barras]=0,"",INDEX(Stock[Matriz],MATCH(Ingreso[Código de barras],Stock[Código de barras],0)))</f>
        <v/>
      </c>
    </row>
    <row r="151" spans="1:7" x14ac:dyDescent="0.25">
      <c r="A151" s="31"/>
      <c r="B151" s="28" t="str">
        <f t="shared" si="3"/>
        <v/>
      </c>
      <c r="C151" s="29" t="str">
        <f>IF(Ingreso[Código de barras]=0,"",INDEX(Stock[n°CC],MATCH(Ingreso[Código de barras],Stock[Código de barras],0)))</f>
        <v/>
      </c>
      <c r="D151" s="29" t="str">
        <f>IF(Ingreso[Código de barras]=0,"",INDEX(Stock[Cliente],MATCH(Ingreso[Código de barras],Stock[Código de barras],0)))</f>
        <v/>
      </c>
      <c r="E151" s="41" t="str">
        <f>IF(Ingreso[Código de barras]=0,"",INDEX(Stock[Mes],MATCH(Ingreso[Código de barras],Stock[Código de barras],0)))</f>
        <v/>
      </c>
      <c r="F151" s="30" t="str">
        <f>IF(Ingreso[Código de barras]=0,"",INDEX(Stock[Detalle],MATCH(Ingreso[Código de barras],Stock[Código de barras],0)))</f>
        <v/>
      </c>
      <c r="G151" s="29" t="str">
        <f>IF(Ingreso[Código de barras]=0,"",INDEX(Stock[Matriz],MATCH(Ingreso[Código de barras],Stock[Código de barras],0)))</f>
        <v/>
      </c>
    </row>
    <row r="152" spans="1:7" x14ac:dyDescent="0.25">
      <c r="A152" s="31"/>
      <c r="B152" s="28" t="str">
        <f t="shared" si="3"/>
        <v/>
      </c>
      <c r="C152" s="29" t="str">
        <f>IF(Ingreso[Código de barras]=0,"",INDEX(Stock[n°CC],MATCH(Ingreso[Código de barras],Stock[Código de barras],0)))</f>
        <v/>
      </c>
      <c r="D152" s="29" t="str">
        <f>IF(Ingreso[Código de barras]=0,"",INDEX(Stock[Cliente],MATCH(Ingreso[Código de barras],Stock[Código de barras],0)))</f>
        <v/>
      </c>
      <c r="E152" s="41" t="str">
        <f>IF(Ingreso[Código de barras]=0,"",INDEX(Stock[Mes],MATCH(Ingreso[Código de barras],Stock[Código de barras],0)))</f>
        <v/>
      </c>
      <c r="F152" s="30" t="str">
        <f>IF(Ingreso[Código de barras]=0,"",INDEX(Stock[Detalle],MATCH(Ingreso[Código de barras],Stock[Código de barras],0)))</f>
        <v/>
      </c>
      <c r="G152" s="29" t="str">
        <f>IF(Ingreso[Código de barras]=0,"",INDEX(Stock[Matriz],MATCH(Ingreso[Código de barras],Stock[Código de barras],0)))</f>
        <v/>
      </c>
    </row>
    <row r="153" spans="1:7" x14ac:dyDescent="0.25">
      <c r="A153" s="31"/>
      <c r="B153" s="28" t="str">
        <f t="shared" si="3"/>
        <v/>
      </c>
      <c r="C153" s="29" t="str">
        <f>IF(Ingreso[Código de barras]=0,"",INDEX(Stock[n°CC],MATCH(Ingreso[Código de barras],Stock[Código de barras],0)))</f>
        <v/>
      </c>
      <c r="D153" s="29" t="str">
        <f>IF(Ingreso[Código de barras]=0,"",INDEX(Stock[Cliente],MATCH(Ingreso[Código de barras],Stock[Código de barras],0)))</f>
        <v/>
      </c>
      <c r="E153" s="41" t="str">
        <f>IF(Ingreso[Código de barras]=0,"",INDEX(Stock[Mes],MATCH(Ingreso[Código de barras],Stock[Código de barras],0)))</f>
        <v/>
      </c>
      <c r="F153" s="30" t="str">
        <f>IF(Ingreso[Código de barras]=0,"",INDEX(Stock[Detalle],MATCH(Ingreso[Código de barras],Stock[Código de barras],0)))</f>
        <v/>
      </c>
      <c r="G153" s="29" t="str">
        <f>IF(Ingreso[Código de barras]=0,"",INDEX(Stock[Matriz],MATCH(Ingreso[Código de barras],Stock[Código de barras],0)))</f>
        <v/>
      </c>
    </row>
    <row r="154" spans="1:7" x14ac:dyDescent="0.25">
      <c r="A154" s="31"/>
      <c r="B154" s="28" t="str">
        <f t="shared" si="3"/>
        <v/>
      </c>
      <c r="C154" s="29" t="str">
        <f>IF(Ingreso[Código de barras]=0,"",INDEX(Stock[n°CC],MATCH(Ingreso[Código de barras],Stock[Código de barras],0)))</f>
        <v/>
      </c>
      <c r="D154" s="29" t="str">
        <f>IF(Ingreso[Código de barras]=0,"",INDEX(Stock[Cliente],MATCH(Ingreso[Código de barras],Stock[Código de barras],0)))</f>
        <v/>
      </c>
      <c r="E154" s="41" t="str">
        <f>IF(Ingreso[Código de barras]=0,"",INDEX(Stock[Mes],MATCH(Ingreso[Código de barras],Stock[Código de barras],0)))</f>
        <v/>
      </c>
      <c r="F154" s="30" t="str">
        <f>IF(Ingreso[Código de barras]=0,"",INDEX(Stock[Detalle],MATCH(Ingreso[Código de barras],Stock[Código de barras],0)))</f>
        <v/>
      </c>
      <c r="G154" s="29" t="str">
        <f>IF(Ingreso[Código de barras]=0,"",INDEX(Stock[Matriz],MATCH(Ingreso[Código de barras],Stock[Código de barras],0)))</f>
        <v/>
      </c>
    </row>
    <row r="155" spans="1:7" x14ac:dyDescent="0.25">
      <c r="A155" s="31"/>
      <c r="B155" s="28" t="str">
        <f t="shared" si="3"/>
        <v/>
      </c>
      <c r="C155" s="29" t="str">
        <f>IF(Ingreso[Código de barras]=0,"",INDEX(Stock[n°CC],MATCH(Ingreso[Código de barras],Stock[Código de barras],0)))</f>
        <v/>
      </c>
      <c r="D155" s="29" t="str">
        <f>IF(Ingreso[Código de barras]=0,"",INDEX(Stock[Cliente],MATCH(Ingreso[Código de barras],Stock[Código de barras],0)))</f>
        <v/>
      </c>
      <c r="E155" s="41" t="str">
        <f>IF(Ingreso[Código de barras]=0,"",INDEX(Stock[Mes],MATCH(Ingreso[Código de barras],Stock[Código de barras],0)))</f>
        <v/>
      </c>
      <c r="F155" s="30" t="str">
        <f>IF(Ingreso[Código de barras]=0,"",INDEX(Stock[Detalle],MATCH(Ingreso[Código de barras],Stock[Código de barras],0)))</f>
        <v/>
      </c>
      <c r="G155" s="29" t="str">
        <f>IF(Ingreso[Código de barras]=0,"",INDEX(Stock[Matriz],MATCH(Ingreso[Código de barras],Stock[Código de barras],0)))</f>
        <v/>
      </c>
    </row>
    <row r="156" spans="1:7" x14ac:dyDescent="0.25">
      <c r="A156" s="31"/>
      <c r="B156" s="28" t="str">
        <f t="shared" si="3"/>
        <v/>
      </c>
      <c r="C156" s="29" t="str">
        <f>IF(Ingreso[Código de barras]=0,"",INDEX(Stock[n°CC],MATCH(Ingreso[Código de barras],Stock[Código de barras],0)))</f>
        <v/>
      </c>
      <c r="D156" s="29" t="str">
        <f>IF(Ingreso[Código de barras]=0,"",INDEX(Stock[Cliente],MATCH(Ingreso[Código de barras],Stock[Código de barras],0)))</f>
        <v/>
      </c>
      <c r="E156" s="41" t="str">
        <f>IF(Ingreso[Código de barras]=0,"",INDEX(Stock[Mes],MATCH(Ingreso[Código de barras],Stock[Código de barras],0)))</f>
        <v/>
      </c>
      <c r="F156" s="30" t="str">
        <f>IF(Ingreso[Código de barras]=0,"",INDEX(Stock[Detalle],MATCH(Ingreso[Código de barras],Stock[Código de barras],0)))</f>
        <v/>
      </c>
      <c r="G156" s="29" t="str">
        <f>IF(Ingreso[Código de barras]=0,"",INDEX(Stock[Matriz],MATCH(Ingreso[Código de barras],Stock[Código de barras],0)))</f>
        <v/>
      </c>
    </row>
    <row r="157" spans="1:7" x14ac:dyDescent="0.25">
      <c r="A157" s="31"/>
      <c r="B157" s="28" t="str">
        <f t="shared" si="3"/>
        <v/>
      </c>
      <c r="C157" s="29" t="str">
        <f>IF(Ingreso[Código de barras]=0,"",INDEX(Stock[n°CC],MATCH(Ingreso[Código de barras],Stock[Código de barras],0)))</f>
        <v/>
      </c>
      <c r="D157" s="29" t="str">
        <f>IF(Ingreso[Código de barras]=0,"",INDEX(Stock[Cliente],MATCH(Ingreso[Código de barras],Stock[Código de barras],0)))</f>
        <v/>
      </c>
      <c r="E157" s="41" t="str">
        <f>IF(Ingreso[Código de barras]=0,"",INDEX(Stock[Mes],MATCH(Ingreso[Código de barras],Stock[Código de barras],0)))</f>
        <v/>
      </c>
      <c r="F157" s="30" t="str">
        <f>IF(Ingreso[Código de barras]=0,"",INDEX(Stock[Detalle],MATCH(Ingreso[Código de barras],Stock[Código de barras],0)))</f>
        <v/>
      </c>
      <c r="G157" s="29" t="str">
        <f>IF(Ingreso[Código de barras]=0,"",INDEX(Stock[Matriz],MATCH(Ingreso[Código de barras],Stock[Código de barras],0)))</f>
        <v/>
      </c>
    </row>
    <row r="158" spans="1:7" x14ac:dyDescent="0.25">
      <c r="A158" s="31"/>
      <c r="B158" s="28" t="str">
        <f t="shared" si="3"/>
        <v/>
      </c>
      <c r="C158" s="29" t="str">
        <f>IF(Ingreso[Código de barras]=0,"",INDEX(Stock[n°CC],MATCH(Ingreso[Código de barras],Stock[Código de barras],0)))</f>
        <v/>
      </c>
      <c r="D158" s="29" t="str">
        <f>IF(Ingreso[Código de barras]=0,"",INDEX(Stock[Cliente],MATCH(Ingreso[Código de barras],Stock[Código de barras],0)))</f>
        <v/>
      </c>
      <c r="E158" s="41" t="str">
        <f>IF(Ingreso[Código de barras]=0,"",INDEX(Stock[Mes],MATCH(Ingreso[Código de barras],Stock[Código de barras],0)))</f>
        <v/>
      </c>
      <c r="F158" s="30" t="str">
        <f>IF(Ingreso[Código de barras]=0,"",INDEX(Stock[Detalle],MATCH(Ingreso[Código de barras],Stock[Código de barras],0)))</f>
        <v/>
      </c>
      <c r="G158" s="29" t="str">
        <f>IF(Ingreso[Código de barras]=0,"",INDEX(Stock[Matriz],MATCH(Ingreso[Código de barras],Stock[Código de barras],0)))</f>
        <v/>
      </c>
    </row>
    <row r="159" spans="1:7" x14ac:dyDescent="0.25">
      <c r="A159" s="31"/>
      <c r="B159" s="28" t="str">
        <f t="shared" si="3"/>
        <v/>
      </c>
      <c r="C159" s="29" t="str">
        <f>IF(Ingreso[Código de barras]=0,"",INDEX(Stock[n°CC],MATCH(Ingreso[Código de barras],Stock[Código de barras],0)))</f>
        <v/>
      </c>
      <c r="D159" s="29" t="str">
        <f>IF(Ingreso[Código de barras]=0,"",INDEX(Stock[Cliente],MATCH(Ingreso[Código de barras],Stock[Código de barras],0)))</f>
        <v/>
      </c>
      <c r="E159" s="41" t="str">
        <f>IF(Ingreso[Código de barras]=0,"",INDEX(Stock[Mes],MATCH(Ingreso[Código de barras],Stock[Código de barras],0)))</f>
        <v/>
      </c>
      <c r="F159" s="30" t="str">
        <f>IF(Ingreso[Código de barras]=0,"",INDEX(Stock[Detalle],MATCH(Ingreso[Código de barras],Stock[Código de barras],0)))</f>
        <v/>
      </c>
      <c r="G159" s="29" t="str">
        <f>IF(Ingreso[Código de barras]=0,"",INDEX(Stock[Matriz],MATCH(Ingreso[Código de barras],Stock[Código de barras],0)))</f>
        <v/>
      </c>
    </row>
    <row r="160" spans="1:7" x14ac:dyDescent="0.25">
      <c r="A160" s="31"/>
      <c r="B160" s="28" t="str">
        <f t="shared" si="3"/>
        <v/>
      </c>
      <c r="C160" s="29" t="str">
        <f>IF(Ingreso[Código de barras]=0,"",INDEX(Stock[n°CC],MATCH(Ingreso[Código de barras],Stock[Código de barras],0)))</f>
        <v/>
      </c>
      <c r="D160" s="29" t="str">
        <f>IF(Ingreso[Código de barras]=0,"",INDEX(Stock[Cliente],MATCH(Ingreso[Código de barras],Stock[Código de barras],0)))</f>
        <v/>
      </c>
      <c r="E160" s="41" t="str">
        <f>IF(Ingreso[Código de barras]=0,"",INDEX(Stock[Mes],MATCH(Ingreso[Código de barras],Stock[Código de barras],0)))</f>
        <v/>
      </c>
      <c r="F160" s="30" t="str">
        <f>IF(Ingreso[Código de barras]=0,"",INDEX(Stock[Detalle],MATCH(Ingreso[Código de barras],Stock[Código de barras],0)))</f>
        <v/>
      </c>
      <c r="G160" s="29" t="str">
        <f>IF(Ingreso[Código de barras]=0,"",INDEX(Stock[Matriz],MATCH(Ingreso[Código de barras],Stock[Código de barras],0)))</f>
        <v/>
      </c>
    </row>
    <row r="161" spans="1:7" x14ac:dyDescent="0.25">
      <c r="A161" s="31"/>
      <c r="B161" s="28" t="str">
        <f t="shared" si="3"/>
        <v/>
      </c>
      <c r="C161" s="29" t="str">
        <f>IF(Ingreso[Código de barras]=0,"",INDEX(Stock[n°CC],MATCH(Ingreso[Código de barras],Stock[Código de barras],0)))</f>
        <v/>
      </c>
      <c r="D161" s="29" t="str">
        <f>IF(Ingreso[Código de barras]=0,"",INDEX(Stock[Cliente],MATCH(Ingreso[Código de barras],Stock[Código de barras],0)))</f>
        <v/>
      </c>
      <c r="E161" s="41" t="str">
        <f>IF(Ingreso[Código de barras]=0,"",INDEX(Stock[Mes],MATCH(Ingreso[Código de barras],Stock[Código de barras],0)))</f>
        <v/>
      </c>
      <c r="F161" s="30" t="str">
        <f>IF(Ingreso[Código de barras]=0,"",INDEX(Stock[Detalle],MATCH(Ingreso[Código de barras],Stock[Código de barras],0)))</f>
        <v/>
      </c>
      <c r="G161" s="29" t="str">
        <f>IF(Ingreso[Código de barras]=0,"",INDEX(Stock[Matriz],MATCH(Ingreso[Código de barras],Stock[Código de barras],0)))</f>
        <v/>
      </c>
    </row>
    <row r="162" spans="1:7" x14ac:dyDescent="0.25">
      <c r="A162" s="31"/>
      <c r="B162" s="28" t="str">
        <f t="shared" si="3"/>
        <v/>
      </c>
      <c r="C162" s="29" t="str">
        <f>IF(Ingreso[Código de barras]=0,"",INDEX(Stock[n°CC],MATCH(Ingreso[Código de barras],Stock[Código de barras],0)))</f>
        <v/>
      </c>
      <c r="D162" s="29" t="str">
        <f>IF(Ingreso[Código de barras]=0,"",INDEX(Stock[Cliente],MATCH(Ingreso[Código de barras],Stock[Código de barras],0)))</f>
        <v/>
      </c>
      <c r="E162" s="41" t="str">
        <f>IF(Ingreso[Código de barras]=0,"",INDEX(Stock[Mes],MATCH(Ingreso[Código de barras],Stock[Código de barras],0)))</f>
        <v/>
      </c>
      <c r="F162" s="30" t="str">
        <f>IF(Ingreso[Código de barras]=0,"",INDEX(Stock[Detalle],MATCH(Ingreso[Código de barras],Stock[Código de barras],0)))</f>
        <v/>
      </c>
      <c r="G162" s="29" t="str">
        <f>IF(Ingreso[Código de barras]=0,"",INDEX(Stock[Matriz],MATCH(Ingreso[Código de barras],Stock[Código de barras],0)))</f>
        <v/>
      </c>
    </row>
    <row r="163" spans="1:7" x14ac:dyDescent="0.25">
      <c r="A163" s="31"/>
      <c r="B163" s="28" t="str">
        <f t="shared" si="3"/>
        <v/>
      </c>
      <c r="C163" s="29" t="str">
        <f>IF(Ingreso[Código de barras]=0,"",INDEX(Stock[n°CC],MATCH(Ingreso[Código de barras],Stock[Código de barras],0)))</f>
        <v/>
      </c>
      <c r="D163" s="29" t="str">
        <f>IF(Ingreso[Código de barras]=0,"",INDEX(Stock[Cliente],MATCH(Ingreso[Código de barras],Stock[Código de barras],0)))</f>
        <v/>
      </c>
      <c r="E163" s="41" t="str">
        <f>IF(Ingreso[Código de barras]=0,"",INDEX(Stock[Mes],MATCH(Ingreso[Código de barras],Stock[Código de barras],0)))</f>
        <v/>
      </c>
      <c r="F163" s="30" t="str">
        <f>IF(Ingreso[Código de barras]=0,"",INDEX(Stock[Detalle],MATCH(Ingreso[Código de barras],Stock[Código de barras],0)))</f>
        <v/>
      </c>
      <c r="G163" s="29" t="str">
        <f>IF(Ingreso[Código de barras]=0,"",INDEX(Stock[Matriz],MATCH(Ingreso[Código de barras],Stock[Código de barras],0)))</f>
        <v/>
      </c>
    </row>
    <row r="164" spans="1:7" x14ac:dyDescent="0.25">
      <c r="A164" s="31"/>
      <c r="B164" s="28" t="str">
        <f t="shared" si="3"/>
        <v/>
      </c>
      <c r="C164" s="29" t="str">
        <f>IF(Ingreso[Código de barras]=0,"",INDEX(Stock[n°CC],MATCH(Ingreso[Código de barras],Stock[Código de barras],0)))</f>
        <v/>
      </c>
      <c r="D164" s="29" t="str">
        <f>IF(Ingreso[Código de barras]=0,"",INDEX(Stock[Cliente],MATCH(Ingreso[Código de barras],Stock[Código de barras],0)))</f>
        <v/>
      </c>
      <c r="E164" s="41" t="str">
        <f>IF(Ingreso[Código de barras]=0,"",INDEX(Stock[Mes],MATCH(Ingreso[Código de barras],Stock[Código de barras],0)))</f>
        <v/>
      </c>
      <c r="F164" s="30" t="str">
        <f>IF(Ingreso[Código de barras]=0,"",INDEX(Stock[Detalle],MATCH(Ingreso[Código de barras],Stock[Código de barras],0)))</f>
        <v/>
      </c>
      <c r="G164" s="29" t="str">
        <f>IF(Ingreso[Código de barras]=0,"",INDEX(Stock[Matriz],MATCH(Ingreso[Código de barras],Stock[Código de barras],0)))</f>
        <v/>
      </c>
    </row>
    <row r="165" spans="1:7" x14ac:dyDescent="0.25">
      <c r="A165" s="31"/>
      <c r="B165" s="28" t="str">
        <f t="shared" si="3"/>
        <v/>
      </c>
      <c r="C165" s="29" t="str">
        <f>IF(Ingreso[Código de barras]=0,"",INDEX(Stock[n°CC],MATCH(Ingreso[Código de barras],Stock[Código de barras],0)))</f>
        <v/>
      </c>
      <c r="D165" s="29" t="str">
        <f>IF(Ingreso[Código de barras]=0,"",INDEX(Stock[Cliente],MATCH(Ingreso[Código de barras],Stock[Código de barras],0)))</f>
        <v/>
      </c>
      <c r="E165" s="41" t="str">
        <f>IF(Ingreso[Código de barras]=0,"",INDEX(Stock[Mes],MATCH(Ingreso[Código de barras],Stock[Código de barras],0)))</f>
        <v/>
      </c>
      <c r="F165" s="30" t="str">
        <f>IF(Ingreso[Código de barras]=0,"",INDEX(Stock[Detalle],MATCH(Ingreso[Código de barras],Stock[Código de barras],0)))</f>
        <v/>
      </c>
      <c r="G165" s="29" t="str">
        <f>IF(Ingreso[Código de barras]=0,"",INDEX(Stock[Matriz],MATCH(Ingreso[Código de barras],Stock[Código de barras],0)))</f>
        <v/>
      </c>
    </row>
    <row r="166" spans="1:7" x14ac:dyDescent="0.25">
      <c r="A166" s="31"/>
      <c r="B166" s="28" t="str">
        <f t="shared" si="3"/>
        <v/>
      </c>
      <c r="C166" s="29" t="str">
        <f>IF(Ingreso[Código de barras]=0,"",INDEX(Stock[n°CC],MATCH(Ingreso[Código de barras],Stock[Código de barras],0)))</f>
        <v/>
      </c>
      <c r="D166" s="29" t="str">
        <f>IF(Ingreso[Código de barras]=0,"",INDEX(Stock[Cliente],MATCH(Ingreso[Código de barras],Stock[Código de barras],0)))</f>
        <v/>
      </c>
      <c r="E166" s="41" t="str">
        <f>IF(Ingreso[Código de barras]=0,"",INDEX(Stock[Mes],MATCH(Ingreso[Código de barras],Stock[Código de barras],0)))</f>
        <v/>
      </c>
      <c r="F166" s="30" t="str">
        <f>IF(Ingreso[Código de barras]=0,"",INDEX(Stock[Detalle],MATCH(Ingreso[Código de barras],Stock[Código de barras],0)))</f>
        <v/>
      </c>
      <c r="G166" s="29" t="str">
        <f>IF(Ingreso[Código de barras]=0,"",INDEX(Stock[Matriz],MATCH(Ingreso[Código de barras],Stock[Código de barras],0)))</f>
        <v/>
      </c>
    </row>
    <row r="167" spans="1:7" x14ac:dyDescent="0.25">
      <c r="A167" s="31"/>
      <c r="B167" s="28" t="str">
        <f t="shared" si="3"/>
        <v/>
      </c>
      <c r="C167" s="29" t="str">
        <f>IF(Ingreso[Código de barras]=0,"",INDEX(Stock[n°CC],MATCH(Ingreso[Código de barras],Stock[Código de barras],0)))</f>
        <v/>
      </c>
      <c r="D167" s="29" t="str">
        <f>IF(Ingreso[Código de barras]=0,"",INDEX(Stock[Cliente],MATCH(Ingreso[Código de barras],Stock[Código de barras],0)))</f>
        <v/>
      </c>
      <c r="E167" s="41" t="str">
        <f>IF(Ingreso[Código de barras]=0,"",INDEX(Stock[Mes],MATCH(Ingreso[Código de barras],Stock[Código de barras],0)))</f>
        <v/>
      </c>
      <c r="F167" s="30" t="str">
        <f>IF(Ingreso[Código de barras]=0,"",INDEX(Stock[Detalle],MATCH(Ingreso[Código de barras],Stock[Código de barras],0)))</f>
        <v/>
      </c>
      <c r="G167" s="29" t="str">
        <f>IF(Ingreso[Código de barras]=0,"",INDEX(Stock[Matriz],MATCH(Ingreso[Código de barras],Stock[Código de barras],0)))</f>
        <v/>
      </c>
    </row>
    <row r="168" spans="1:7" x14ac:dyDescent="0.25">
      <c r="A168" s="31"/>
      <c r="B168" s="28" t="str">
        <f t="shared" si="3"/>
        <v/>
      </c>
      <c r="C168" s="29" t="str">
        <f>IF(Ingreso[Código de barras]=0,"",INDEX(Stock[n°CC],MATCH(Ingreso[Código de barras],Stock[Código de barras],0)))</f>
        <v/>
      </c>
      <c r="D168" s="29" t="str">
        <f>IF(Ingreso[Código de barras]=0,"",INDEX(Stock[Cliente],MATCH(Ingreso[Código de barras],Stock[Código de barras],0)))</f>
        <v/>
      </c>
      <c r="E168" s="41" t="str">
        <f>IF(Ingreso[Código de barras]=0,"",INDEX(Stock[Mes],MATCH(Ingreso[Código de barras],Stock[Código de barras],0)))</f>
        <v/>
      </c>
      <c r="F168" s="30" t="str">
        <f>IF(Ingreso[Código de barras]=0,"",INDEX(Stock[Detalle],MATCH(Ingreso[Código de barras],Stock[Código de barras],0)))</f>
        <v/>
      </c>
      <c r="G168" s="29" t="str">
        <f>IF(Ingreso[Código de barras]=0,"",INDEX(Stock[Matriz],MATCH(Ingreso[Código de barras],Stock[Código de barras],0)))</f>
        <v/>
      </c>
    </row>
    <row r="169" spans="1:7" x14ac:dyDescent="0.25">
      <c r="A169" s="31"/>
      <c r="B169" s="28" t="str">
        <f t="shared" si="3"/>
        <v/>
      </c>
      <c r="C169" s="29" t="str">
        <f>IF(Ingreso[Código de barras]=0,"",INDEX(Stock[n°CC],MATCH(Ingreso[Código de barras],Stock[Código de barras],0)))</f>
        <v/>
      </c>
      <c r="D169" s="29" t="str">
        <f>IF(Ingreso[Código de barras]=0,"",INDEX(Stock[Cliente],MATCH(Ingreso[Código de barras],Stock[Código de barras],0)))</f>
        <v/>
      </c>
      <c r="E169" s="41" t="str">
        <f>IF(Ingreso[Código de barras]=0,"",INDEX(Stock[Mes],MATCH(Ingreso[Código de barras],Stock[Código de barras],0)))</f>
        <v/>
      </c>
      <c r="F169" s="30" t="str">
        <f>IF(Ingreso[Código de barras]=0,"",INDEX(Stock[Detalle],MATCH(Ingreso[Código de barras],Stock[Código de barras],0)))</f>
        <v/>
      </c>
      <c r="G169" s="29" t="str">
        <f>IF(Ingreso[Código de barras]=0,"",INDEX(Stock[Matriz],MATCH(Ingreso[Código de barras],Stock[Código de barras],0)))</f>
        <v/>
      </c>
    </row>
    <row r="170" spans="1:7" x14ac:dyDescent="0.25">
      <c r="A170" s="31"/>
      <c r="B170" s="28" t="str">
        <f t="shared" si="3"/>
        <v/>
      </c>
      <c r="C170" s="29" t="str">
        <f>IF(Ingreso[Código de barras]=0,"",INDEX(Stock[n°CC],MATCH(Ingreso[Código de barras],Stock[Código de barras],0)))</f>
        <v/>
      </c>
      <c r="D170" s="29" t="str">
        <f>IF(Ingreso[Código de barras]=0,"",INDEX(Stock[Cliente],MATCH(Ingreso[Código de barras],Stock[Código de barras],0)))</f>
        <v/>
      </c>
      <c r="E170" s="41" t="str">
        <f>IF(Ingreso[Código de barras]=0,"",INDEX(Stock[Mes],MATCH(Ingreso[Código de barras],Stock[Código de barras],0)))</f>
        <v/>
      </c>
      <c r="F170" s="30" t="str">
        <f>IF(Ingreso[Código de barras]=0,"",INDEX(Stock[Detalle],MATCH(Ingreso[Código de barras],Stock[Código de barras],0)))</f>
        <v/>
      </c>
      <c r="G170" s="29" t="str">
        <f>IF(Ingreso[Código de barras]=0,"",INDEX(Stock[Matriz],MATCH(Ingreso[Código de barras],Stock[Código de barras],0)))</f>
        <v/>
      </c>
    </row>
    <row r="171" spans="1:7" x14ac:dyDescent="0.25">
      <c r="A171" s="31"/>
      <c r="B171" s="28" t="str">
        <f t="shared" si="3"/>
        <v/>
      </c>
      <c r="C171" s="29" t="str">
        <f>IF(Ingreso[Código de barras]=0,"",INDEX(Stock[n°CC],MATCH(Ingreso[Código de barras],Stock[Código de barras],0)))</f>
        <v/>
      </c>
      <c r="D171" s="29" t="str">
        <f>IF(Ingreso[Código de barras]=0,"",INDEX(Stock[Cliente],MATCH(Ingreso[Código de barras],Stock[Código de barras],0)))</f>
        <v/>
      </c>
      <c r="E171" s="41" t="str">
        <f>IF(Ingreso[Código de barras]=0,"",INDEX(Stock[Mes],MATCH(Ingreso[Código de barras],Stock[Código de barras],0)))</f>
        <v/>
      </c>
      <c r="F171" s="30" t="str">
        <f>IF(Ingreso[Código de barras]=0,"",INDEX(Stock[Detalle],MATCH(Ingreso[Código de barras],Stock[Código de barras],0)))</f>
        <v/>
      </c>
      <c r="G171" s="29" t="str">
        <f>IF(Ingreso[Código de barras]=0,"",INDEX(Stock[Matriz],MATCH(Ingreso[Código de barras],Stock[Código de barras],0)))</f>
        <v/>
      </c>
    </row>
    <row r="172" spans="1:7" x14ac:dyDescent="0.25">
      <c r="A172" s="31"/>
      <c r="B172" s="28" t="str">
        <f t="shared" si="3"/>
        <v/>
      </c>
      <c r="C172" s="29" t="str">
        <f>IF(Ingreso[Código de barras]=0,"",INDEX(Stock[n°CC],MATCH(Ingreso[Código de barras],Stock[Código de barras],0)))</f>
        <v/>
      </c>
      <c r="D172" s="29" t="str">
        <f>IF(Ingreso[Código de barras]=0,"",INDEX(Stock[Cliente],MATCH(Ingreso[Código de barras],Stock[Código de barras],0)))</f>
        <v/>
      </c>
      <c r="E172" s="41" t="str">
        <f>IF(Ingreso[Código de barras]=0,"",INDEX(Stock[Mes],MATCH(Ingreso[Código de barras],Stock[Código de barras],0)))</f>
        <v/>
      </c>
      <c r="F172" s="30" t="str">
        <f>IF(Ingreso[Código de barras]=0,"",INDEX(Stock[Detalle],MATCH(Ingreso[Código de barras],Stock[Código de barras],0)))</f>
        <v/>
      </c>
      <c r="G172" s="29" t="str">
        <f>IF(Ingreso[Código de barras]=0,"",INDEX(Stock[Matriz],MATCH(Ingreso[Código de barras],Stock[Código de barras],0)))</f>
        <v/>
      </c>
    </row>
    <row r="173" spans="1:7" x14ac:dyDescent="0.25">
      <c r="A173" s="31"/>
      <c r="B173" s="28" t="str">
        <f t="shared" si="3"/>
        <v/>
      </c>
      <c r="C173" s="29" t="str">
        <f>IF(Ingreso[Código de barras]=0,"",INDEX(Stock[n°CC],MATCH(Ingreso[Código de barras],Stock[Código de barras],0)))</f>
        <v/>
      </c>
      <c r="D173" s="29" t="str">
        <f>IF(Ingreso[Código de barras]=0,"",INDEX(Stock[Cliente],MATCH(Ingreso[Código de barras],Stock[Código de barras],0)))</f>
        <v/>
      </c>
      <c r="E173" s="41" t="str">
        <f>IF(Ingreso[Código de barras]=0,"",INDEX(Stock[Mes],MATCH(Ingreso[Código de barras],Stock[Código de barras],0)))</f>
        <v/>
      </c>
      <c r="F173" s="30" t="str">
        <f>IF(Ingreso[Código de barras]=0,"",INDEX(Stock[Detalle],MATCH(Ingreso[Código de barras],Stock[Código de barras],0)))</f>
        <v/>
      </c>
      <c r="G173" s="29" t="str">
        <f>IF(Ingreso[Código de barras]=0,"",INDEX(Stock[Matriz],MATCH(Ingreso[Código de barras],Stock[Código de barras],0)))</f>
        <v/>
      </c>
    </row>
    <row r="174" spans="1:7" x14ac:dyDescent="0.25">
      <c r="A174" s="31"/>
      <c r="B174" s="28" t="str">
        <f t="shared" si="3"/>
        <v/>
      </c>
      <c r="C174" s="29" t="str">
        <f>IF(Ingreso[Código de barras]=0,"",INDEX(Stock[n°CC],MATCH(Ingreso[Código de barras],Stock[Código de barras],0)))</f>
        <v/>
      </c>
      <c r="D174" s="29" t="str">
        <f>IF(Ingreso[Código de barras]=0,"",INDEX(Stock[Cliente],MATCH(Ingreso[Código de barras],Stock[Código de barras],0)))</f>
        <v/>
      </c>
      <c r="E174" s="41" t="str">
        <f>IF(Ingreso[Código de barras]=0,"",INDEX(Stock[Mes],MATCH(Ingreso[Código de barras],Stock[Código de barras],0)))</f>
        <v/>
      </c>
      <c r="F174" s="30" t="str">
        <f>IF(Ingreso[Código de barras]=0,"",INDEX(Stock[Detalle],MATCH(Ingreso[Código de barras],Stock[Código de barras],0)))</f>
        <v/>
      </c>
      <c r="G174" s="29" t="str">
        <f>IF(Ingreso[Código de barras]=0,"",INDEX(Stock[Matriz],MATCH(Ingreso[Código de barras],Stock[Código de barras],0)))</f>
        <v/>
      </c>
    </row>
    <row r="175" spans="1:7" x14ac:dyDescent="0.25">
      <c r="A175" s="31"/>
      <c r="B175" s="28" t="str">
        <f t="shared" si="3"/>
        <v/>
      </c>
      <c r="C175" s="29" t="str">
        <f>IF(Ingreso[Código de barras]=0,"",INDEX(Stock[n°CC],MATCH(Ingreso[Código de barras],Stock[Código de barras],0)))</f>
        <v/>
      </c>
      <c r="D175" s="29" t="str">
        <f>IF(Ingreso[Código de barras]=0,"",INDEX(Stock[Cliente],MATCH(Ingreso[Código de barras],Stock[Código de barras],0)))</f>
        <v/>
      </c>
      <c r="E175" s="41" t="str">
        <f>IF(Ingreso[Código de barras]=0,"",INDEX(Stock[Mes],MATCH(Ingreso[Código de barras],Stock[Código de barras],0)))</f>
        <v/>
      </c>
      <c r="F175" s="30" t="str">
        <f>IF(Ingreso[Código de barras]=0,"",INDEX(Stock[Detalle],MATCH(Ingreso[Código de barras],Stock[Código de barras],0)))</f>
        <v/>
      </c>
      <c r="G175" s="29" t="str">
        <f>IF(Ingreso[Código de barras]=0,"",INDEX(Stock[Matriz],MATCH(Ingreso[Código de barras],Stock[Código de barras],0)))</f>
        <v/>
      </c>
    </row>
    <row r="176" spans="1:7" x14ac:dyDescent="0.25">
      <c r="A176" s="31"/>
      <c r="B176" s="28" t="str">
        <f t="shared" si="3"/>
        <v/>
      </c>
      <c r="C176" s="29" t="str">
        <f>IF(Ingreso[Código de barras]=0,"",INDEX(Stock[n°CC],MATCH(Ingreso[Código de barras],Stock[Código de barras],0)))</f>
        <v/>
      </c>
      <c r="D176" s="29" t="str">
        <f>IF(Ingreso[Código de barras]=0,"",INDEX(Stock[Cliente],MATCH(Ingreso[Código de barras],Stock[Código de barras],0)))</f>
        <v/>
      </c>
      <c r="E176" s="41" t="str">
        <f>IF(Ingreso[Código de barras]=0,"",INDEX(Stock[Mes],MATCH(Ingreso[Código de barras],Stock[Código de barras],0)))</f>
        <v/>
      </c>
      <c r="F176" s="30" t="str">
        <f>IF(Ingreso[Código de barras]=0,"",INDEX(Stock[Detalle],MATCH(Ingreso[Código de barras],Stock[Código de barras],0)))</f>
        <v/>
      </c>
      <c r="G176" s="29" t="str">
        <f>IF(Ingreso[Código de barras]=0,"",INDEX(Stock[Matriz],MATCH(Ingreso[Código de barras],Stock[Código de barras],0)))</f>
        <v/>
      </c>
    </row>
    <row r="177" spans="1:7" x14ac:dyDescent="0.25">
      <c r="A177" s="31"/>
      <c r="B177" s="28" t="str">
        <f t="shared" si="3"/>
        <v/>
      </c>
      <c r="C177" s="29" t="str">
        <f>IF(Ingreso[Código de barras]=0,"",INDEX(Stock[n°CC],MATCH(Ingreso[Código de barras],Stock[Código de barras],0)))</f>
        <v/>
      </c>
      <c r="D177" s="29" t="str">
        <f>IF(Ingreso[Código de barras]=0,"",INDEX(Stock[Cliente],MATCH(Ingreso[Código de barras],Stock[Código de barras],0)))</f>
        <v/>
      </c>
      <c r="E177" s="41" t="str">
        <f>IF(Ingreso[Código de barras]=0,"",INDEX(Stock[Mes],MATCH(Ingreso[Código de barras],Stock[Código de barras],0)))</f>
        <v/>
      </c>
      <c r="F177" s="30" t="str">
        <f>IF(Ingreso[Código de barras]=0,"",INDEX(Stock[Detalle],MATCH(Ingreso[Código de barras],Stock[Código de barras],0)))</f>
        <v/>
      </c>
      <c r="G177" s="29" t="str">
        <f>IF(Ingreso[Código de barras]=0,"",INDEX(Stock[Matriz],MATCH(Ingreso[Código de barras],Stock[Código de barras],0)))</f>
        <v/>
      </c>
    </row>
    <row r="178" spans="1:7" x14ac:dyDescent="0.25">
      <c r="A178" s="31"/>
      <c r="B178" s="28" t="str">
        <f t="shared" si="3"/>
        <v/>
      </c>
      <c r="C178" s="29" t="str">
        <f>IF(Ingreso[Código de barras]=0,"",INDEX(Stock[n°CC],MATCH(Ingreso[Código de barras],Stock[Código de barras],0)))</f>
        <v/>
      </c>
      <c r="D178" s="29" t="str">
        <f>IF(Ingreso[Código de barras]=0,"",INDEX(Stock[Cliente],MATCH(Ingreso[Código de barras],Stock[Código de barras],0)))</f>
        <v/>
      </c>
      <c r="E178" s="41" t="str">
        <f>IF(Ingreso[Código de barras]=0,"",INDEX(Stock[Mes],MATCH(Ingreso[Código de barras],Stock[Código de barras],0)))</f>
        <v/>
      </c>
      <c r="F178" s="30" t="str">
        <f>IF(Ingreso[Código de barras]=0,"",INDEX(Stock[Detalle],MATCH(Ingreso[Código de barras],Stock[Código de barras],0)))</f>
        <v/>
      </c>
      <c r="G178" s="29" t="str">
        <f>IF(Ingreso[Código de barras]=0,"",INDEX(Stock[Matriz],MATCH(Ingreso[Código de barras],Stock[Código de barras],0)))</f>
        <v/>
      </c>
    </row>
    <row r="179" spans="1:7" x14ac:dyDescent="0.25">
      <c r="A179" s="31"/>
      <c r="B179" s="28" t="str">
        <f t="shared" si="3"/>
        <v/>
      </c>
      <c r="C179" s="29" t="str">
        <f>IF(Ingreso[Código de barras]=0,"",INDEX(Stock[n°CC],MATCH(Ingreso[Código de barras],Stock[Código de barras],0)))</f>
        <v/>
      </c>
      <c r="D179" s="29" t="str">
        <f>IF(Ingreso[Código de barras]=0,"",INDEX(Stock[Cliente],MATCH(Ingreso[Código de barras],Stock[Código de barras],0)))</f>
        <v/>
      </c>
      <c r="E179" s="41" t="str">
        <f>IF(Ingreso[Código de barras]=0,"",INDEX(Stock[Mes],MATCH(Ingreso[Código de barras],Stock[Código de barras],0)))</f>
        <v/>
      </c>
      <c r="F179" s="30" t="str">
        <f>IF(Ingreso[Código de barras]=0,"",INDEX(Stock[Detalle],MATCH(Ingreso[Código de barras],Stock[Código de barras],0)))</f>
        <v/>
      </c>
      <c r="G179" s="29" t="str">
        <f>IF(Ingreso[Código de barras]=0,"",INDEX(Stock[Matriz],MATCH(Ingreso[Código de barras],Stock[Código de barras],0)))</f>
        <v/>
      </c>
    </row>
    <row r="180" spans="1:7" x14ac:dyDescent="0.25">
      <c r="A180" s="31"/>
      <c r="B180" s="28" t="str">
        <f t="shared" si="3"/>
        <v/>
      </c>
      <c r="C180" s="29" t="str">
        <f>IF(Ingreso[Código de barras]=0,"",INDEX(Stock[n°CC],MATCH(Ingreso[Código de barras],Stock[Código de barras],0)))</f>
        <v/>
      </c>
      <c r="D180" s="29" t="str">
        <f>IF(Ingreso[Código de barras]=0,"",INDEX(Stock[Cliente],MATCH(Ingreso[Código de barras],Stock[Código de barras],0)))</f>
        <v/>
      </c>
      <c r="E180" s="41" t="str">
        <f>IF(Ingreso[Código de barras]=0,"",INDEX(Stock[Mes],MATCH(Ingreso[Código de barras],Stock[Código de barras],0)))</f>
        <v/>
      </c>
      <c r="F180" s="30" t="str">
        <f>IF(Ingreso[Código de barras]=0,"",INDEX(Stock[Detalle],MATCH(Ingreso[Código de barras],Stock[Código de barras],0)))</f>
        <v/>
      </c>
      <c r="G180" s="29" t="str">
        <f>IF(Ingreso[Código de barras]=0,"",INDEX(Stock[Matriz],MATCH(Ingreso[Código de barras],Stock[Código de barras],0)))</f>
        <v/>
      </c>
    </row>
    <row r="181" spans="1:7" x14ac:dyDescent="0.25">
      <c r="A181" s="31"/>
      <c r="B181" s="28" t="str">
        <f t="shared" si="3"/>
        <v/>
      </c>
      <c r="C181" s="29" t="str">
        <f>IF(Ingreso[Código de barras]=0,"",INDEX(Stock[n°CC],MATCH(Ingreso[Código de barras],Stock[Código de barras],0)))</f>
        <v/>
      </c>
      <c r="D181" s="29" t="str">
        <f>IF(Ingreso[Código de barras]=0,"",INDEX(Stock[Cliente],MATCH(Ingreso[Código de barras],Stock[Código de barras],0)))</f>
        <v/>
      </c>
      <c r="E181" s="41" t="str">
        <f>IF(Ingreso[Código de barras]=0,"",INDEX(Stock[Mes],MATCH(Ingreso[Código de barras],Stock[Código de barras],0)))</f>
        <v/>
      </c>
      <c r="F181" s="30" t="str">
        <f>IF(Ingreso[Código de barras]=0,"",INDEX(Stock[Detalle],MATCH(Ingreso[Código de barras],Stock[Código de barras],0)))</f>
        <v/>
      </c>
      <c r="G181" s="29" t="str">
        <f>IF(Ingreso[Código de barras]=0,"",INDEX(Stock[Matriz],MATCH(Ingreso[Código de barras],Stock[Código de barras],0)))</f>
        <v/>
      </c>
    </row>
    <row r="182" spans="1:7" x14ac:dyDescent="0.25">
      <c r="A182" s="31"/>
      <c r="B182" s="28" t="str">
        <f t="shared" si="3"/>
        <v/>
      </c>
      <c r="C182" s="29" t="str">
        <f>IF(Ingreso[Código de barras]=0,"",INDEX(Stock[n°CC],MATCH(Ingreso[Código de barras],Stock[Código de barras],0)))</f>
        <v/>
      </c>
      <c r="D182" s="29" t="str">
        <f>IF(Ingreso[Código de barras]=0,"",INDEX(Stock[Cliente],MATCH(Ingreso[Código de barras],Stock[Código de barras],0)))</f>
        <v/>
      </c>
      <c r="E182" s="41" t="str">
        <f>IF(Ingreso[Código de barras]=0,"",INDEX(Stock[Mes],MATCH(Ingreso[Código de barras],Stock[Código de barras],0)))</f>
        <v/>
      </c>
      <c r="F182" s="30" t="str">
        <f>IF(Ingreso[Código de barras]=0,"",INDEX(Stock[Detalle],MATCH(Ingreso[Código de barras],Stock[Código de barras],0)))</f>
        <v/>
      </c>
      <c r="G182" s="29" t="str">
        <f>IF(Ingreso[Código de barras]=0,"",INDEX(Stock[Matriz],MATCH(Ingreso[Código de barras],Stock[Código de barras],0)))</f>
        <v/>
      </c>
    </row>
    <row r="183" spans="1:7" x14ac:dyDescent="0.25">
      <c r="A183" s="31"/>
      <c r="B183" s="28" t="str">
        <f t="shared" si="3"/>
        <v/>
      </c>
      <c r="C183" s="29" t="str">
        <f>IF(Ingreso[Código de barras]=0,"",INDEX(Stock[n°CC],MATCH(Ingreso[Código de barras],Stock[Código de barras],0)))</f>
        <v/>
      </c>
      <c r="D183" s="29" t="str">
        <f>IF(Ingreso[Código de barras]=0,"",INDEX(Stock[Cliente],MATCH(Ingreso[Código de barras],Stock[Código de barras],0)))</f>
        <v/>
      </c>
      <c r="E183" s="41" t="str">
        <f>IF(Ingreso[Código de barras]=0,"",INDEX(Stock[Mes],MATCH(Ingreso[Código de barras],Stock[Código de barras],0)))</f>
        <v/>
      </c>
      <c r="F183" s="30" t="str">
        <f>IF(Ingreso[Código de barras]=0,"",INDEX(Stock[Detalle],MATCH(Ingreso[Código de barras],Stock[Código de barras],0)))</f>
        <v/>
      </c>
      <c r="G183" s="29" t="str">
        <f>IF(Ingreso[Código de barras]=0,"",INDEX(Stock[Matriz],MATCH(Ingreso[Código de barras],Stock[Código de barras],0)))</f>
        <v/>
      </c>
    </row>
    <row r="184" spans="1:7" x14ac:dyDescent="0.25">
      <c r="A184" s="31"/>
      <c r="B184" s="28" t="str">
        <f t="shared" si="3"/>
        <v/>
      </c>
      <c r="C184" s="29" t="str">
        <f>IF(Ingreso[Código de barras]=0,"",INDEX(Stock[n°CC],MATCH(Ingreso[Código de barras],Stock[Código de barras],0)))</f>
        <v/>
      </c>
      <c r="D184" s="29" t="str">
        <f>IF(Ingreso[Código de barras]=0,"",INDEX(Stock[Cliente],MATCH(Ingreso[Código de barras],Stock[Código de barras],0)))</f>
        <v/>
      </c>
      <c r="E184" s="41" t="str">
        <f>IF(Ingreso[Código de barras]=0,"",INDEX(Stock[Mes],MATCH(Ingreso[Código de barras],Stock[Código de barras],0)))</f>
        <v/>
      </c>
      <c r="F184" s="30" t="str">
        <f>IF(Ingreso[Código de barras]=0,"",INDEX(Stock[Detalle],MATCH(Ingreso[Código de barras],Stock[Código de barras],0)))</f>
        <v/>
      </c>
      <c r="G184" s="29" t="str">
        <f>IF(Ingreso[Código de barras]=0,"",INDEX(Stock[Matriz],MATCH(Ingreso[Código de barras],Stock[Código de barras],0)))</f>
        <v/>
      </c>
    </row>
    <row r="185" spans="1:7" x14ac:dyDescent="0.25">
      <c r="A185" s="31"/>
      <c r="B185" s="28" t="str">
        <f t="shared" si="3"/>
        <v/>
      </c>
      <c r="C185" s="29" t="str">
        <f>IF(Ingreso[Código de barras]=0,"",INDEX(Stock[n°CC],MATCH(Ingreso[Código de barras],Stock[Código de barras],0)))</f>
        <v/>
      </c>
      <c r="D185" s="29" t="str">
        <f>IF(Ingreso[Código de barras]=0,"",INDEX(Stock[Cliente],MATCH(Ingreso[Código de barras],Stock[Código de barras],0)))</f>
        <v/>
      </c>
      <c r="E185" s="41" t="str">
        <f>IF(Ingreso[Código de barras]=0,"",INDEX(Stock[Mes],MATCH(Ingreso[Código de barras],Stock[Código de barras],0)))</f>
        <v/>
      </c>
      <c r="F185" s="30" t="str">
        <f>IF(Ingreso[Código de barras]=0,"",INDEX(Stock[Detalle],MATCH(Ingreso[Código de barras],Stock[Código de barras],0)))</f>
        <v/>
      </c>
      <c r="G185" s="29" t="str">
        <f>IF(Ingreso[Código de barras]=0,"",INDEX(Stock[Matriz],MATCH(Ingreso[Código de barras],Stock[Código de barras],0)))</f>
        <v/>
      </c>
    </row>
    <row r="186" spans="1:7" x14ac:dyDescent="0.25">
      <c r="A186" s="31"/>
      <c r="B186" s="28" t="str">
        <f t="shared" si="3"/>
        <v/>
      </c>
      <c r="C186" s="29" t="str">
        <f>IF(Ingreso[Código de barras]=0,"",INDEX(Stock[n°CC],MATCH(Ingreso[Código de barras],Stock[Código de barras],0)))</f>
        <v/>
      </c>
      <c r="D186" s="29" t="str">
        <f>IF(Ingreso[Código de barras]=0,"",INDEX(Stock[Cliente],MATCH(Ingreso[Código de barras],Stock[Código de barras],0)))</f>
        <v/>
      </c>
      <c r="E186" s="41" t="str">
        <f>IF(Ingreso[Código de barras]=0,"",INDEX(Stock[Mes],MATCH(Ingreso[Código de barras],Stock[Código de barras],0)))</f>
        <v/>
      </c>
      <c r="F186" s="30" t="str">
        <f>IF(Ingreso[Código de barras]=0,"",INDEX(Stock[Detalle],MATCH(Ingreso[Código de barras],Stock[Código de barras],0)))</f>
        <v/>
      </c>
      <c r="G186" s="29" t="str">
        <f>IF(Ingreso[Código de barras]=0,"",INDEX(Stock[Matriz],MATCH(Ingreso[Código de barras],Stock[Código de barras],0)))</f>
        <v/>
      </c>
    </row>
    <row r="187" spans="1:7" x14ac:dyDescent="0.25">
      <c r="A187" s="31"/>
      <c r="B187" s="28" t="str">
        <f t="shared" si="3"/>
        <v/>
      </c>
      <c r="C187" s="29" t="str">
        <f>IF(Ingreso[Código de barras]=0,"",INDEX(Stock[n°CC],MATCH(Ingreso[Código de barras],Stock[Código de barras],0)))</f>
        <v/>
      </c>
      <c r="D187" s="29" t="str">
        <f>IF(Ingreso[Código de barras]=0,"",INDEX(Stock[Cliente],MATCH(Ingreso[Código de barras],Stock[Código de barras],0)))</f>
        <v/>
      </c>
      <c r="E187" s="41" t="str">
        <f>IF(Ingreso[Código de barras]=0,"",INDEX(Stock[Mes],MATCH(Ingreso[Código de barras],Stock[Código de barras],0)))</f>
        <v/>
      </c>
      <c r="F187" s="30" t="str">
        <f>IF(Ingreso[Código de barras]=0,"",INDEX(Stock[Detalle],MATCH(Ingreso[Código de barras],Stock[Código de barras],0)))</f>
        <v/>
      </c>
      <c r="G187" s="29" t="str">
        <f>IF(Ingreso[Código de barras]=0,"",INDEX(Stock[Matriz],MATCH(Ingreso[Código de barras],Stock[Código de barras],0)))</f>
        <v/>
      </c>
    </row>
    <row r="188" spans="1:7" x14ac:dyDescent="0.25">
      <c r="A188" s="31"/>
      <c r="B188" s="28" t="str">
        <f t="shared" si="3"/>
        <v/>
      </c>
      <c r="C188" s="29" t="str">
        <f>IF(Ingreso[Código de barras]=0,"",INDEX(Stock[n°CC],MATCH(Ingreso[Código de barras],Stock[Código de barras],0)))</f>
        <v/>
      </c>
      <c r="D188" s="29" t="str">
        <f>IF(Ingreso[Código de barras]=0,"",INDEX(Stock[Cliente],MATCH(Ingreso[Código de barras],Stock[Código de barras],0)))</f>
        <v/>
      </c>
      <c r="E188" s="41" t="str">
        <f>IF(Ingreso[Código de barras]=0,"",INDEX(Stock[Mes],MATCH(Ingreso[Código de barras],Stock[Código de barras],0)))</f>
        <v/>
      </c>
      <c r="F188" s="30" t="str">
        <f>IF(Ingreso[Código de barras]=0,"",INDEX(Stock[Detalle],MATCH(Ingreso[Código de barras],Stock[Código de barras],0)))</f>
        <v/>
      </c>
      <c r="G188" s="29" t="str">
        <f>IF(Ingreso[Código de barras]=0,"",INDEX(Stock[Matriz],MATCH(Ingreso[Código de barras],Stock[Código de barras],0)))</f>
        <v/>
      </c>
    </row>
    <row r="189" spans="1:7" x14ac:dyDescent="0.25">
      <c r="A189" s="31"/>
      <c r="B189" s="28" t="str">
        <f t="shared" si="3"/>
        <v/>
      </c>
      <c r="C189" s="29" t="str">
        <f>IF(Ingreso[Código de barras]=0,"",INDEX(Stock[n°CC],MATCH(Ingreso[Código de barras],Stock[Código de barras],0)))</f>
        <v/>
      </c>
      <c r="D189" s="29" t="str">
        <f>IF(Ingreso[Código de barras]=0,"",INDEX(Stock[Cliente],MATCH(Ingreso[Código de barras],Stock[Código de barras],0)))</f>
        <v/>
      </c>
      <c r="E189" s="41" t="str">
        <f>IF(Ingreso[Código de barras]=0,"",INDEX(Stock[Mes],MATCH(Ingreso[Código de barras],Stock[Código de barras],0)))</f>
        <v/>
      </c>
      <c r="F189" s="30" t="str">
        <f>IF(Ingreso[Código de barras]=0,"",INDEX(Stock[Detalle],MATCH(Ingreso[Código de barras],Stock[Código de barras],0)))</f>
        <v/>
      </c>
      <c r="G189" s="29" t="str">
        <f>IF(Ingreso[Código de barras]=0,"",INDEX(Stock[Matriz],MATCH(Ingreso[Código de barras],Stock[Código de barras],0)))</f>
        <v/>
      </c>
    </row>
    <row r="190" spans="1:7" x14ac:dyDescent="0.25">
      <c r="A190" s="31"/>
      <c r="B190" s="28" t="str">
        <f t="shared" si="3"/>
        <v/>
      </c>
      <c r="C190" s="29" t="str">
        <f>IF(Ingreso[Código de barras]=0,"",INDEX(Stock[n°CC],MATCH(Ingreso[Código de barras],Stock[Código de barras],0)))</f>
        <v/>
      </c>
      <c r="D190" s="29" t="str">
        <f>IF(Ingreso[Código de barras]=0,"",INDEX(Stock[Cliente],MATCH(Ingreso[Código de barras],Stock[Código de barras],0)))</f>
        <v/>
      </c>
      <c r="E190" s="41" t="str">
        <f>IF(Ingreso[Código de barras]=0,"",INDEX(Stock[Mes],MATCH(Ingreso[Código de barras],Stock[Código de barras],0)))</f>
        <v/>
      </c>
      <c r="F190" s="30" t="str">
        <f>IF(Ingreso[Código de barras]=0,"",INDEX(Stock[Detalle],MATCH(Ingreso[Código de barras],Stock[Código de barras],0)))</f>
        <v/>
      </c>
      <c r="G190" s="29" t="str">
        <f>IF(Ingreso[Código de barras]=0,"",INDEX(Stock[Matriz],MATCH(Ingreso[Código de barras],Stock[Código de barras],0)))</f>
        <v/>
      </c>
    </row>
    <row r="191" spans="1:7" x14ac:dyDescent="0.25">
      <c r="A191" s="31"/>
      <c r="B191" s="28" t="str">
        <f t="shared" si="3"/>
        <v/>
      </c>
      <c r="C191" s="29" t="str">
        <f>IF(Ingreso[Código de barras]=0,"",INDEX(Stock[n°CC],MATCH(Ingreso[Código de barras],Stock[Código de barras],0)))</f>
        <v/>
      </c>
      <c r="D191" s="29" t="str">
        <f>IF(Ingreso[Código de barras]=0,"",INDEX(Stock[Cliente],MATCH(Ingreso[Código de barras],Stock[Código de barras],0)))</f>
        <v/>
      </c>
      <c r="E191" s="41" t="str">
        <f>IF(Ingreso[Código de barras]=0,"",INDEX(Stock[Mes],MATCH(Ingreso[Código de barras],Stock[Código de barras],0)))</f>
        <v/>
      </c>
      <c r="F191" s="30" t="str">
        <f>IF(Ingreso[Código de barras]=0,"",INDEX(Stock[Detalle],MATCH(Ingreso[Código de barras],Stock[Código de barras],0)))</f>
        <v/>
      </c>
      <c r="G191" s="29" t="str">
        <f>IF(Ingreso[Código de barras]=0,"",INDEX(Stock[Matriz],MATCH(Ingreso[Código de barras],Stock[Código de barras],0)))</f>
        <v/>
      </c>
    </row>
    <row r="192" spans="1:7" x14ac:dyDescent="0.25">
      <c r="A192" s="31"/>
      <c r="B192" s="28" t="str">
        <f t="shared" si="3"/>
        <v/>
      </c>
      <c r="C192" s="29" t="str">
        <f>IF(Ingreso[Código de barras]=0,"",INDEX(Stock[n°CC],MATCH(Ingreso[Código de barras],Stock[Código de barras],0)))</f>
        <v/>
      </c>
      <c r="D192" s="29" t="str">
        <f>IF(Ingreso[Código de barras]=0,"",INDEX(Stock[Cliente],MATCH(Ingreso[Código de barras],Stock[Código de barras],0)))</f>
        <v/>
      </c>
      <c r="E192" s="41" t="str">
        <f>IF(Ingreso[Código de barras]=0,"",INDEX(Stock[Mes],MATCH(Ingreso[Código de barras],Stock[Código de barras],0)))</f>
        <v/>
      </c>
      <c r="F192" s="30" t="str">
        <f>IF(Ingreso[Código de barras]=0,"",INDEX(Stock[Detalle],MATCH(Ingreso[Código de barras],Stock[Código de barras],0)))</f>
        <v/>
      </c>
      <c r="G192" s="29" t="str">
        <f>IF(Ingreso[Código de barras]=0,"",INDEX(Stock[Matriz],MATCH(Ingreso[Código de barras],Stock[Código de barras],0)))</f>
        <v/>
      </c>
    </row>
    <row r="193" spans="1:7" x14ac:dyDescent="0.25">
      <c r="A193" s="31"/>
      <c r="B193" s="28" t="str">
        <f t="shared" si="3"/>
        <v/>
      </c>
      <c r="C193" s="29" t="str">
        <f>IF(Ingreso[Código de barras]=0,"",INDEX(Stock[n°CC],MATCH(Ingreso[Código de barras],Stock[Código de barras],0)))</f>
        <v/>
      </c>
      <c r="D193" s="29" t="str">
        <f>IF(Ingreso[Código de barras]=0,"",INDEX(Stock[Cliente],MATCH(Ingreso[Código de barras],Stock[Código de barras],0)))</f>
        <v/>
      </c>
      <c r="E193" s="41" t="str">
        <f>IF(Ingreso[Código de barras]=0,"",INDEX(Stock[Mes],MATCH(Ingreso[Código de barras],Stock[Código de barras],0)))</f>
        <v/>
      </c>
      <c r="F193" s="30" t="str">
        <f>IF(Ingreso[Código de barras]=0,"",INDEX(Stock[Detalle],MATCH(Ingreso[Código de barras],Stock[Código de barras],0)))</f>
        <v/>
      </c>
      <c r="G193" s="29" t="str">
        <f>IF(Ingreso[Código de barras]=0,"",INDEX(Stock[Matriz],MATCH(Ingreso[Código de barras],Stock[Código de barras],0)))</f>
        <v/>
      </c>
    </row>
    <row r="194" spans="1:7" x14ac:dyDescent="0.25">
      <c r="A194" s="31"/>
      <c r="B194" s="28" t="str">
        <f t="shared" si="3"/>
        <v/>
      </c>
      <c r="C194" s="29" t="str">
        <f>IF(Ingreso[Código de barras]=0,"",INDEX(Stock[n°CC],MATCH(Ingreso[Código de barras],Stock[Código de barras],0)))</f>
        <v/>
      </c>
      <c r="D194" s="29" t="str">
        <f>IF(Ingreso[Código de barras]=0,"",INDEX(Stock[Cliente],MATCH(Ingreso[Código de barras],Stock[Código de barras],0)))</f>
        <v/>
      </c>
      <c r="E194" s="41" t="str">
        <f>IF(Ingreso[Código de barras]=0,"",INDEX(Stock[Mes],MATCH(Ingreso[Código de barras],Stock[Código de barras],0)))</f>
        <v/>
      </c>
      <c r="F194" s="30" t="str">
        <f>IF(Ingreso[Código de barras]=0,"",INDEX(Stock[Detalle],MATCH(Ingreso[Código de barras],Stock[Código de barras],0)))</f>
        <v/>
      </c>
      <c r="G194" s="29" t="str">
        <f>IF(Ingreso[Código de barras]=0,"",INDEX(Stock[Matriz],MATCH(Ingreso[Código de barras],Stock[Código de barras],0)))</f>
        <v/>
      </c>
    </row>
    <row r="195" spans="1:7" x14ac:dyDescent="0.25">
      <c r="A195" s="31"/>
      <c r="B195" s="28" t="str">
        <f t="shared" si="3"/>
        <v/>
      </c>
      <c r="C195" s="29" t="str">
        <f>IF(Ingreso[Código de barras]=0,"",INDEX(Stock[n°CC],MATCH(Ingreso[Código de barras],Stock[Código de barras],0)))</f>
        <v/>
      </c>
      <c r="D195" s="29" t="str">
        <f>IF(Ingreso[Código de barras]=0,"",INDEX(Stock[Cliente],MATCH(Ingreso[Código de barras],Stock[Código de barras],0)))</f>
        <v/>
      </c>
      <c r="E195" s="41" t="str">
        <f>IF(Ingreso[Código de barras]=0,"",INDEX(Stock[Mes],MATCH(Ingreso[Código de barras],Stock[Código de barras],0)))</f>
        <v/>
      </c>
      <c r="F195" s="30" t="str">
        <f>IF(Ingreso[Código de barras]=0,"",INDEX(Stock[Detalle],MATCH(Ingreso[Código de barras],Stock[Código de barras],0)))</f>
        <v/>
      </c>
      <c r="G195" s="29" t="str">
        <f>IF(Ingreso[Código de barras]=0,"",INDEX(Stock[Matriz],MATCH(Ingreso[Código de barras],Stock[Código de barras],0)))</f>
        <v/>
      </c>
    </row>
    <row r="196" spans="1:7" x14ac:dyDescent="0.25">
      <c r="A196" s="31"/>
      <c r="B196" s="28" t="str">
        <f t="shared" si="3"/>
        <v/>
      </c>
      <c r="C196" s="29" t="str">
        <f>IF(Ingreso[Código de barras]=0,"",INDEX(Stock[n°CC],MATCH(Ingreso[Código de barras],Stock[Código de barras],0)))</f>
        <v/>
      </c>
      <c r="D196" s="29" t="str">
        <f>IF(Ingreso[Código de barras]=0,"",INDEX(Stock[Cliente],MATCH(Ingreso[Código de barras],Stock[Código de barras],0)))</f>
        <v/>
      </c>
      <c r="E196" s="41" t="str">
        <f>IF(Ingreso[Código de barras]=0,"",INDEX(Stock[Mes],MATCH(Ingreso[Código de barras],Stock[Código de barras],0)))</f>
        <v/>
      </c>
      <c r="F196" s="30" t="str">
        <f>IF(Ingreso[Código de barras]=0,"",INDEX(Stock[Detalle],MATCH(Ingreso[Código de barras],Stock[Código de barras],0)))</f>
        <v/>
      </c>
      <c r="G196" s="29" t="str">
        <f>IF(Ingreso[Código de barras]=0,"",INDEX(Stock[Matriz],MATCH(Ingreso[Código de barras],Stock[Código de barras],0)))</f>
        <v/>
      </c>
    </row>
    <row r="197" spans="1:7" x14ac:dyDescent="0.25">
      <c r="A197" s="31"/>
      <c r="B197" s="28" t="str">
        <f t="shared" si="3"/>
        <v/>
      </c>
      <c r="C197" s="29" t="str">
        <f>IF(Ingreso[Código de barras]=0,"",INDEX(Stock[n°CC],MATCH(Ingreso[Código de barras],Stock[Código de barras],0)))</f>
        <v/>
      </c>
      <c r="D197" s="29" t="str">
        <f>IF(Ingreso[Código de barras]=0,"",INDEX(Stock[Cliente],MATCH(Ingreso[Código de barras],Stock[Código de barras],0)))</f>
        <v/>
      </c>
      <c r="E197" s="41" t="str">
        <f>IF(Ingreso[Código de barras]=0,"",INDEX(Stock[Mes],MATCH(Ingreso[Código de barras],Stock[Código de barras],0)))</f>
        <v/>
      </c>
      <c r="F197" s="30" t="str">
        <f>IF(Ingreso[Código de barras]=0,"",INDEX(Stock[Detalle],MATCH(Ingreso[Código de barras],Stock[Código de barras],0)))</f>
        <v/>
      </c>
      <c r="G197" s="29" t="str">
        <f>IF(Ingreso[Código de barras]=0,"",INDEX(Stock[Matriz],MATCH(Ingreso[Código de barras],Stock[Código de barras],0)))</f>
        <v/>
      </c>
    </row>
    <row r="198" spans="1:7" x14ac:dyDescent="0.25">
      <c r="A198" s="31"/>
      <c r="B198" s="28" t="str">
        <f t="shared" si="3"/>
        <v/>
      </c>
      <c r="C198" s="29" t="str">
        <f>IF(Ingreso[Código de barras]=0,"",INDEX(Stock[n°CC],MATCH(Ingreso[Código de barras],Stock[Código de barras],0)))</f>
        <v/>
      </c>
      <c r="D198" s="29" t="str">
        <f>IF(Ingreso[Código de barras]=0,"",INDEX(Stock[Cliente],MATCH(Ingreso[Código de barras],Stock[Código de barras],0)))</f>
        <v/>
      </c>
      <c r="E198" s="41" t="str">
        <f>IF(Ingreso[Código de barras]=0,"",INDEX(Stock[Mes],MATCH(Ingreso[Código de barras],Stock[Código de barras],0)))</f>
        <v/>
      </c>
      <c r="F198" s="30" t="str">
        <f>IF(Ingreso[Código de barras]=0,"",INDEX(Stock[Detalle],MATCH(Ingreso[Código de barras],Stock[Código de barras],0)))</f>
        <v/>
      </c>
      <c r="G198" s="29" t="str">
        <f>IF(Ingreso[Código de barras]=0,"",INDEX(Stock[Matriz],MATCH(Ingreso[Código de barras],Stock[Código de barras],0)))</f>
        <v/>
      </c>
    </row>
    <row r="199" spans="1:7" x14ac:dyDescent="0.25">
      <c r="A199" s="31"/>
      <c r="B199" s="28" t="str">
        <f t="shared" si="3"/>
        <v/>
      </c>
      <c r="C199" s="29" t="str">
        <f>IF(Ingreso[Código de barras]=0,"",INDEX(Stock[n°CC],MATCH(Ingreso[Código de barras],Stock[Código de barras],0)))</f>
        <v/>
      </c>
      <c r="D199" s="29" t="str">
        <f>IF(Ingreso[Código de barras]=0,"",INDEX(Stock[Cliente],MATCH(Ingreso[Código de barras],Stock[Código de barras],0)))</f>
        <v/>
      </c>
      <c r="E199" s="41" t="str">
        <f>IF(Ingreso[Código de barras]=0,"",INDEX(Stock[Mes],MATCH(Ingreso[Código de barras],Stock[Código de barras],0)))</f>
        <v/>
      </c>
      <c r="F199" s="30" t="str">
        <f>IF(Ingreso[Código de barras]=0,"",INDEX(Stock[Detalle],MATCH(Ingreso[Código de barras],Stock[Código de barras],0)))</f>
        <v/>
      </c>
      <c r="G199" s="29" t="str">
        <f>IF(Ingreso[Código de barras]=0,"",INDEX(Stock[Matriz],MATCH(Ingreso[Código de barras],Stock[Código de barras],0)))</f>
        <v/>
      </c>
    </row>
    <row r="200" spans="1:7" x14ac:dyDescent="0.25">
      <c r="A200" s="31"/>
      <c r="B200" s="28" t="str">
        <f t="shared" si="3"/>
        <v/>
      </c>
      <c r="C200" s="29" t="str">
        <f>IF(Ingreso[Código de barras]=0,"",INDEX(Stock[n°CC],MATCH(Ingreso[Código de barras],Stock[Código de barras],0)))</f>
        <v/>
      </c>
      <c r="D200" s="29" t="str">
        <f>IF(Ingreso[Código de barras]=0,"",INDEX(Stock[Cliente],MATCH(Ingreso[Código de barras],Stock[Código de barras],0)))</f>
        <v/>
      </c>
      <c r="E200" s="41" t="str">
        <f>IF(Ingreso[Código de barras]=0,"",INDEX(Stock[Mes],MATCH(Ingreso[Código de barras],Stock[Código de barras],0)))</f>
        <v/>
      </c>
      <c r="F200" s="30" t="str">
        <f>IF(Ingreso[Código de barras]=0,"",INDEX(Stock[Detalle],MATCH(Ingreso[Código de barras],Stock[Código de barras],0)))</f>
        <v/>
      </c>
      <c r="G200" s="29" t="str">
        <f>IF(Ingreso[Código de barras]=0,"",INDEX(Stock[Matriz],MATCH(Ingreso[Código de barras],Stock[Código de barras],0)))</f>
        <v/>
      </c>
    </row>
  </sheetData>
  <conditionalFormatting sqref="C2:E200">
    <cfRule type="containsErrors" dxfId="12" priority="5">
      <formula>ISERROR(C2)</formula>
    </cfRule>
  </conditionalFormatting>
  <conditionalFormatting sqref="C1:D1">
    <cfRule type="containsErrors" dxfId="11" priority="4">
      <formula>ISERROR(C1)</formula>
    </cfRule>
  </conditionalFormatting>
  <conditionalFormatting sqref="E1">
    <cfRule type="containsErrors" dxfId="10" priority="3">
      <formula>ISERROR(E1)</formula>
    </cfRule>
  </conditionalFormatting>
  <conditionalFormatting sqref="A2:G19 A20:B21 B22 C20:G200 A23:B200">
    <cfRule type="expression" dxfId="9" priority="2">
      <formula>$A2="vacio"</formula>
    </cfRule>
  </conditionalFormatting>
  <conditionalFormatting sqref="A22">
    <cfRule type="expression" dxfId="8" priority="1">
      <formula>$A22="vacio"</formula>
    </cfRule>
  </conditionalFormatting>
  <pageMargins left="0.7" right="0.7" top="0.75" bottom="0.75" header="0.3" footer="0.3"/>
  <pageSetup orientation="portrait" r:id="rId1"/>
  <ignoredErrors>
    <ignoredError sqref="B2:B20" unlockedFormula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B34"/>
  <sheetViews>
    <sheetView workbookViewId="0">
      <selection activeCell="B18" sqref="A18:B18"/>
    </sheetView>
  </sheetViews>
  <sheetFormatPr defaultColWidth="9.140625" defaultRowHeight="15" x14ac:dyDescent="0.25"/>
  <cols>
    <col min="1" max="1" width="9.28515625" customWidth="1"/>
    <col min="2" max="2" width="28" customWidth="1"/>
  </cols>
  <sheetData>
    <row r="1" spans="1:2" x14ac:dyDescent="0.25">
      <c r="A1" s="3" t="s">
        <v>29</v>
      </c>
      <c r="B1" s="3" t="s">
        <v>30</v>
      </c>
    </row>
    <row r="2" spans="1:2" x14ac:dyDescent="0.25">
      <c r="A2" s="2" t="s">
        <v>11</v>
      </c>
      <c r="B2" s="2" t="s">
        <v>31</v>
      </c>
    </row>
    <row r="3" spans="1:2" x14ac:dyDescent="0.25">
      <c r="A3" s="2" t="s">
        <v>1</v>
      </c>
      <c r="B3" s="2" t="s">
        <v>32</v>
      </c>
    </row>
    <row r="4" spans="1:2" x14ac:dyDescent="0.25">
      <c r="A4" s="2" t="s">
        <v>33</v>
      </c>
      <c r="B4" s="2" t="s">
        <v>34</v>
      </c>
    </row>
    <row r="5" spans="1:2" x14ac:dyDescent="0.25">
      <c r="A5" s="2" t="s">
        <v>3</v>
      </c>
      <c r="B5" s="2" t="s">
        <v>35</v>
      </c>
    </row>
    <row r="6" spans="1:2" x14ac:dyDescent="0.25">
      <c r="A6" s="2" t="s">
        <v>2</v>
      </c>
      <c r="B6" s="2" t="s">
        <v>36</v>
      </c>
    </row>
    <row r="7" spans="1:2" x14ac:dyDescent="0.25">
      <c r="A7" s="2" t="s">
        <v>4</v>
      </c>
      <c r="B7" s="2" t="s">
        <v>37</v>
      </c>
    </row>
    <row r="8" spans="1:2" x14ac:dyDescent="0.25">
      <c r="A8" s="2" t="s">
        <v>6</v>
      </c>
      <c r="B8" s="2" t="s">
        <v>38</v>
      </c>
    </row>
    <row r="9" spans="1:2" x14ac:dyDescent="0.25">
      <c r="A9" s="2" t="s">
        <v>5</v>
      </c>
      <c r="B9" s="2" t="s">
        <v>39</v>
      </c>
    </row>
    <row r="10" spans="1:2" x14ac:dyDescent="0.25">
      <c r="A10" s="2" t="s">
        <v>40</v>
      </c>
      <c r="B10" s="2" t="s">
        <v>41</v>
      </c>
    </row>
    <row r="11" spans="1:2" x14ac:dyDescent="0.25">
      <c r="A11" s="2" t="s">
        <v>8</v>
      </c>
      <c r="B11" s="2" t="s">
        <v>42</v>
      </c>
    </row>
    <row r="12" spans="1:2" x14ac:dyDescent="0.25">
      <c r="A12" s="2" t="s">
        <v>28</v>
      </c>
      <c r="B12" s="2" t="s">
        <v>105</v>
      </c>
    </row>
    <row r="13" spans="1:2" x14ac:dyDescent="0.25">
      <c r="A13" s="2" t="s">
        <v>103</v>
      </c>
      <c r="B13" s="2" t="s">
        <v>104</v>
      </c>
    </row>
    <row r="14" spans="1:2" x14ac:dyDescent="0.25">
      <c r="A14" s="2" t="s">
        <v>9</v>
      </c>
      <c r="B14" s="2" t="s">
        <v>43</v>
      </c>
    </row>
    <row r="15" spans="1:2" x14ac:dyDescent="0.25">
      <c r="A15" s="36" t="s">
        <v>86</v>
      </c>
      <c r="B15" s="36" t="s">
        <v>87</v>
      </c>
    </row>
    <row r="16" spans="1:2" x14ac:dyDescent="0.25">
      <c r="A16" s="2" t="s">
        <v>98</v>
      </c>
      <c r="B16" s="2" t="s">
        <v>95</v>
      </c>
    </row>
    <row r="17" spans="1:2" x14ac:dyDescent="0.25">
      <c r="A17" s="2" t="s">
        <v>7</v>
      </c>
      <c r="B17" s="2" t="s">
        <v>44</v>
      </c>
    </row>
    <row r="18" spans="1:2" x14ac:dyDescent="0.25">
      <c r="A18" s="2" t="s">
        <v>58</v>
      </c>
      <c r="B18" s="2" t="s">
        <v>52</v>
      </c>
    </row>
    <row r="19" spans="1:2" x14ac:dyDescent="0.25">
      <c r="A19" s="2" t="s">
        <v>53</v>
      </c>
      <c r="B19" s="2" t="s">
        <v>54</v>
      </c>
    </row>
    <row r="20" spans="1:2" x14ac:dyDescent="0.25">
      <c r="A20" s="2" t="s">
        <v>55</v>
      </c>
      <c r="B20" s="2" t="s">
        <v>56</v>
      </c>
    </row>
    <row r="21" spans="1:2" x14ac:dyDescent="0.25">
      <c r="A21" s="2" t="s">
        <v>65</v>
      </c>
      <c r="B21" s="2" t="s">
        <v>73</v>
      </c>
    </row>
    <row r="22" spans="1:2" x14ac:dyDescent="0.25">
      <c r="A22" s="2" t="s">
        <v>66</v>
      </c>
      <c r="B22" s="2" t="s">
        <v>69</v>
      </c>
    </row>
    <row r="23" spans="1:2" x14ac:dyDescent="0.25">
      <c r="A23" s="36" t="s">
        <v>67</v>
      </c>
      <c r="B23" s="36" t="s">
        <v>70</v>
      </c>
    </row>
    <row r="24" spans="1:2" x14ac:dyDescent="0.25">
      <c r="A24" s="36" t="s">
        <v>99</v>
      </c>
      <c r="B24" s="36" t="s">
        <v>71</v>
      </c>
    </row>
    <row r="25" spans="1:2" x14ac:dyDescent="0.25">
      <c r="A25" s="36" t="s">
        <v>68</v>
      </c>
      <c r="B25" s="36" t="s">
        <v>72</v>
      </c>
    </row>
    <row r="26" spans="1:2" x14ac:dyDescent="0.25">
      <c r="A26" s="36" t="s">
        <v>74</v>
      </c>
      <c r="B26" s="36" t="s">
        <v>80</v>
      </c>
    </row>
    <row r="27" spans="1:2" x14ac:dyDescent="0.25">
      <c r="A27" s="36" t="s">
        <v>75</v>
      </c>
      <c r="B27" s="36" t="s">
        <v>84</v>
      </c>
    </row>
    <row r="28" spans="1:2" x14ac:dyDescent="0.25">
      <c r="A28" s="36" t="s">
        <v>76</v>
      </c>
      <c r="B28" s="36" t="s">
        <v>82</v>
      </c>
    </row>
    <row r="29" spans="1:2" x14ac:dyDescent="0.25">
      <c r="A29" s="36" t="s">
        <v>77</v>
      </c>
      <c r="B29" s="36" t="s">
        <v>85</v>
      </c>
    </row>
    <row r="30" spans="1:2" x14ac:dyDescent="0.25">
      <c r="A30" s="36" t="s">
        <v>78</v>
      </c>
      <c r="B30" s="36" t="s">
        <v>83</v>
      </c>
    </row>
    <row r="31" spans="1:2" x14ac:dyDescent="0.25">
      <c r="A31" s="36" t="s">
        <v>97</v>
      </c>
      <c r="B31" s="36" t="s">
        <v>96</v>
      </c>
    </row>
    <row r="32" spans="1:2" x14ac:dyDescent="0.25">
      <c r="A32" s="36" t="s">
        <v>79</v>
      </c>
      <c r="B32" s="36" t="s">
        <v>81</v>
      </c>
    </row>
    <row r="33" spans="1:2" x14ac:dyDescent="0.25">
      <c r="A33" s="36" t="s">
        <v>100</v>
      </c>
      <c r="B33" s="36" t="s">
        <v>101</v>
      </c>
    </row>
    <row r="34" spans="1:2" x14ac:dyDescent="0.25">
      <c r="A34" s="36" t="s">
        <v>76</v>
      </c>
      <c r="B34" s="36" t="s">
        <v>102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Stock</vt:lpstr>
      <vt:lpstr>Egreso</vt:lpstr>
      <vt:lpstr>Ingreso</vt:lpstr>
      <vt:lpstr>Preservantes</vt:lpstr>
      <vt:lpstr>ddpres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pirotta</dc:creator>
  <cp:lastModifiedBy>alan pirotta</cp:lastModifiedBy>
  <cp:lastPrinted>2021-02-01T21:20:44Z</cp:lastPrinted>
  <dcterms:created xsi:type="dcterms:W3CDTF">2020-07-27T18:12:14Z</dcterms:created>
  <dcterms:modified xsi:type="dcterms:W3CDTF">2021-10-30T19:47:02Z</dcterms:modified>
</cp:coreProperties>
</file>